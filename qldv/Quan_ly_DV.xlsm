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activeX/activeX7.xml" ContentType="application/vnd.ms-office.activeX+xml"/>
  <Override PartName="/xl/activeX/activeX7.bin" ContentType="application/vnd.ms-office.activeX"/>
  <Override PartName="/xl/drawings/drawing11.xml" ContentType="application/vnd.openxmlformats-officedocument.drawing+xml"/>
  <Override PartName="/xl/activeX/activeX8.xml" ContentType="application/vnd.ms-office.activeX+xml"/>
  <Override PartName="/xl/activeX/activeX8.bin" ContentType="application/vnd.ms-office.activeX"/>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updateLinks="never" codeName="ThisWorkbook"/>
  <mc:AlternateContent xmlns:mc="http://schemas.openxmlformats.org/markup-compatibility/2006">
    <mc:Choice Requires="x15">
      <x15ac:absPath xmlns:x15ac="http://schemas.microsoft.com/office/spreadsheetml/2010/11/ac" url="C:\Users\khanhn128\Documents\GitHub\quanlydv\qldv\"/>
    </mc:Choice>
  </mc:AlternateContent>
  <bookViews>
    <workbookView xWindow="0" yWindow="0" windowWidth="19200" windowHeight="7755" tabRatio="682" activeTab="1"/>
  </bookViews>
  <sheets>
    <sheet name="MENU" sheetId="11" r:id="rId1"/>
    <sheet name="DSDV" sheetId="1" r:id="rId2"/>
    <sheet name="Trich_Yeu" sheetId="3" r:id="rId3"/>
    <sheet name="BC_TH" sheetId="4" r:id="rId4"/>
    <sheet name="Them_DV" sheetId="10" r:id="rId5"/>
    <sheet name="DANHMUCDV" sheetId="16" state="hidden" r:id="rId6"/>
    <sheet name="Danh muc Chi bo" sheetId="15" state="hidden" r:id="rId7"/>
    <sheet name="DK" sheetId="5" state="hidden" r:id="rId8"/>
    <sheet name="QTCT" sheetId="7" state="hidden" r:id="rId9"/>
    <sheet name="Them_QTCT" sheetId="14" r:id="rId10"/>
    <sheet name="Them_QTDT" sheetId="18" r:id="rId11"/>
    <sheet name="QTDT" sheetId="17" state="hidden" r:id="rId12"/>
    <sheet name="Kyluat" sheetId="19" state="hidden" r:id="rId13"/>
    <sheet name="Them_KyLuat" sheetId="20" r:id="rId14"/>
    <sheet name="QHGD" sheetId="21" state="hidden" r:id="rId15"/>
    <sheet name="Them_QHGD" sheetId="22" r:id="rId16"/>
    <sheet name="KQXL" sheetId="24" state="hidden" r:id="rId17"/>
    <sheet name="Them_KQXL" sheetId="25" r:id="rId18"/>
    <sheet name="ThietLap" sheetId="6" state="hidden" r:id="rId19"/>
  </sheets>
  <functionGroups builtInGroupCount="18"/>
  <externalReferences>
    <externalReference r:id="rId20"/>
    <externalReference r:id="rId21"/>
  </externalReferences>
  <definedNames>
    <definedName name="_xlnm._FilterDatabase" localSheetId="1" hidden="1">DSDV!$A$6:$V$216</definedName>
    <definedName name="_xlnm._FilterDatabase" localSheetId="16" hidden="1">KQXL!$A$3:$I$200</definedName>
    <definedName name="_xlnm._FilterDatabase" localSheetId="12" hidden="1">Kyluat!$A$2:$B$200</definedName>
    <definedName name="_xlnm._FilterDatabase" localSheetId="14" hidden="1">QHGD!$A$3:$E$500</definedName>
    <definedName name="_xlnm._FilterDatabase" localSheetId="8" hidden="1">QTCT!$A$5:$E$1505</definedName>
    <definedName name="_xlnm._FilterDatabase" localSheetId="11" hidden="1">QTDT!$A$3:$H$1000</definedName>
    <definedName name="_xlnm._FilterDatabase" localSheetId="2" hidden="1">Trich_Yeu!$G$14:$G$299</definedName>
    <definedName name="Bac_CD">ThietLap!$N$10:$N$21</definedName>
    <definedName name="Bac_DH">ThietLap!$M$10:$M$18</definedName>
    <definedName name="Bac_TC">ThietLap!$O$10:$O$21</definedName>
    <definedName name="Bang_DSDV">DSDV!$G$7:$AH$216</definedName>
    <definedName name="Dân_tộc">ThietLap!$S$2:$S$55</definedName>
    <definedName name="DS_ChucVu">OFFSET(ThietLap!$B$9,0,0,COUNTA(ThietLap!$B$1:$B$9))</definedName>
    <definedName name="DS_Loai_HD">ThietLap!$D$10:$D$13</definedName>
    <definedName name="DS_TinhTrang">ThietLap!$B$21:$B$23</definedName>
    <definedName name="QT_Bac" localSheetId="9">QTCT!#REF!</definedName>
    <definedName name="QT_Bac">QTCT!#REF!</definedName>
    <definedName name="QT_BangCap" localSheetId="9">QTCT!#REF!</definedName>
    <definedName name="QT_BangCap">QTCT!#REF!</definedName>
    <definedName name="QT_ChucVu" localSheetId="9">QTCT!#REF!</definedName>
    <definedName name="QT_ChucVu">QTCT!#REF!</definedName>
    <definedName name="QT_Dang_ApDung" localSheetId="9">QTCT!#REF!</definedName>
    <definedName name="QT_Dang_ApDung">QTCT!#REF!</definedName>
    <definedName name="QT_HoTen">QTCT!$A$1:$A$1505</definedName>
    <definedName name="QT_HSL" localSheetId="9">QTCT!#REF!</definedName>
    <definedName name="QT_HSL">QTCT!#REF!</definedName>
    <definedName name="QT_Ngay_ApDung" localSheetId="9">QTCT!#REF!</definedName>
    <definedName name="QT_Ngay_ApDung">QTCT!#REF!</definedName>
    <definedName name="QT_Ngay_NL">QTCT!#REF!</definedName>
    <definedName name="QT_PC_CV" localSheetId="9">QTCT!#REF!</definedName>
    <definedName name="QT_PC_CV">QTCT!#REF!</definedName>
    <definedName name="QT_PC_TNVK">QTCT!$B$1:$B$1505</definedName>
    <definedName name="QT_PC_TrachNhiem">QTCT!$C$1:$C$1505</definedName>
    <definedName name="QT_TinhTrang" localSheetId="9">QTCT!#REF!</definedName>
    <definedName name="QT_TinhTrang">QTCT!#REF!</definedName>
  </definedNames>
  <calcPr calcId="162913"/>
  <fileRecoveryPr autoRecover="0"/>
</workbook>
</file>

<file path=xl/calcChain.xml><?xml version="1.0" encoding="utf-8"?>
<calcChain xmlns="http://schemas.openxmlformats.org/spreadsheetml/2006/main">
  <c r="A3" i="16" l="1"/>
  <c r="A4" i="16"/>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A301" i="16"/>
  <c r="A302" i="16"/>
  <c r="A303" i="16"/>
  <c r="A304" i="16"/>
  <c r="A305" i="16"/>
  <c r="A306" i="16"/>
  <c r="A307" i="16"/>
  <c r="A308" i="16"/>
  <c r="A309" i="16"/>
  <c r="A310" i="16"/>
  <c r="A311" i="16"/>
  <c r="A312" i="16"/>
  <c r="A313" i="16"/>
  <c r="A314" i="16"/>
  <c r="A315" i="16"/>
  <c r="A316" i="16"/>
  <c r="A317" i="16"/>
  <c r="A318" i="16"/>
  <c r="A319" i="16"/>
  <c r="A320" i="16"/>
  <c r="A321" i="16"/>
  <c r="A322" i="16"/>
  <c r="A323" i="16"/>
  <c r="A324" i="16"/>
  <c r="A325" i="16"/>
  <c r="A326" i="16"/>
  <c r="A327" i="16"/>
  <c r="A328" i="16"/>
  <c r="A329" i="16"/>
  <c r="A330" i="16"/>
  <c r="A331" i="16"/>
  <c r="A332" i="16"/>
  <c r="A333" i="16"/>
  <c r="A334" i="16"/>
  <c r="A335" i="16"/>
  <c r="A336" i="16"/>
  <c r="A337" i="16"/>
  <c r="A338" i="16"/>
  <c r="A339" i="16"/>
  <c r="A340" i="16"/>
  <c r="A341" i="16"/>
  <c r="A342" i="16"/>
  <c r="A343" i="16"/>
  <c r="A344" i="16"/>
  <c r="A345" i="16"/>
  <c r="A346" i="16"/>
  <c r="A347" i="16"/>
  <c r="A348" i="16"/>
  <c r="A349" i="16"/>
  <c r="A350" i="16"/>
  <c r="A351" i="16"/>
  <c r="A352" i="16"/>
  <c r="A353" i="16"/>
  <c r="A354" i="16"/>
  <c r="A355" i="16"/>
  <c r="A356" i="16"/>
  <c r="A357" i="16"/>
  <c r="A358" i="16"/>
  <c r="A359" i="16"/>
  <c r="A360" i="16"/>
  <c r="A361" i="16"/>
  <c r="A362" i="16"/>
  <c r="A363" i="16"/>
  <c r="A364" i="16"/>
  <c r="A365" i="16"/>
  <c r="A366" i="16"/>
  <c r="A367" i="16"/>
  <c r="A368" i="16"/>
  <c r="A369" i="16"/>
  <c r="A370" i="16"/>
  <c r="A371" i="16"/>
  <c r="A372" i="16"/>
  <c r="A373" i="16"/>
  <c r="A374" i="16"/>
  <c r="A375" i="16"/>
  <c r="A376" i="16"/>
  <c r="A377" i="16"/>
  <c r="A378" i="16"/>
  <c r="A379" i="16"/>
  <c r="A380" i="16"/>
  <c r="A381" i="16"/>
  <c r="A382" i="16"/>
  <c r="A383" i="16"/>
  <c r="A384" i="16"/>
  <c r="A385" i="16"/>
  <c r="A386" i="16"/>
  <c r="A387" i="16"/>
  <c r="A388" i="16"/>
  <c r="A389" i="16"/>
  <c r="A390" i="16"/>
  <c r="A391" i="16"/>
  <c r="A392" i="16"/>
  <c r="A393" i="16"/>
  <c r="A394" i="16"/>
  <c r="A395" i="16"/>
  <c r="A396" i="16"/>
  <c r="A397" i="16"/>
  <c r="A398" i="16"/>
  <c r="A399" i="16"/>
  <c r="A400" i="16"/>
  <c r="A401" i="16"/>
  <c r="A402" i="16"/>
  <c r="A403" i="16"/>
  <c r="A404" i="16"/>
  <c r="A405" i="16"/>
  <c r="A406" i="16"/>
  <c r="A407" i="16"/>
  <c r="A408" i="16"/>
  <c r="A409" i="16"/>
  <c r="A410" i="16"/>
  <c r="A411" i="16"/>
  <c r="A412" i="16"/>
  <c r="A413" i="16"/>
  <c r="A414" i="16"/>
  <c r="A415" i="16"/>
  <c r="A416" i="16"/>
  <c r="A417" i="16"/>
  <c r="A418" i="16"/>
  <c r="A419" i="16"/>
  <c r="A420" i="16"/>
  <c r="A421" i="16"/>
  <c r="A422" i="16"/>
  <c r="A423" i="16"/>
  <c r="A424" i="16"/>
  <c r="A425" i="16"/>
  <c r="A426" i="16"/>
  <c r="A427" i="16"/>
  <c r="A428" i="16"/>
  <c r="A429" i="16"/>
  <c r="A430" i="16"/>
  <c r="A431" i="16"/>
  <c r="A432" i="16"/>
  <c r="A433" i="16"/>
  <c r="A434" i="16"/>
  <c r="A435" i="16"/>
  <c r="A436" i="16"/>
  <c r="A437" i="16"/>
  <c r="A438" i="16"/>
  <c r="A439" i="16"/>
  <c r="A440" i="16"/>
  <c r="A441" i="16"/>
  <c r="A442" i="16"/>
  <c r="A443" i="16"/>
  <c r="A444" i="16"/>
  <c r="A445" i="16"/>
  <c r="A446" i="16"/>
  <c r="A447" i="16"/>
  <c r="A448" i="16"/>
  <c r="A449" i="16"/>
  <c r="A450" i="16"/>
  <c r="A451" i="16"/>
  <c r="A452" i="16"/>
  <c r="A453" i="16"/>
  <c r="A454" i="16"/>
  <c r="A455" i="16"/>
  <c r="A456" i="16"/>
  <c r="A457" i="16"/>
  <c r="A458" i="16"/>
  <c r="A459" i="16"/>
  <c r="A460" i="16"/>
  <c r="A461" i="16"/>
  <c r="A462" i="16"/>
  <c r="A463" i="16"/>
  <c r="A464" i="16"/>
  <c r="A465" i="16"/>
  <c r="A466" i="16"/>
  <c r="A467" i="16"/>
  <c r="A468" i="16"/>
  <c r="A469" i="16"/>
  <c r="A470" i="16"/>
  <c r="A471" i="16"/>
  <c r="A472" i="16"/>
  <c r="A473" i="16"/>
  <c r="A474" i="16"/>
  <c r="A475" i="16"/>
  <c r="A476" i="16"/>
  <c r="A477" i="16"/>
  <c r="A478" i="16"/>
  <c r="A479" i="16"/>
  <c r="A480" i="16"/>
  <c r="A481" i="16"/>
  <c r="A482" i="16"/>
  <c r="A483" i="16"/>
  <c r="A484" i="16"/>
  <c r="A485" i="16"/>
  <c r="A486" i="16"/>
  <c r="A487" i="16"/>
  <c r="A488" i="16"/>
  <c r="A489" i="16"/>
  <c r="A490" i="16"/>
  <c r="A491" i="16"/>
  <c r="A492" i="16"/>
  <c r="A493" i="16"/>
  <c r="A494" i="16"/>
  <c r="A495" i="16"/>
  <c r="A496" i="16"/>
  <c r="A497" i="16"/>
  <c r="A498" i="16"/>
  <c r="A499" i="16"/>
  <c r="A500" i="16"/>
  <c r="A501" i="16"/>
  <c r="A502" i="16"/>
  <c r="A503" i="16"/>
  <c r="A504" i="16"/>
  <c r="A505" i="16"/>
  <c r="A506" i="16"/>
  <c r="A507" i="16"/>
  <c r="A508" i="16"/>
  <c r="A509" i="16"/>
  <c r="A510" i="16"/>
  <c r="A511" i="16"/>
  <c r="A512" i="16"/>
  <c r="A513" i="16"/>
  <c r="A514" i="16"/>
  <c r="A515" i="16"/>
  <c r="A516" i="16"/>
  <c r="A517" i="16"/>
  <c r="A518" i="16"/>
  <c r="A519" i="16"/>
  <c r="A520" i="16"/>
  <c r="A521" i="16"/>
  <c r="A522" i="16"/>
  <c r="A523" i="16"/>
  <c r="A524" i="16"/>
  <c r="A525" i="16"/>
  <c r="A526" i="16"/>
  <c r="A527" i="16"/>
  <c r="A528" i="16"/>
  <c r="A529" i="16"/>
  <c r="A530" i="16"/>
  <c r="A531" i="16"/>
  <c r="A532" i="16"/>
  <c r="A533" i="16"/>
  <c r="A534" i="16"/>
  <c r="A535" i="16"/>
  <c r="A536" i="16"/>
  <c r="A537" i="16"/>
  <c r="A538" i="16"/>
  <c r="A539" i="16"/>
  <c r="A540" i="16"/>
  <c r="A541" i="16"/>
  <c r="A542" i="16"/>
  <c r="A543" i="16"/>
  <c r="A544" i="16"/>
  <c r="A545" i="16"/>
  <c r="A546" i="16"/>
  <c r="A547" i="16"/>
  <c r="A548" i="16"/>
  <c r="A549" i="16"/>
  <c r="A550" i="16"/>
  <c r="A551" i="16"/>
  <c r="A552" i="16"/>
  <c r="A553" i="16"/>
  <c r="A554" i="16"/>
  <c r="A555" i="16"/>
  <c r="A556" i="16"/>
  <c r="A557" i="16"/>
  <c r="A558" i="16"/>
  <c r="A559" i="16"/>
  <c r="A560" i="16"/>
  <c r="A561" i="16"/>
  <c r="A562" i="16"/>
  <c r="A563" i="16"/>
  <c r="A564" i="16"/>
  <c r="A565" i="16"/>
  <c r="A566" i="16"/>
  <c r="A567" i="16"/>
  <c r="A568" i="16"/>
  <c r="A569" i="16"/>
  <c r="A570" i="16"/>
  <c r="A571" i="16"/>
  <c r="A572" i="16"/>
  <c r="A573" i="16"/>
  <c r="A574" i="16"/>
  <c r="A575" i="16"/>
  <c r="A576" i="16"/>
  <c r="A577" i="16"/>
  <c r="A578" i="16"/>
  <c r="A579" i="16"/>
  <c r="A580" i="16"/>
  <c r="A581" i="16"/>
  <c r="A582" i="16"/>
  <c r="A583" i="16"/>
  <c r="A584" i="16"/>
  <c r="A585" i="16"/>
  <c r="A586" i="16"/>
  <c r="A587" i="16"/>
  <c r="A588" i="16"/>
  <c r="A589" i="16"/>
  <c r="A590" i="16"/>
  <c r="A591" i="16"/>
  <c r="A592" i="16"/>
  <c r="A593" i="16"/>
  <c r="A594" i="16"/>
  <c r="A595" i="16"/>
  <c r="A596" i="16"/>
  <c r="A597" i="16"/>
  <c r="A598" i="16"/>
  <c r="A599" i="16"/>
  <c r="A600" i="16"/>
  <c r="A601" i="16"/>
  <c r="A602" i="16"/>
  <c r="A603" i="16"/>
  <c r="A604" i="16"/>
  <c r="A605" i="16"/>
  <c r="A606" i="16"/>
  <c r="A607" i="16"/>
  <c r="A608" i="16"/>
  <c r="A609" i="16"/>
  <c r="A610" i="16"/>
  <c r="A611" i="16"/>
  <c r="A612" i="16"/>
  <c r="A613" i="16"/>
  <c r="A614" i="16"/>
  <c r="A615" i="16"/>
  <c r="A616" i="16"/>
  <c r="A617" i="16"/>
  <c r="A618" i="16"/>
  <c r="A619" i="16"/>
  <c r="A620" i="16"/>
  <c r="A621" i="16"/>
  <c r="A622" i="16"/>
  <c r="A623" i="16"/>
  <c r="A624" i="16"/>
  <c r="A625" i="16"/>
  <c r="A626" i="16"/>
  <c r="A627" i="16"/>
  <c r="A628" i="16"/>
  <c r="A629" i="16"/>
  <c r="A630" i="16"/>
  <c r="A631" i="16"/>
  <c r="A632" i="16"/>
  <c r="A633" i="16"/>
  <c r="A634" i="16"/>
  <c r="A635" i="16"/>
  <c r="A636" i="16"/>
  <c r="A637" i="16"/>
  <c r="A638" i="16"/>
  <c r="A639" i="16"/>
  <c r="A640" i="16"/>
  <c r="A641" i="16"/>
  <c r="A642" i="16"/>
  <c r="A643" i="16"/>
  <c r="A644" i="16"/>
  <c r="A645" i="16"/>
  <c r="A646" i="16"/>
  <c r="A647" i="16"/>
  <c r="A648" i="16"/>
  <c r="A649" i="16"/>
  <c r="A650" i="16"/>
  <c r="A651" i="16"/>
  <c r="A652" i="16"/>
  <c r="A653" i="16"/>
  <c r="A654" i="16"/>
  <c r="A655" i="16"/>
  <c r="A656" i="16"/>
  <c r="A657" i="16"/>
  <c r="A658" i="16"/>
  <c r="A659" i="16"/>
  <c r="A660" i="16"/>
  <c r="A661" i="16"/>
  <c r="A662" i="16"/>
  <c r="A663" i="16"/>
  <c r="A664" i="16"/>
  <c r="A665" i="16"/>
  <c r="A666" i="16"/>
  <c r="A667" i="16"/>
  <c r="A668" i="16"/>
  <c r="A669" i="16"/>
  <c r="A670" i="16"/>
  <c r="A671" i="16"/>
  <c r="A672" i="16"/>
  <c r="A673" i="16"/>
  <c r="A674" i="16"/>
  <c r="A675" i="16"/>
  <c r="A676" i="16"/>
  <c r="A677" i="16"/>
  <c r="A678" i="16"/>
  <c r="A679" i="16"/>
  <c r="A680" i="16"/>
  <c r="A681" i="16"/>
  <c r="A682" i="16"/>
  <c r="A683" i="16"/>
  <c r="A684" i="16"/>
  <c r="A685" i="16"/>
  <c r="A686" i="16"/>
  <c r="A687" i="16"/>
  <c r="A688" i="16"/>
  <c r="A689" i="16"/>
  <c r="A690" i="16"/>
  <c r="A691" i="16"/>
  <c r="A692" i="16"/>
  <c r="A693" i="16"/>
  <c r="A694" i="16"/>
  <c r="A695" i="16"/>
  <c r="A696" i="16"/>
  <c r="A697" i="16"/>
  <c r="A698" i="16"/>
  <c r="A699" i="16"/>
  <c r="A700" i="16"/>
  <c r="A701" i="16"/>
  <c r="A702" i="16"/>
  <c r="A703" i="16"/>
  <c r="A704" i="16"/>
  <c r="A705" i="16"/>
  <c r="A706" i="16"/>
  <c r="A707" i="16"/>
  <c r="A708" i="16"/>
  <c r="A709" i="16"/>
  <c r="A710" i="16"/>
  <c r="A711" i="16"/>
  <c r="A712" i="16"/>
  <c r="A713" i="16"/>
  <c r="A714" i="16"/>
  <c r="A715" i="16"/>
  <c r="A716" i="16"/>
  <c r="A717" i="16"/>
  <c r="A718" i="16"/>
  <c r="A719" i="16"/>
  <c r="A720" i="16"/>
  <c r="A721" i="16"/>
  <c r="A722" i="16"/>
  <c r="A723" i="16"/>
  <c r="A724" i="16"/>
  <c r="A725" i="16"/>
  <c r="A726" i="16"/>
  <c r="A727" i="16"/>
  <c r="A728" i="16"/>
  <c r="A729" i="16"/>
  <c r="A730" i="16"/>
  <c r="A731" i="16"/>
  <c r="A732" i="16"/>
  <c r="A733" i="16"/>
  <c r="A734" i="16"/>
  <c r="A735" i="16"/>
  <c r="A736" i="16"/>
  <c r="A737" i="16"/>
  <c r="A738" i="16"/>
  <c r="A739" i="16"/>
  <c r="A740" i="16"/>
  <c r="A741" i="16"/>
  <c r="A742" i="16"/>
  <c r="A743" i="16"/>
  <c r="A744" i="16"/>
  <c r="A745" i="16"/>
  <c r="A746" i="16"/>
  <c r="A747" i="16"/>
  <c r="A748" i="16"/>
  <c r="A749" i="16"/>
  <c r="A750" i="16"/>
  <c r="A751" i="16"/>
  <c r="A752" i="16"/>
  <c r="A753" i="16"/>
  <c r="A754" i="16"/>
  <c r="A755" i="16"/>
  <c r="A756" i="16"/>
  <c r="A757" i="16"/>
  <c r="A758" i="16"/>
  <c r="A759" i="16"/>
  <c r="A760" i="16"/>
  <c r="A761" i="16"/>
  <c r="A762" i="16"/>
  <c r="A763" i="16"/>
  <c r="A764" i="16"/>
  <c r="A765" i="16"/>
  <c r="A766" i="16"/>
  <c r="A767" i="16"/>
  <c r="A768" i="16"/>
  <c r="A769" i="16"/>
  <c r="A770" i="16"/>
  <c r="A771" i="16"/>
  <c r="A772" i="16"/>
  <c r="A773" i="16"/>
  <c r="A774" i="16"/>
  <c r="A775" i="16"/>
  <c r="A776" i="16"/>
  <c r="A777" i="16"/>
  <c r="A778" i="16"/>
  <c r="A779" i="16"/>
  <c r="A780" i="16"/>
  <c r="A781" i="16"/>
  <c r="A782" i="16"/>
  <c r="A783" i="16"/>
  <c r="A784" i="16"/>
  <c r="A785" i="16"/>
  <c r="A786" i="16"/>
  <c r="A787" i="16"/>
  <c r="A788" i="16"/>
  <c r="A789" i="16"/>
  <c r="A790" i="16"/>
  <c r="A791" i="16"/>
  <c r="A792" i="16"/>
  <c r="A793" i="16"/>
  <c r="A794" i="16"/>
  <c r="A795" i="16"/>
  <c r="A796" i="16"/>
  <c r="A797" i="16"/>
  <c r="A798" i="16"/>
  <c r="A799" i="16"/>
  <c r="A800" i="16"/>
  <c r="A801" i="16"/>
  <c r="A802" i="16"/>
  <c r="A803" i="16"/>
  <c r="A804" i="16"/>
  <c r="A805" i="16"/>
  <c r="A806" i="16"/>
  <c r="A807" i="16"/>
  <c r="A808" i="16"/>
  <c r="A809" i="16"/>
  <c r="A810" i="16"/>
  <c r="A811" i="16"/>
  <c r="A812" i="16"/>
  <c r="A813" i="16"/>
  <c r="A814" i="16"/>
  <c r="A815" i="16"/>
  <c r="A816" i="16"/>
  <c r="A817" i="16"/>
  <c r="A818" i="16"/>
  <c r="A819" i="16"/>
  <c r="A820" i="16"/>
  <c r="A821" i="16"/>
  <c r="A822" i="16"/>
  <c r="A823" i="16"/>
  <c r="A824" i="16"/>
  <c r="A825" i="16"/>
  <c r="A826" i="16"/>
  <c r="A827" i="16"/>
  <c r="A828" i="16"/>
  <c r="A829" i="16"/>
  <c r="A830" i="16"/>
  <c r="A831" i="16"/>
  <c r="A832" i="16"/>
  <c r="A833" i="16"/>
  <c r="A834" i="16"/>
  <c r="A835" i="16"/>
  <c r="A836" i="16"/>
  <c r="A837" i="16"/>
  <c r="A838" i="16"/>
  <c r="A839" i="16"/>
  <c r="A840" i="16"/>
  <c r="A841" i="16"/>
  <c r="A842" i="16"/>
  <c r="A843" i="16"/>
  <c r="A844" i="16"/>
  <c r="A845" i="16"/>
  <c r="A846" i="16"/>
  <c r="A847" i="16"/>
  <c r="A848" i="16"/>
  <c r="A849" i="16"/>
  <c r="A850" i="16"/>
  <c r="A851" i="16"/>
  <c r="A852" i="16"/>
  <c r="A853" i="16"/>
  <c r="A854" i="16"/>
  <c r="A855" i="16"/>
  <c r="A856" i="16"/>
  <c r="A857" i="16"/>
  <c r="A858" i="16"/>
  <c r="A859" i="16"/>
  <c r="A860" i="16"/>
  <c r="A861" i="16"/>
  <c r="A862" i="16"/>
  <c r="A863" i="16"/>
  <c r="A864" i="16"/>
  <c r="A865" i="16"/>
  <c r="A866" i="16"/>
  <c r="A867" i="16"/>
  <c r="A868" i="16"/>
  <c r="A869" i="16"/>
  <c r="A870" i="16"/>
  <c r="A871" i="16"/>
  <c r="A872" i="16"/>
  <c r="A873" i="16"/>
  <c r="A874" i="16"/>
  <c r="A875" i="16"/>
  <c r="A876" i="16"/>
  <c r="A877" i="16"/>
  <c r="A878" i="16"/>
  <c r="A879" i="16"/>
  <c r="A880" i="16"/>
  <c r="A881" i="16"/>
  <c r="A882" i="16"/>
  <c r="A883" i="16"/>
  <c r="A884" i="16"/>
  <c r="A885" i="16"/>
  <c r="A886" i="16"/>
  <c r="A887" i="16"/>
  <c r="A888" i="16"/>
  <c r="A889" i="16"/>
  <c r="A890" i="16"/>
  <c r="A891" i="16"/>
  <c r="A892" i="16"/>
  <c r="A893" i="16"/>
  <c r="A894" i="16"/>
  <c r="A895" i="16"/>
  <c r="A896" i="16"/>
  <c r="A897" i="16"/>
  <c r="A898" i="16"/>
  <c r="A899" i="16"/>
  <c r="A900" i="16"/>
  <c r="A901" i="16"/>
  <c r="A902" i="16"/>
  <c r="A903" i="16"/>
  <c r="A904" i="16"/>
  <c r="A905" i="16"/>
  <c r="A906" i="16"/>
  <c r="A907" i="16"/>
  <c r="A908" i="16"/>
  <c r="A909" i="16"/>
  <c r="A910" i="16"/>
  <c r="A911" i="16"/>
  <c r="A912" i="16"/>
  <c r="A913" i="16"/>
  <c r="A914" i="16"/>
  <c r="A915" i="16"/>
  <c r="A916" i="16"/>
  <c r="A917" i="16"/>
  <c r="A918" i="16"/>
  <c r="A919" i="16"/>
  <c r="A920" i="16"/>
  <c r="A921" i="16"/>
  <c r="A922" i="16"/>
  <c r="A923" i="16"/>
  <c r="A924" i="16"/>
  <c r="A925" i="16"/>
  <c r="A926" i="16"/>
  <c r="A927" i="16"/>
  <c r="A928" i="16"/>
  <c r="A929" i="16"/>
  <c r="A930" i="16"/>
  <c r="A931" i="16"/>
  <c r="A932" i="16"/>
  <c r="A933" i="16"/>
  <c r="A934" i="16"/>
  <c r="A935" i="16"/>
  <c r="A936" i="16"/>
  <c r="A937" i="16"/>
  <c r="A938" i="16"/>
  <c r="A939" i="16"/>
  <c r="A940" i="16"/>
  <c r="A941" i="16"/>
  <c r="A942" i="16"/>
  <c r="A943" i="16"/>
  <c r="A944" i="16"/>
  <c r="A945" i="16"/>
  <c r="A946" i="16"/>
  <c r="A947" i="16"/>
  <c r="A948" i="16"/>
  <c r="A949" i="16"/>
  <c r="A950" i="16"/>
  <c r="A951" i="16"/>
  <c r="A952" i="16"/>
  <c r="A953" i="16"/>
  <c r="A954" i="16"/>
  <c r="A955" i="16"/>
  <c r="A956" i="16"/>
  <c r="A957" i="16"/>
  <c r="A958" i="16"/>
  <c r="A959" i="16"/>
  <c r="A960" i="16"/>
  <c r="A961" i="16"/>
  <c r="A962" i="16"/>
  <c r="A963" i="16"/>
  <c r="A964" i="16"/>
  <c r="A965" i="16"/>
  <c r="A966" i="16"/>
  <c r="A967" i="16"/>
  <c r="A968" i="16"/>
  <c r="A969" i="16"/>
  <c r="A970" i="16"/>
  <c r="A971" i="16"/>
  <c r="A972" i="16"/>
  <c r="A973" i="16"/>
  <c r="A974" i="16"/>
  <c r="A975" i="16"/>
  <c r="A976" i="16"/>
  <c r="A977" i="16"/>
  <c r="A978" i="16"/>
  <c r="A979" i="16"/>
  <c r="A980" i="16"/>
  <c r="A981" i="16"/>
  <c r="A982" i="16"/>
  <c r="A983" i="16"/>
  <c r="A984" i="16"/>
  <c r="A985" i="16"/>
  <c r="A986" i="16"/>
  <c r="A987" i="16"/>
  <c r="A988" i="16"/>
  <c r="A989" i="16"/>
  <c r="A990" i="16"/>
  <c r="A991" i="16"/>
  <c r="A992" i="16"/>
  <c r="A993" i="16"/>
  <c r="A994" i="16"/>
  <c r="A995" i="16"/>
  <c r="A996" i="16"/>
  <c r="A997" i="16"/>
  <c r="A998" i="16"/>
  <c r="A999" i="16"/>
  <c r="A1000" i="16"/>
  <c r="A1001" i="16"/>
  <c r="A1002" i="16"/>
  <c r="A1003" i="16"/>
  <c r="A1004" i="16"/>
  <c r="A1005" i="16"/>
  <c r="A1006" i="16"/>
  <c r="A1007" i="16"/>
  <c r="A1008" i="16"/>
  <c r="A1009" i="16"/>
  <c r="A1010" i="16"/>
  <c r="A1011" i="16"/>
  <c r="A1012" i="16"/>
  <c r="A1013" i="16"/>
  <c r="A1014" i="16"/>
  <c r="A1015" i="16"/>
  <c r="A1016" i="16"/>
  <c r="A1017" i="16"/>
  <c r="A1018" i="16"/>
  <c r="A1019" i="16"/>
  <c r="A1020" i="16"/>
  <c r="A1021" i="16"/>
  <c r="A1022" i="16"/>
  <c r="A1023" i="16"/>
  <c r="A1024" i="16"/>
  <c r="A1025" i="16"/>
  <c r="A1026" i="16"/>
  <c r="A1027" i="16"/>
  <c r="A1028" i="16"/>
  <c r="A1029" i="16"/>
  <c r="A1030" i="16"/>
  <c r="A1031" i="16"/>
  <c r="A1032" i="16"/>
  <c r="A1033" i="16"/>
  <c r="A1034" i="16"/>
  <c r="A1035" i="16"/>
  <c r="A1036" i="16"/>
  <c r="A1037" i="16"/>
  <c r="A1038" i="16"/>
  <c r="A1039" i="16"/>
  <c r="A1040" i="16"/>
  <c r="A1041" i="16"/>
  <c r="A1042" i="16"/>
  <c r="A1043" i="16"/>
  <c r="A1044" i="16"/>
  <c r="A1045" i="16"/>
  <c r="A1046" i="16"/>
  <c r="A1047" i="16"/>
  <c r="A1048" i="16"/>
  <c r="A1049" i="16"/>
  <c r="A1050" i="16"/>
  <c r="A1051" i="16"/>
  <c r="A1052" i="16"/>
  <c r="A1053" i="16"/>
  <c r="A1054" i="16"/>
  <c r="A1055" i="16"/>
  <c r="A1056" i="16"/>
  <c r="A1057" i="16"/>
  <c r="A1058" i="16"/>
  <c r="A1059" i="16"/>
  <c r="A1060" i="16"/>
  <c r="A1061" i="16"/>
  <c r="A1062" i="16"/>
  <c r="A1063" i="16"/>
  <c r="A1064" i="16"/>
  <c r="A1065" i="16"/>
  <c r="A1066" i="16"/>
  <c r="A1067" i="16"/>
  <c r="A1068" i="16"/>
  <c r="A1069" i="16"/>
  <c r="A1070" i="16"/>
  <c r="A1071" i="16"/>
  <c r="A1072" i="16"/>
  <c r="A1073" i="16"/>
  <c r="A1074" i="16"/>
  <c r="A1075" i="16"/>
  <c r="A1076" i="16"/>
  <c r="A1077" i="16"/>
  <c r="A1078" i="16"/>
  <c r="A1079" i="16"/>
  <c r="A1080" i="16"/>
  <c r="A1081" i="16"/>
  <c r="A1082" i="16"/>
  <c r="A1083" i="16"/>
  <c r="A1084" i="16"/>
  <c r="A1085" i="16"/>
  <c r="A1086" i="16"/>
  <c r="A1087" i="16"/>
  <c r="A1088" i="16"/>
  <c r="A1089" i="16"/>
  <c r="A1090" i="16"/>
  <c r="A1091" i="16"/>
  <c r="A1092" i="16"/>
  <c r="A1093" i="16"/>
  <c r="A1094" i="16"/>
  <c r="A1095" i="16"/>
  <c r="A1096" i="16"/>
  <c r="A1097" i="16"/>
  <c r="A1098" i="16"/>
  <c r="A1099" i="16"/>
  <c r="A1100" i="16"/>
  <c r="A1101" i="16"/>
  <c r="A1102" i="16"/>
  <c r="A1103" i="16"/>
  <c r="A1104" i="16"/>
  <c r="A1105" i="16"/>
  <c r="A1106" i="16"/>
  <c r="A1107" i="16"/>
  <c r="A1108" i="16"/>
  <c r="A1109" i="16"/>
  <c r="A1110" i="16"/>
  <c r="A1111" i="16"/>
  <c r="A1112" i="16"/>
  <c r="A1113" i="16"/>
  <c r="A1114" i="16"/>
  <c r="A1115" i="16"/>
  <c r="A1116" i="16"/>
  <c r="A1117" i="16"/>
  <c r="A1118" i="16"/>
  <c r="A1119" i="16"/>
  <c r="A1120" i="16"/>
  <c r="A1121" i="16"/>
  <c r="A1122" i="16"/>
  <c r="A1123" i="16"/>
  <c r="A1124" i="16"/>
  <c r="A1125" i="16"/>
  <c r="A1126" i="16"/>
  <c r="A1127" i="16"/>
  <c r="A1128" i="16"/>
  <c r="A1129" i="16"/>
  <c r="A1130" i="16"/>
  <c r="A1131" i="16"/>
  <c r="A1132" i="16"/>
  <c r="A1133" i="16"/>
  <c r="A1134" i="16"/>
  <c r="A1135" i="16"/>
  <c r="A1136" i="16"/>
  <c r="A1137" i="16"/>
  <c r="A1138" i="16"/>
  <c r="A1139" i="16"/>
  <c r="A1140" i="16"/>
  <c r="A1141" i="16"/>
  <c r="A1142" i="16"/>
  <c r="A1143" i="16"/>
  <c r="A1144" i="16"/>
  <c r="A1145" i="16"/>
  <c r="A1146" i="16"/>
  <c r="A1147" i="16"/>
  <c r="A1148" i="16"/>
  <c r="A1149" i="16"/>
  <c r="A1150" i="16"/>
  <c r="A1151" i="16"/>
  <c r="A1152" i="16"/>
  <c r="A1153" i="16"/>
  <c r="A1154" i="16"/>
  <c r="A1155" i="16"/>
  <c r="A1156" i="16"/>
  <c r="A1157" i="16"/>
  <c r="A1158" i="16"/>
  <c r="A1159" i="16"/>
  <c r="A1160" i="16"/>
  <c r="A1161" i="16"/>
  <c r="A1162" i="16"/>
  <c r="A1163" i="16"/>
  <c r="A1164" i="16"/>
  <c r="A1165" i="16"/>
  <c r="A1166" i="16"/>
  <c r="A1167" i="16"/>
  <c r="A1168" i="16"/>
  <c r="A1169" i="16"/>
  <c r="A1170" i="16"/>
  <c r="A1171" i="16"/>
  <c r="A1172" i="16"/>
  <c r="A1173" i="16"/>
  <c r="A1174" i="16"/>
  <c r="A1175" i="16"/>
  <c r="A1176" i="16"/>
  <c r="A1177" i="16"/>
  <c r="A1178" i="16"/>
  <c r="A1179" i="16"/>
  <c r="B3" i="16"/>
  <c r="B4" i="16"/>
  <c r="B5" i="16"/>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323" i="16"/>
  <c r="C324" i="16"/>
  <c r="C325" i="16"/>
  <c r="C326" i="16"/>
  <c r="C327" i="16"/>
  <c r="C328" i="16"/>
  <c r="C329" i="16"/>
  <c r="C330" i="16"/>
  <c r="C331" i="16"/>
  <c r="C332" i="16"/>
  <c r="C333" i="16"/>
  <c r="C334" i="16"/>
  <c r="C335" i="16"/>
  <c r="C336" i="16"/>
  <c r="C337" i="16"/>
  <c r="C338" i="16"/>
  <c r="C339" i="16"/>
  <c r="C340" i="16"/>
  <c r="C341" i="16"/>
  <c r="C342" i="16"/>
  <c r="C343" i="16"/>
  <c r="C344" i="16"/>
  <c r="C345" i="16"/>
  <c r="C346" i="16"/>
  <c r="C347" i="16"/>
  <c r="C348" i="16"/>
  <c r="C349" i="16"/>
  <c r="C350" i="16"/>
  <c r="C351" i="16"/>
  <c r="C352" i="16"/>
  <c r="C353" i="16"/>
  <c r="C354" i="16"/>
  <c r="C355" i="16"/>
  <c r="C356" i="16"/>
  <c r="C357" i="16"/>
  <c r="C358" i="16"/>
  <c r="C359" i="16"/>
  <c r="C360" i="16"/>
  <c r="C361" i="16"/>
  <c r="C362" i="16"/>
  <c r="C363" i="16"/>
  <c r="C364" i="16"/>
  <c r="C365" i="16"/>
  <c r="C366" i="16"/>
  <c r="C367" i="16"/>
  <c r="C368" i="16"/>
  <c r="C369" i="16"/>
  <c r="C370" i="16"/>
  <c r="C371" i="16"/>
  <c r="C372" i="16"/>
  <c r="C373" i="16"/>
  <c r="C374" i="16"/>
  <c r="C375" i="16"/>
  <c r="C376" i="16"/>
  <c r="C377" i="16"/>
  <c r="C378" i="16"/>
  <c r="C379" i="16"/>
  <c r="C380" i="16"/>
  <c r="C381" i="16"/>
  <c r="C382" i="16"/>
  <c r="C383" i="16"/>
  <c r="C384" i="16"/>
  <c r="C385" i="16"/>
  <c r="C386" i="16"/>
  <c r="C387" i="16"/>
  <c r="C388" i="16"/>
  <c r="C389" i="16"/>
  <c r="C390" i="16"/>
  <c r="C391" i="16"/>
  <c r="C392" i="16"/>
  <c r="C393" i="16"/>
  <c r="C394" i="16"/>
  <c r="C395" i="16"/>
  <c r="C396" i="16"/>
  <c r="C397" i="16"/>
  <c r="C398" i="16"/>
  <c r="C399" i="16"/>
  <c r="C400" i="16"/>
  <c r="C401" i="16"/>
  <c r="C402" i="16"/>
  <c r="C403" i="16"/>
  <c r="C404" i="16"/>
  <c r="C405" i="16"/>
  <c r="C406" i="16"/>
  <c r="C407" i="16"/>
  <c r="C408" i="16"/>
  <c r="C409" i="16"/>
  <c r="C410" i="16"/>
  <c r="C411" i="16"/>
  <c r="C412" i="16"/>
  <c r="C413" i="16"/>
  <c r="C414" i="16"/>
  <c r="C415" i="16"/>
  <c r="C416" i="16"/>
  <c r="C417" i="16"/>
  <c r="C418" i="16"/>
  <c r="C419" i="16"/>
  <c r="C420" i="16"/>
  <c r="C421" i="16"/>
  <c r="C422" i="16"/>
  <c r="C423" i="16"/>
  <c r="C424" i="16"/>
  <c r="C425" i="16"/>
  <c r="C426" i="16"/>
  <c r="C427" i="16"/>
  <c r="C428" i="16"/>
  <c r="C429" i="16"/>
  <c r="C430" i="16"/>
  <c r="C431" i="16"/>
  <c r="C432" i="16"/>
  <c r="C433" i="16"/>
  <c r="C434" i="16"/>
  <c r="C435" i="16"/>
  <c r="C436" i="16"/>
  <c r="C437" i="16"/>
  <c r="C438" i="16"/>
  <c r="C439" i="16"/>
  <c r="C440" i="16"/>
  <c r="C441" i="16"/>
  <c r="C442" i="16"/>
  <c r="C443" i="16"/>
  <c r="C444" i="16"/>
  <c r="C445" i="16"/>
  <c r="C446" i="16"/>
  <c r="C447" i="16"/>
  <c r="C448" i="16"/>
  <c r="C449" i="16"/>
  <c r="C450" i="16"/>
  <c r="C451" i="16"/>
  <c r="C452" i="16"/>
  <c r="C453" i="16"/>
  <c r="C454" i="16"/>
  <c r="C455" i="16"/>
  <c r="C456" i="16"/>
  <c r="C457" i="16"/>
  <c r="C458" i="16"/>
  <c r="C459" i="16"/>
  <c r="C460" i="16"/>
  <c r="C461" i="16"/>
  <c r="C462" i="16"/>
  <c r="C463" i="16"/>
  <c r="C464" i="16"/>
  <c r="C465" i="16"/>
  <c r="C466" i="16"/>
  <c r="C467" i="16"/>
  <c r="C468" i="16"/>
  <c r="C469" i="16"/>
  <c r="C470" i="16"/>
  <c r="C471" i="16"/>
  <c r="C472" i="16"/>
  <c r="C473" i="16"/>
  <c r="C474" i="16"/>
  <c r="C475" i="16"/>
  <c r="C476" i="16"/>
  <c r="C477" i="16"/>
  <c r="C478" i="16"/>
  <c r="C479" i="16"/>
  <c r="C480" i="16"/>
  <c r="C481" i="16"/>
  <c r="C482" i="16"/>
  <c r="C483" i="16"/>
  <c r="C484" i="16"/>
  <c r="C485" i="16"/>
  <c r="C486" i="16"/>
  <c r="C487" i="16"/>
  <c r="C488" i="16"/>
  <c r="C489" i="16"/>
  <c r="C490" i="16"/>
  <c r="C491" i="16"/>
  <c r="C492" i="16"/>
  <c r="C493" i="16"/>
  <c r="C494" i="16"/>
  <c r="C495" i="16"/>
  <c r="C496" i="16"/>
  <c r="C497" i="16"/>
  <c r="C498" i="16"/>
  <c r="C499" i="16"/>
  <c r="C500" i="16"/>
  <c r="C501" i="16"/>
  <c r="C502" i="16"/>
  <c r="C503" i="16"/>
  <c r="C504" i="16"/>
  <c r="C505" i="16"/>
  <c r="C506" i="16"/>
  <c r="C507" i="16"/>
  <c r="C508" i="16"/>
  <c r="C509" i="16"/>
  <c r="C510" i="16"/>
  <c r="C511" i="16"/>
  <c r="C512" i="16"/>
  <c r="C513" i="16"/>
  <c r="C514" i="16"/>
  <c r="C515" i="16"/>
  <c r="C516" i="16"/>
  <c r="C517" i="16"/>
  <c r="C518" i="16"/>
  <c r="C519" i="16"/>
  <c r="C520" i="16"/>
  <c r="C521" i="16"/>
  <c r="C522" i="16"/>
  <c r="C523" i="16"/>
  <c r="C524" i="16"/>
  <c r="C525" i="16"/>
  <c r="C526" i="16"/>
  <c r="C527" i="16"/>
  <c r="C528" i="16"/>
  <c r="C529" i="16"/>
  <c r="C530" i="16"/>
  <c r="C531" i="16"/>
  <c r="C532" i="16"/>
  <c r="C533" i="16"/>
  <c r="C534" i="16"/>
  <c r="C535" i="16"/>
  <c r="C536" i="16"/>
  <c r="C537" i="16"/>
  <c r="C538" i="16"/>
  <c r="C539" i="16"/>
  <c r="C540" i="16"/>
  <c r="C541" i="16"/>
  <c r="C542" i="16"/>
  <c r="C543" i="16"/>
  <c r="C544" i="16"/>
  <c r="C545" i="16"/>
  <c r="C546" i="16"/>
  <c r="C547" i="16"/>
  <c r="C548" i="16"/>
  <c r="C549" i="16"/>
  <c r="C550" i="16"/>
  <c r="C551" i="16"/>
  <c r="C552" i="16"/>
  <c r="C553" i="16"/>
  <c r="C554" i="16"/>
  <c r="C555" i="16"/>
  <c r="C556" i="16"/>
  <c r="C557" i="16"/>
  <c r="C558" i="16"/>
  <c r="C559" i="16"/>
  <c r="C560" i="16"/>
  <c r="C561" i="16"/>
  <c r="C562" i="16"/>
  <c r="C563" i="16"/>
  <c r="C564" i="16"/>
  <c r="C565" i="16"/>
  <c r="C566" i="16"/>
  <c r="C567" i="16"/>
  <c r="C568" i="16"/>
  <c r="C569" i="16"/>
  <c r="C570" i="16"/>
  <c r="C571" i="16"/>
  <c r="C572" i="16"/>
  <c r="C573" i="16"/>
  <c r="C574" i="16"/>
  <c r="C575" i="16"/>
  <c r="C576" i="16"/>
  <c r="C577" i="16"/>
  <c r="C578" i="16"/>
  <c r="C579" i="16"/>
  <c r="C580" i="16"/>
  <c r="C581" i="16"/>
  <c r="C582" i="16"/>
  <c r="C583" i="16"/>
  <c r="C584" i="16"/>
  <c r="C585" i="16"/>
  <c r="C586" i="16"/>
  <c r="C587" i="16"/>
  <c r="C588" i="16"/>
  <c r="C589" i="16"/>
  <c r="C590" i="16"/>
  <c r="C591" i="16"/>
  <c r="C592" i="16"/>
  <c r="C593" i="16"/>
  <c r="C594" i="16"/>
  <c r="C595" i="16"/>
  <c r="C596" i="16"/>
  <c r="C597" i="16"/>
  <c r="C598" i="16"/>
  <c r="C599" i="16"/>
  <c r="C600" i="16"/>
  <c r="C601" i="16"/>
  <c r="C602" i="16"/>
  <c r="C603" i="16"/>
  <c r="C604" i="16"/>
  <c r="C605" i="16"/>
  <c r="C606" i="16"/>
  <c r="C607" i="16"/>
  <c r="C608" i="16"/>
  <c r="C609" i="16"/>
  <c r="C610" i="16"/>
  <c r="C611" i="16"/>
  <c r="C612" i="16"/>
  <c r="C613" i="16"/>
  <c r="C614" i="16"/>
  <c r="C615" i="16"/>
  <c r="C616" i="16"/>
  <c r="C617" i="16"/>
  <c r="C618" i="16"/>
  <c r="C619" i="16"/>
  <c r="C620" i="16"/>
  <c r="C621" i="16"/>
  <c r="C622" i="16"/>
  <c r="C623" i="16"/>
  <c r="C624" i="16"/>
  <c r="C625" i="16"/>
  <c r="C626" i="16"/>
  <c r="C627" i="16"/>
  <c r="C628" i="16"/>
  <c r="C629" i="16"/>
  <c r="C630" i="16"/>
  <c r="C631" i="16"/>
  <c r="C632" i="16"/>
  <c r="C633" i="16"/>
  <c r="C634" i="16"/>
  <c r="C635" i="16"/>
  <c r="C636" i="16"/>
  <c r="C637" i="16"/>
  <c r="C638" i="16"/>
  <c r="C639" i="16"/>
  <c r="C640" i="16"/>
  <c r="C641" i="16"/>
  <c r="C642" i="16"/>
  <c r="C643" i="16"/>
  <c r="C644" i="16"/>
  <c r="C645" i="16"/>
  <c r="C646" i="16"/>
  <c r="C647" i="16"/>
  <c r="C648" i="16"/>
  <c r="C649" i="16"/>
  <c r="C650" i="16"/>
  <c r="C651" i="16"/>
  <c r="C652" i="16"/>
  <c r="C653" i="16"/>
  <c r="C654" i="16"/>
  <c r="C655" i="16"/>
  <c r="C656" i="16"/>
  <c r="C657" i="16"/>
  <c r="C658" i="16"/>
  <c r="C659" i="16"/>
  <c r="C660" i="16"/>
  <c r="C661" i="16"/>
  <c r="C662" i="16"/>
  <c r="C663" i="16"/>
  <c r="C664" i="16"/>
  <c r="C665" i="16"/>
  <c r="C666" i="16"/>
  <c r="C667" i="16"/>
  <c r="C668" i="16"/>
  <c r="C669" i="16"/>
  <c r="C670" i="16"/>
  <c r="C671" i="16"/>
  <c r="C672" i="16"/>
  <c r="C673" i="16"/>
  <c r="C674" i="16"/>
  <c r="C675" i="16"/>
  <c r="C676" i="16"/>
  <c r="C677" i="16"/>
  <c r="C678" i="16"/>
  <c r="C679" i="16"/>
  <c r="C680" i="16"/>
  <c r="C681" i="16"/>
  <c r="C682" i="16"/>
  <c r="C683" i="16"/>
  <c r="C684" i="16"/>
  <c r="C685" i="16"/>
  <c r="C686" i="16"/>
  <c r="C687" i="16"/>
  <c r="C688" i="16"/>
  <c r="C689" i="16"/>
  <c r="C690" i="16"/>
  <c r="C691" i="16"/>
  <c r="C692" i="16"/>
  <c r="C693" i="16"/>
  <c r="C694" i="16"/>
  <c r="C695" i="16"/>
  <c r="C696" i="16"/>
  <c r="C697" i="16"/>
  <c r="C698" i="16"/>
  <c r="C699" i="16"/>
  <c r="C700" i="16"/>
  <c r="C701" i="16"/>
  <c r="C702" i="16"/>
  <c r="C703" i="16"/>
  <c r="C704" i="16"/>
  <c r="C705" i="16"/>
  <c r="C706" i="16"/>
  <c r="C707" i="16"/>
  <c r="C708" i="16"/>
  <c r="C709" i="16"/>
  <c r="C710" i="16"/>
  <c r="C711" i="16"/>
  <c r="C712" i="16"/>
  <c r="C713" i="16"/>
  <c r="C714" i="16"/>
  <c r="C715" i="16"/>
  <c r="C716" i="16"/>
  <c r="C717" i="16"/>
  <c r="C718" i="16"/>
  <c r="C719" i="16"/>
  <c r="C720" i="16"/>
  <c r="C721" i="16"/>
  <c r="C722" i="16"/>
  <c r="C723" i="16"/>
  <c r="C724" i="16"/>
  <c r="C725" i="16"/>
  <c r="C726" i="16"/>
  <c r="C727" i="16"/>
  <c r="C728" i="16"/>
  <c r="C729" i="16"/>
  <c r="C730" i="16"/>
  <c r="C731" i="16"/>
  <c r="C732" i="16"/>
  <c r="C733" i="16"/>
  <c r="C734" i="16"/>
  <c r="C735" i="16"/>
  <c r="C736" i="16"/>
  <c r="C737" i="16"/>
  <c r="C738" i="16"/>
  <c r="C739" i="16"/>
  <c r="C740" i="16"/>
  <c r="C741" i="16"/>
  <c r="C742" i="16"/>
  <c r="C743" i="16"/>
  <c r="C744" i="16"/>
  <c r="C745" i="16"/>
  <c r="C746" i="16"/>
  <c r="C747" i="16"/>
  <c r="C748" i="16"/>
  <c r="C749" i="16"/>
  <c r="C750" i="16"/>
  <c r="C751" i="16"/>
  <c r="C752" i="16"/>
  <c r="C753" i="16"/>
  <c r="C754" i="16"/>
  <c r="C755" i="16"/>
  <c r="C756" i="16"/>
  <c r="C757" i="16"/>
  <c r="C758" i="16"/>
  <c r="C759" i="16"/>
  <c r="C760" i="16"/>
  <c r="C761" i="16"/>
  <c r="C762" i="16"/>
  <c r="C763" i="16"/>
  <c r="C764" i="16"/>
  <c r="C765" i="16"/>
  <c r="C766" i="16"/>
  <c r="C767" i="16"/>
  <c r="C768" i="16"/>
  <c r="C769" i="16"/>
  <c r="C770" i="16"/>
  <c r="C771" i="16"/>
  <c r="C772" i="16"/>
  <c r="C773" i="16"/>
  <c r="C774" i="16"/>
  <c r="C775" i="16"/>
  <c r="C776" i="16"/>
  <c r="C777" i="16"/>
  <c r="C778" i="16"/>
  <c r="C779" i="16"/>
  <c r="C780" i="16"/>
  <c r="C781" i="16"/>
  <c r="C782" i="16"/>
  <c r="C783" i="16"/>
  <c r="C784" i="16"/>
  <c r="C785" i="16"/>
  <c r="C786" i="16"/>
  <c r="C787" i="16"/>
  <c r="C788" i="16"/>
  <c r="C789" i="16"/>
  <c r="C790" i="16"/>
  <c r="C791" i="16"/>
  <c r="C792" i="16"/>
  <c r="C793" i="16"/>
  <c r="C794" i="16"/>
  <c r="C795" i="16"/>
  <c r="C796" i="16"/>
  <c r="C797" i="16"/>
  <c r="C798" i="16"/>
  <c r="C799" i="16"/>
  <c r="C800" i="16"/>
  <c r="C801" i="16"/>
  <c r="C802" i="16"/>
  <c r="C803" i="16"/>
  <c r="C804" i="16"/>
  <c r="C805" i="16"/>
  <c r="C806" i="16"/>
  <c r="C807" i="16"/>
  <c r="C808" i="16"/>
  <c r="C809" i="16"/>
  <c r="C810" i="16"/>
  <c r="C811" i="16"/>
  <c r="C812" i="16"/>
  <c r="C813" i="16"/>
  <c r="C814" i="16"/>
  <c r="C815" i="16"/>
  <c r="C816" i="16"/>
  <c r="C817" i="16"/>
  <c r="C818" i="16"/>
  <c r="C819" i="16"/>
  <c r="C820" i="16"/>
  <c r="C821" i="16"/>
  <c r="C822" i="16"/>
  <c r="C823" i="16"/>
  <c r="C824" i="16"/>
  <c r="C825" i="16"/>
  <c r="C826" i="16"/>
  <c r="C827" i="16"/>
  <c r="C828" i="16"/>
  <c r="C829" i="16"/>
  <c r="C830" i="16"/>
  <c r="C831" i="16"/>
  <c r="C832" i="16"/>
  <c r="C833" i="16"/>
  <c r="C834" i="16"/>
  <c r="C835" i="16"/>
  <c r="C836" i="16"/>
  <c r="C837" i="16"/>
  <c r="C838" i="16"/>
  <c r="C839" i="16"/>
  <c r="C840" i="16"/>
  <c r="C841" i="16"/>
  <c r="C842" i="16"/>
  <c r="C843" i="16"/>
  <c r="C844" i="16"/>
  <c r="C845" i="16"/>
  <c r="C846" i="16"/>
  <c r="C847" i="16"/>
  <c r="C848" i="16"/>
  <c r="C849" i="16"/>
  <c r="C850" i="16"/>
  <c r="C851" i="16"/>
  <c r="C852" i="16"/>
  <c r="C853" i="16"/>
  <c r="C854" i="16"/>
  <c r="C855" i="16"/>
  <c r="C856" i="16"/>
  <c r="C857" i="16"/>
  <c r="C858" i="16"/>
  <c r="C859" i="16"/>
  <c r="C860" i="16"/>
  <c r="C861" i="16"/>
  <c r="C862" i="16"/>
  <c r="C863" i="16"/>
  <c r="C864" i="16"/>
  <c r="C865" i="16"/>
  <c r="C866" i="16"/>
  <c r="C867" i="16"/>
  <c r="C868" i="16"/>
  <c r="C869" i="16"/>
  <c r="C870" i="16"/>
  <c r="C871" i="16"/>
  <c r="C872" i="16"/>
  <c r="C873" i="16"/>
  <c r="C874" i="16"/>
  <c r="C875" i="16"/>
  <c r="C876" i="16"/>
  <c r="C877" i="16"/>
  <c r="C878" i="16"/>
  <c r="C879" i="16"/>
  <c r="C880" i="16"/>
  <c r="C881" i="16"/>
  <c r="C882" i="16"/>
  <c r="C883" i="16"/>
  <c r="C884" i="16"/>
  <c r="C885" i="16"/>
  <c r="C886" i="16"/>
  <c r="C887" i="16"/>
  <c r="C888" i="16"/>
  <c r="C889" i="16"/>
  <c r="C890" i="16"/>
  <c r="C891" i="16"/>
  <c r="C892" i="16"/>
  <c r="C893" i="16"/>
  <c r="C894" i="16"/>
  <c r="C895" i="16"/>
  <c r="C896" i="16"/>
  <c r="C897" i="16"/>
  <c r="C898" i="16"/>
  <c r="C899" i="16"/>
  <c r="C900" i="16"/>
  <c r="C901" i="16"/>
  <c r="C902" i="16"/>
  <c r="C903" i="16"/>
  <c r="C904" i="16"/>
  <c r="C905" i="16"/>
  <c r="C906" i="16"/>
  <c r="C907" i="16"/>
  <c r="C908" i="16"/>
  <c r="C909" i="16"/>
  <c r="C910" i="16"/>
  <c r="C911" i="16"/>
  <c r="C912" i="16"/>
  <c r="C913" i="16"/>
  <c r="C914" i="16"/>
  <c r="C915" i="16"/>
  <c r="C916" i="16"/>
  <c r="C917" i="16"/>
  <c r="C918" i="16"/>
  <c r="C919" i="16"/>
  <c r="C920" i="16"/>
  <c r="C921" i="16"/>
  <c r="C922" i="16"/>
  <c r="C923" i="16"/>
  <c r="C924" i="16"/>
  <c r="C925" i="16"/>
  <c r="C926" i="16"/>
  <c r="C927" i="16"/>
  <c r="C928" i="16"/>
  <c r="C929" i="16"/>
  <c r="C930" i="16"/>
  <c r="C931" i="16"/>
  <c r="C932" i="16"/>
  <c r="C933" i="16"/>
  <c r="C934" i="16"/>
  <c r="C935" i="16"/>
  <c r="C936" i="16"/>
  <c r="C937" i="16"/>
  <c r="C938" i="16"/>
  <c r="C939" i="16"/>
  <c r="C940" i="16"/>
  <c r="C941" i="16"/>
  <c r="C942" i="16"/>
  <c r="C943" i="16"/>
  <c r="C944" i="16"/>
  <c r="C945" i="16"/>
  <c r="C946" i="16"/>
  <c r="C947" i="16"/>
  <c r="C948" i="16"/>
  <c r="C949" i="16"/>
  <c r="C950" i="16"/>
  <c r="C951" i="16"/>
  <c r="C952" i="16"/>
  <c r="C953" i="16"/>
  <c r="C954" i="16"/>
  <c r="C955" i="16"/>
  <c r="C956" i="16"/>
  <c r="C957" i="16"/>
  <c r="C958" i="16"/>
  <c r="C959" i="16"/>
  <c r="C960" i="16"/>
  <c r="C961" i="16"/>
  <c r="C962" i="16"/>
  <c r="C963" i="16"/>
  <c r="C964" i="16"/>
  <c r="C965" i="16"/>
  <c r="C966" i="16"/>
  <c r="C967" i="16"/>
  <c r="C968" i="16"/>
  <c r="C969" i="16"/>
  <c r="C970" i="16"/>
  <c r="C971" i="16"/>
  <c r="C972" i="16"/>
  <c r="C973" i="16"/>
  <c r="C974" i="16"/>
  <c r="C975" i="16"/>
  <c r="C976" i="16"/>
  <c r="C977" i="16"/>
  <c r="C978" i="16"/>
  <c r="C979" i="16"/>
  <c r="C980" i="16"/>
  <c r="C981" i="16"/>
  <c r="C982" i="16"/>
  <c r="C983" i="16"/>
  <c r="C984" i="16"/>
  <c r="C985" i="16"/>
  <c r="C986" i="16"/>
  <c r="C987" i="16"/>
  <c r="C988" i="16"/>
  <c r="C989" i="16"/>
  <c r="C990" i="16"/>
  <c r="C991" i="16"/>
  <c r="C992" i="16"/>
  <c r="C993" i="16"/>
  <c r="C994" i="16"/>
  <c r="C995" i="16"/>
  <c r="C996" i="16"/>
  <c r="C997" i="16"/>
  <c r="C998" i="16"/>
  <c r="C999" i="16"/>
  <c r="C1000" i="16"/>
  <c r="C1001" i="16"/>
  <c r="C1002" i="16"/>
  <c r="C1003" i="16"/>
  <c r="C1004" i="16"/>
  <c r="C1005" i="16"/>
  <c r="C1006" i="16"/>
  <c r="C1007" i="16"/>
  <c r="C1008" i="16"/>
  <c r="C1009" i="16"/>
  <c r="C1010" i="16"/>
  <c r="C1011" i="16"/>
  <c r="C1012" i="16"/>
  <c r="C1013" i="16"/>
  <c r="C1014" i="16"/>
  <c r="C1015" i="16"/>
  <c r="C1016" i="16"/>
  <c r="C1017" i="16"/>
  <c r="C1018" i="16"/>
  <c r="C1019" i="16"/>
  <c r="C1020" i="16"/>
  <c r="C1021" i="16"/>
  <c r="C1022" i="16"/>
  <c r="C1023" i="16"/>
  <c r="C1024" i="16"/>
  <c r="C1025" i="16"/>
  <c r="C1026" i="16"/>
  <c r="C1027" i="16"/>
  <c r="C1028" i="16"/>
  <c r="C1029" i="16"/>
  <c r="C1030" i="16"/>
  <c r="C1031" i="16"/>
  <c r="C1032" i="16"/>
  <c r="C1033" i="16"/>
  <c r="C1034" i="16"/>
  <c r="C1035" i="16"/>
  <c r="C1036" i="16"/>
  <c r="C1037" i="16"/>
  <c r="C1038" i="16"/>
  <c r="C1039" i="16"/>
  <c r="C1040" i="16"/>
  <c r="C1041" i="16"/>
  <c r="C1042" i="16"/>
  <c r="C1043" i="16"/>
  <c r="C1044" i="16"/>
  <c r="C1045" i="16"/>
  <c r="C1046" i="16"/>
  <c r="C1047" i="16"/>
  <c r="C1048" i="16"/>
  <c r="C1049" i="16"/>
  <c r="C1050" i="16"/>
  <c r="C1051" i="16"/>
  <c r="C1052" i="16"/>
  <c r="C1053" i="16"/>
  <c r="C1054" i="16"/>
  <c r="C1055" i="16"/>
  <c r="C1056" i="16"/>
  <c r="C1057" i="16"/>
  <c r="C1058" i="16"/>
  <c r="C1059" i="16"/>
  <c r="C1060" i="16"/>
  <c r="C1061" i="16"/>
  <c r="C1062" i="16"/>
  <c r="C1063" i="16"/>
  <c r="C1064" i="16"/>
  <c r="C1065" i="16"/>
  <c r="C1066" i="16"/>
  <c r="C1067" i="16"/>
  <c r="C1068" i="16"/>
  <c r="C1069" i="16"/>
  <c r="C1070" i="16"/>
  <c r="C1071" i="16"/>
  <c r="C1072" i="16"/>
  <c r="C1073" i="16"/>
  <c r="C1074" i="16"/>
  <c r="C1075" i="16"/>
  <c r="C1076" i="16"/>
  <c r="C1077" i="16"/>
  <c r="C1078" i="16"/>
  <c r="C1079" i="16"/>
  <c r="C1080" i="16"/>
  <c r="C1081" i="16"/>
  <c r="C1082" i="16"/>
  <c r="C1083" i="16"/>
  <c r="C1084" i="16"/>
  <c r="C1085" i="16"/>
  <c r="C1086" i="16"/>
  <c r="C1087" i="16"/>
  <c r="C1088" i="16"/>
  <c r="C1089" i="16"/>
  <c r="C1090" i="16"/>
  <c r="C1091" i="16"/>
  <c r="C1092" i="16"/>
  <c r="C1093" i="16"/>
  <c r="C1094" i="16"/>
  <c r="C1095" i="16"/>
  <c r="C1096" i="16"/>
  <c r="C1097" i="16"/>
  <c r="C1098" i="16"/>
  <c r="C1099" i="16"/>
  <c r="C1100" i="16"/>
  <c r="C1101" i="16"/>
  <c r="C1102" i="16"/>
  <c r="C1103" i="16"/>
  <c r="C1104" i="16"/>
  <c r="C1105" i="16"/>
  <c r="C1106" i="16"/>
  <c r="C1107" i="16"/>
  <c r="C1108" i="16"/>
  <c r="C1109" i="16"/>
  <c r="C1110" i="16"/>
  <c r="C1111" i="16"/>
  <c r="C1112" i="16"/>
  <c r="C1113" i="16"/>
  <c r="C1114" i="16"/>
  <c r="C1115" i="16"/>
  <c r="C1116" i="16"/>
  <c r="C1117" i="16"/>
  <c r="C1118" i="16"/>
  <c r="C1119" i="16"/>
  <c r="C1120" i="16"/>
  <c r="C1121" i="16"/>
  <c r="C1122" i="16"/>
  <c r="C1123" i="16"/>
  <c r="C1124" i="16"/>
  <c r="C1125" i="16"/>
  <c r="C1126" i="16"/>
  <c r="C1127" i="16"/>
  <c r="C1128" i="16"/>
  <c r="C1129" i="16"/>
  <c r="C1130" i="16"/>
  <c r="C1131" i="16"/>
  <c r="C1132" i="16"/>
  <c r="C1133" i="16"/>
  <c r="C1134" i="16"/>
  <c r="C1135" i="16"/>
  <c r="C1136" i="16"/>
  <c r="C1137" i="16"/>
  <c r="C1138" i="16"/>
  <c r="C1139" i="16"/>
  <c r="C1140" i="16"/>
  <c r="C1141" i="16"/>
  <c r="C1142" i="16"/>
  <c r="C1143" i="16"/>
  <c r="C1144" i="16"/>
  <c r="C1145" i="16"/>
  <c r="C1146" i="16"/>
  <c r="C1147" i="16"/>
  <c r="C1148" i="16"/>
  <c r="C1149" i="16"/>
  <c r="C1150" i="16"/>
  <c r="C1151" i="16"/>
  <c r="C1152" i="16"/>
  <c r="C1153" i="16"/>
  <c r="C1154" i="16"/>
  <c r="C1155" i="16"/>
  <c r="C1156" i="16"/>
  <c r="C1157" i="16"/>
  <c r="C1158" i="16"/>
  <c r="C1159" i="16"/>
  <c r="C1160" i="16"/>
  <c r="C1161" i="16"/>
  <c r="C1162" i="16"/>
  <c r="C1163" i="16"/>
  <c r="C1164" i="16"/>
  <c r="C1165" i="16"/>
  <c r="C1166" i="16"/>
  <c r="C1167" i="16"/>
  <c r="C1168" i="16"/>
  <c r="C1169" i="16"/>
  <c r="C1170" i="16"/>
  <c r="C1171" i="16"/>
  <c r="C1172" i="16"/>
  <c r="C1173" i="16"/>
  <c r="C1174" i="16"/>
  <c r="C1175" i="16"/>
  <c r="C1176" i="16"/>
  <c r="C1177" i="16"/>
  <c r="C1178" i="16"/>
  <c r="C1179"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2" i="16"/>
  <c r="C2" i="16"/>
  <c r="B2" i="16"/>
  <c r="A2" i="16"/>
  <c r="F18" i="6" l="1"/>
  <c r="G35" i="5"/>
  <c r="F35" i="5"/>
  <c r="E35" i="5"/>
  <c r="D35" i="5"/>
  <c r="C35" i="5"/>
  <c r="B33" i="5"/>
  <c r="J29" i="5"/>
  <c r="I29" i="5"/>
  <c r="H29" i="5"/>
  <c r="J28" i="5"/>
  <c r="I28" i="5"/>
  <c r="H28" i="5"/>
  <c r="J27" i="5"/>
  <c r="I27" i="5"/>
  <c r="H27" i="5"/>
  <c r="J26" i="5"/>
  <c r="I26" i="5"/>
  <c r="H26" i="5"/>
  <c r="J25" i="5"/>
  <c r="I25" i="5"/>
  <c r="H25" i="5"/>
  <c r="J24" i="5"/>
  <c r="I24" i="5"/>
  <c r="H24" i="5"/>
  <c r="J23" i="5"/>
  <c r="I23" i="5"/>
  <c r="H23" i="5"/>
  <c r="J22" i="5"/>
  <c r="I22" i="5"/>
  <c r="H22" i="5"/>
  <c r="J21" i="5"/>
  <c r="I21" i="5"/>
  <c r="H21" i="5"/>
  <c r="J20" i="5"/>
  <c r="I20" i="5"/>
  <c r="H20" i="5"/>
  <c r="C20" i="5"/>
  <c r="J19" i="5"/>
  <c r="I19" i="5"/>
  <c r="H19" i="5"/>
  <c r="C19" i="5"/>
  <c r="J18" i="5"/>
  <c r="I18" i="5"/>
  <c r="H18" i="5"/>
  <c r="C17" i="5"/>
  <c r="D16"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E15" i="5"/>
  <c r="D15" i="5"/>
  <c r="B13" i="5"/>
  <c r="B12" i="5"/>
  <c r="T11" i="5"/>
  <c r="S11" i="5"/>
  <c r="R11" i="5"/>
  <c r="N11" i="5"/>
  <c r="Q11" i="5" s="1"/>
  <c r="M11" i="5"/>
  <c r="L11" i="5"/>
  <c r="O11" i="5" s="1"/>
  <c r="K11" i="5"/>
  <c r="J11" i="5"/>
  <c r="I11" i="5"/>
  <c r="H11" i="5"/>
  <c r="G11" i="5"/>
  <c r="F11" i="5"/>
  <c r="E11" i="5"/>
  <c r="B10" i="5"/>
  <c r="D7" i="5"/>
  <c r="T5" i="5"/>
  <c r="S5" i="5"/>
  <c r="R5" i="5"/>
  <c r="Q5" i="5"/>
  <c r="P5" i="5"/>
  <c r="O5" i="5"/>
  <c r="N5" i="5"/>
  <c r="M5" i="5"/>
  <c r="L5" i="5"/>
  <c r="K5" i="5"/>
  <c r="J5" i="5"/>
  <c r="I5" i="5"/>
  <c r="H5" i="5"/>
  <c r="G5" i="5"/>
  <c r="F5" i="5"/>
  <c r="E5" i="5"/>
  <c r="D5" i="5"/>
  <c r="C5" i="5"/>
  <c r="C4" i="5"/>
  <c r="C4" i="5" a="1"/>
  <c r="C3" i="5"/>
  <c r="V1" i="5"/>
  <c r="U1" i="5"/>
  <c r="T1" i="5"/>
  <c r="S1" i="5"/>
  <c r="R1" i="5"/>
  <c r="Q1" i="5"/>
  <c r="P1" i="5"/>
  <c r="O1" i="5"/>
  <c r="N1" i="5"/>
  <c r="M1" i="5"/>
  <c r="L1" i="5"/>
  <c r="K1" i="5"/>
  <c r="J1" i="5"/>
  <c r="I1" i="5"/>
  <c r="H1" i="5"/>
  <c r="G1" i="5"/>
  <c r="F1" i="5"/>
  <c r="E1" i="5"/>
  <c r="D1" i="5"/>
  <c r="C1" i="5"/>
  <c r="B1" i="5"/>
  <c r="A1" i="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A4" i="15"/>
  <c r="A3" i="15"/>
  <c r="E1" i="16"/>
  <c r="C50" i="4"/>
  <c r="C49" i="4"/>
  <c r="C48" i="4"/>
  <c r="C47" i="4"/>
  <c r="C46" i="4"/>
  <c r="C45" i="4"/>
  <c r="C44" i="4"/>
  <c r="C36" i="4"/>
  <c r="C35" i="4"/>
  <c r="C34" i="4"/>
  <c r="C33" i="4"/>
  <c r="C32" i="4"/>
  <c r="C31" i="4"/>
  <c r="C30" i="4"/>
  <c r="C29" i="4"/>
  <c r="C28" i="4"/>
  <c r="C27" i="4"/>
  <c r="C26" i="4"/>
  <c r="C25" i="4"/>
  <c r="C21" i="4"/>
  <c r="C20" i="4"/>
  <c r="C19" i="4"/>
  <c r="C18" i="4"/>
  <c r="C17" i="4"/>
  <c r="C16" i="4"/>
  <c r="C15" i="4"/>
  <c r="C14" i="4"/>
  <c r="C13" i="4"/>
  <c r="C12" i="4"/>
  <c r="C11" i="4"/>
  <c r="C10" i="4"/>
  <c r="C9" i="4"/>
  <c r="C7" i="4"/>
  <c r="C8" i="4" s="1"/>
  <c r="C6" i="4"/>
  <c r="C5" i="4"/>
  <c r="I30" i="3"/>
  <c r="E30" i="3"/>
  <c r="H29" i="3"/>
  <c r="D29" i="3"/>
  <c r="H28" i="3"/>
  <c r="D28" i="3"/>
  <c r="F26" i="3"/>
  <c r="J25" i="3"/>
  <c r="D25" i="3"/>
  <c r="G24" i="3"/>
  <c r="D24" i="3"/>
  <c r="G23" i="3"/>
  <c r="D23" i="3"/>
  <c r="D22" i="3"/>
  <c r="G21" i="3"/>
  <c r="F20" i="3"/>
  <c r="I19" i="3"/>
  <c r="C19" i="3"/>
  <c r="I18" i="3"/>
  <c r="C18" i="3"/>
  <c r="F17" i="3"/>
  <c r="D16" i="3"/>
  <c r="I15" i="3"/>
  <c r="I14" i="3"/>
  <c r="D14" i="3"/>
  <c r="C10" i="3"/>
  <c r="B8" i="3"/>
  <c r="U4" i="3"/>
  <c r="Q5" i="3" s="1"/>
  <c r="U3" i="3"/>
  <c r="M3" i="3" s="1"/>
  <c r="AK216" i="1"/>
  <c r="AJ216" i="1"/>
  <c r="AK215" i="1"/>
  <c r="AJ215" i="1"/>
  <c r="AK214" i="1"/>
  <c r="AJ214" i="1"/>
  <c r="AK213" i="1"/>
  <c r="AJ213" i="1"/>
  <c r="AK212" i="1"/>
  <c r="AJ212" i="1"/>
  <c r="AK211" i="1"/>
  <c r="AJ211" i="1"/>
  <c r="AK210" i="1"/>
  <c r="AJ210" i="1"/>
  <c r="AK209" i="1"/>
  <c r="AJ209" i="1"/>
  <c r="AK208" i="1"/>
  <c r="AJ208" i="1"/>
  <c r="AK207" i="1"/>
  <c r="AJ207" i="1"/>
  <c r="AK206" i="1"/>
  <c r="AJ206" i="1"/>
  <c r="AK205" i="1"/>
  <c r="AJ205" i="1"/>
  <c r="AK204" i="1"/>
  <c r="AJ204" i="1"/>
  <c r="AK203" i="1"/>
  <c r="AJ203" i="1"/>
  <c r="AK202" i="1"/>
  <c r="AJ202" i="1"/>
  <c r="AK201" i="1"/>
  <c r="AJ201" i="1"/>
  <c r="AK200" i="1"/>
  <c r="AJ200" i="1"/>
  <c r="AK199" i="1"/>
  <c r="AJ199" i="1"/>
  <c r="AK198" i="1"/>
  <c r="AJ198" i="1"/>
  <c r="AK197" i="1"/>
  <c r="AJ197" i="1"/>
  <c r="AK196" i="1"/>
  <c r="AJ196" i="1"/>
  <c r="AK195" i="1"/>
  <c r="AJ195" i="1"/>
  <c r="AK194" i="1"/>
  <c r="AJ194" i="1"/>
  <c r="AK193" i="1"/>
  <c r="AJ193" i="1"/>
  <c r="AK192" i="1"/>
  <c r="AJ192" i="1"/>
  <c r="AK191" i="1"/>
  <c r="AJ191" i="1"/>
  <c r="AK190" i="1"/>
  <c r="AJ190" i="1"/>
  <c r="AK189" i="1"/>
  <c r="AJ189" i="1"/>
  <c r="AK188" i="1"/>
  <c r="AJ188" i="1"/>
  <c r="AK187" i="1"/>
  <c r="AJ187" i="1"/>
  <c r="AK186" i="1"/>
  <c r="AJ186" i="1"/>
  <c r="AK185" i="1"/>
  <c r="AJ185" i="1"/>
  <c r="AK184" i="1"/>
  <c r="AJ184" i="1"/>
  <c r="AK183" i="1"/>
  <c r="AJ183" i="1"/>
  <c r="AK182" i="1"/>
  <c r="AJ182" i="1"/>
  <c r="AK181" i="1"/>
  <c r="AJ181" i="1"/>
  <c r="AK180" i="1"/>
  <c r="AJ180" i="1"/>
  <c r="AK179" i="1"/>
  <c r="AJ179" i="1"/>
  <c r="AK178" i="1"/>
  <c r="AJ178" i="1"/>
  <c r="AK177" i="1"/>
  <c r="AJ177" i="1"/>
  <c r="AK176" i="1"/>
  <c r="AJ176" i="1"/>
  <c r="AK175" i="1"/>
  <c r="AJ175" i="1"/>
  <c r="AK174" i="1"/>
  <c r="AJ174" i="1"/>
  <c r="AK173" i="1"/>
  <c r="AJ173" i="1"/>
  <c r="AK172" i="1"/>
  <c r="AJ172" i="1"/>
  <c r="AK171" i="1"/>
  <c r="AJ171" i="1"/>
  <c r="AK170" i="1"/>
  <c r="AJ170" i="1"/>
  <c r="AK169" i="1"/>
  <c r="AJ169" i="1"/>
  <c r="AK168" i="1"/>
  <c r="AJ168" i="1"/>
  <c r="AK167" i="1"/>
  <c r="AJ167" i="1"/>
  <c r="AK166" i="1"/>
  <c r="AJ166" i="1"/>
  <c r="AK165" i="1"/>
  <c r="AJ165" i="1"/>
  <c r="AK164" i="1"/>
  <c r="AJ164" i="1"/>
  <c r="AK163" i="1"/>
  <c r="AJ163" i="1"/>
  <c r="AK162" i="1"/>
  <c r="AJ162" i="1"/>
  <c r="AK161" i="1"/>
  <c r="AJ161" i="1"/>
  <c r="AK160" i="1"/>
  <c r="AJ160" i="1"/>
  <c r="AK159" i="1"/>
  <c r="AJ159" i="1"/>
  <c r="AK158" i="1"/>
  <c r="AJ158" i="1"/>
  <c r="AK157" i="1"/>
  <c r="AJ157" i="1"/>
  <c r="AK156" i="1"/>
  <c r="AJ156" i="1"/>
  <c r="AK155" i="1"/>
  <c r="AJ155" i="1"/>
  <c r="AK154" i="1"/>
  <c r="AJ154" i="1"/>
  <c r="AK153" i="1"/>
  <c r="AJ153" i="1"/>
  <c r="AK152" i="1"/>
  <c r="AJ152" i="1"/>
  <c r="AK151" i="1"/>
  <c r="AJ151" i="1"/>
  <c r="AK150" i="1"/>
  <c r="AJ150" i="1"/>
  <c r="AK149" i="1"/>
  <c r="AJ149" i="1"/>
  <c r="AK148" i="1"/>
  <c r="AJ148" i="1"/>
  <c r="AK147" i="1"/>
  <c r="AJ147" i="1"/>
  <c r="AK146" i="1"/>
  <c r="AJ146" i="1"/>
  <c r="AK145" i="1"/>
  <c r="AJ145" i="1"/>
  <c r="AK144" i="1"/>
  <c r="AJ144" i="1"/>
  <c r="AK143" i="1"/>
  <c r="AJ143" i="1"/>
  <c r="AK142" i="1"/>
  <c r="AJ142" i="1"/>
  <c r="AK141" i="1"/>
  <c r="AJ141" i="1"/>
  <c r="AK140" i="1"/>
  <c r="AJ140" i="1"/>
  <c r="AK139" i="1"/>
  <c r="AJ139" i="1"/>
  <c r="AK138" i="1"/>
  <c r="AJ138" i="1"/>
  <c r="AK137" i="1"/>
  <c r="AJ137" i="1"/>
  <c r="AK136" i="1"/>
  <c r="AJ136" i="1"/>
  <c r="AK135" i="1"/>
  <c r="AJ135" i="1"/>
  <c r="AK134" i="1"/>
  <c r="AJ134" i="1"/>
  <c r="AK133" i="1"/>
  <c r="AJ133" i="1"/>
  <c r="AK132" i="1"/>
  <c r="AJ132" i="1"/>
  <c r="AK131" i="1"/>
  <c r="AJ131" i="1"/>
  <c r="AK130" i="1"/>
  <c r="AJ130" i="1"/>
  <c r="AK129" i="1"/>
  <c r="AJ129" i="1"/>
  <c r="AK128" i="1"/>
  <c r="AJ128" i="1"/>
  <c r="AK127" i="1"/>
  <c r="AJ127" i="1"/>
  <c r="AK126" i="1"/>
  <c r="AJ126" i="1"/>
  <c r="AK125" i="1"/>
  <c r="AJ125" i="1"/>
  <c r="AK124" i="1"/>
  <c r="AJ124" i="1"/>
  <c r="AK123" i="1"/>
  <c r="AJ123" i="1"/>
  <c r="AK122" i="1"/>
  <c r="AJ122" i="1"/>
  <c r="AK121" i="1"/>
  <c r="AJ121" i="1"/>
  <c r="AK120" i="1"/>
  <c r="AJ120" i="1"/>
  <c r="AK119" i="1"/>
  <c r="AJ119" i="1"/>
  <c r="AK118" i="1"/>
  <c r="AJ118" i="1"/>
  <c r="AK117" i="1"/>
  <c r="AJ117" i="1"/>
  <c r="AK116" i="1"/>
  <c r="AJ116" i="1"/>
  <c r="AK115" i="1"/>
  <c r="AJ115" i="1"/>
  <c r="AK114" i="1"/>
  <c r="AJ114" i="1"/>
  <c r="AK113" i="1"/>
  <c r="AJ113" i="1"/>
  <c r="AK112" i="1"/>
  <c r="AJ112" i="1"/>
  <c r="AK111" i="1"/>
  <c r="AJ111" i="1"/>
  <c r="AK110" i="1"/>
  <c r="AJ110" i="1"/>
  <c r="AK109" i="1"/>
  <c r="AJ109" i="1"/>
  <c r="AK108" i="1"/>
  <c r="AJ108" i="1"/>
  <c r="AK107" i="1"/>
  <c r="AJ107" i="1"/>
  <c r="AK106" i="1"/>
  <c r="AJ106" i="1"/>
  <c r="AK105" i="1"/>
  <c r="AJ105" i="1"/>
  <c r="AK104" i="1"/>
  <c r="AJ104" i="1"/>
  <c r="AK103" i="1"/>
  <c r="AJ103" i="1"/>
  <c r="AK102" i="1"/>
  <c r="AJ102" i="1"/>
  <c r="AK101" i="1"/>
  <c r="AJ101" i="1"/>
  <c r="AK100" i="1"/>
  <c r="AJ100" i="1"/>
  <c r="AK99" i="1"/>
  <c r="AJ99" i="1"/>
  <c r="AK98" i="1"/>
  <c r="AJ98" i="1"/>
  <c r="AK97" i="1"/>
  <c r="AJ97" i="1"/>
  <c r="AK96" i="1"/>
  <c r="AJ96" i="1"/>
  <c r="AK95" i="1"/>
  <c r="AJ95" i="1"/>
  <c r="AK94" i="1"/>
  <c r="AJ94" i="1"/>
  <c r="AK93" i="1"/>
  <c r="AJ93" i="1"/>
  <c r="AK92" i="1"/>
  <c r="AJ92" i="1"/>
  <c r="AK91" i="1"/>
  <c r="AJ91" i="1"/>
  <c r="AK90" i="1"/>
  <c r="AJ90" i="1"/>
  <c r="AK89" i="1"/>
  <c r="AJ89" i="1"/>
  <c r="AK88" i="1"/>
  <c r="AJ88" i="1"/>
  <c r="AK87" i="1"/>
  <c r="AJ87" i="1"/>
  <c r="AK86" i="1"/>
  <c r="AJ86" i="1"/>
  <c r="AK85" i="1"/>
  <c r="AJ85" i="1"/>
  <c r="AK84" i="1"/>
  <c r="AJ84" i="1"/>
  <c r="AK83" i="1"/>
  <c r="AJ83" i="1"/>
  <c r="AK82" i="1"/>
  <c r="AJ82" i="1"/>
  <c r="AK81" i="1"/>
  <c r="AJ81" i="1"/>
  <c r="AK80" i="1"/>
  <c r="AJ80" i="1"/>
  <c r="AK79" i="1"/>
  <c r="AJ79" i="1"/>
  <c r="AK78" i="1"/>
  <c r="AJ78" i="1"/>
  <c r="AK77" i="1"/>
  <c r="AJ77" i="1"/>
  <c r="AK76" i="1"/>
  <c r="AJ76" i="1"/>
  <c r="AK75" i="1"/>
  <c r="AJ75" i="1"/>
  <c r="AK74" i="1"/>
  <c r="AJ74" i="1"/>
  <c r="AK73" i="1"/>
  <c r="AJ73" i="1"/>
  <c r="AK72" i="1"/>
  <c r="AJ72" i="1"/>
  <c r="AK71" i="1"/>
  <c r="AJ71" i="1"/>
  <c r="AK70" i="1"/>
  <c r="AJ70" i="1"/>
  <c r="AK69" i="1"/>
  <c r="AJ69" i="1"/>
  <c r="AK68" i="1"/>
  <c r="AJ68" i="1"/>
  <c r="AK67" i="1"/>
  <c r="AJ67" i="1"/>
  <c r="AK66" i="1"/>
  <c r="AJ66" i="1"/>
  <c r="AK65" i="1"/>
  <c r="AJ65" i="1"/>
  <c r="AK64" i="1"/>
  <c r="AJ64" i="1"/>
  <c r="AK63" i="1"/>
  <c r="AJ63" i="1"/>
  <c r="AK62" i="1"/>
  <c r="AJ62" i="1"/>
  <c r="AK61" i="1"/>
  <c r="AJ61" i="1"/>
  <c r="AK60" i="1"/>
  <c r="AJ60" i="1"/>
  <c r="AK59" i="1"/>
  <c r="AJ59" i="1"/>
  <c r="AK58" i="1"/>
  <c r="AJ58" i="1"/>
  <c r="AK57" i="1"/>
  <c r="AJ57" i="1"/>
  <c r="AK56" i="1"/>
  <c r="AJ56" i="1"/>
  <c r="AK55" i="1"/>
  <c r="AJ55" i="1"/>
  <c r="AK54" i="1"/>
  <c r="AJ54" i="1"/>
  <c r="AK53" i="1"/>
  <c r="AJ53" i="1"/>
  <c r="AK52" i="1"/>
  <c r="AJ52" i="1"/>
  <c r="AK51" i="1"/>
  <c r="AJ51" i="1"/>
  <c r="AK50" i="1"/>
  <c r="AJ50" i="1"/>
  <c r="AK49" i="1"/>
  <c r="AJ49" i="1"/>
  <c r="AK48" i="1"/>
  <c r="AJ48" i="1"/>
  <c r="AK47" i="1"/>
  <c r="AJ47" i="1"/>
  <c r="AK46" i="1"/>
  <c r="AJ46" i="1"/>
  <c r="AK45" i="1"/>
  <c r="AJ45" i="1"/>
  <c r="AK44" i="1"/>
  <c r="AJ44" i="1"/>
  <c r="AK43" i="1"/>
  <c r="AJ43" i="1"/>
  <c r="AK42" i="1"/>
  <c r="AJ42" i="1"/>
  <c r="AK41" i="1"/>
  <c r="AJ41" i="1"/>
  <c r="AK40" i="1"/>
  <c r="AJ40" i="1"/>
  <c r="AK39" i="1"/>
  <c r="AJ39" i="1"/>
  <c r="AK38" i="1"/>
  <c r="AJ38" i="1"/>
  <c r="AK37" i="1"/>
  <c r="AJ37" i="1"/>
  <c r="AK36" i="1"/>
  <c r="AJ36" i="1"/>
  <c r="AK35" i="1"/>
  <c r="AJ35" i="1"/>
  <c r="AK34" i="1"/>
  <c r="AJ34" i="1"/>
  <c r="AK33" i="1"/>
  <c r="AJ33" i="1"/>
  <c r="AK32" i="1"/>
  <c r="AJ32" i="1"/>
  <c r="AK31" i="1"/>
  <c r="AJ31" i="1"/>
  <c r="AK30" i="1"/>
  <c r="AJ30" i="1"/>
  <c r="AK29" i="1"/>
  <c r="AJ29" i="1"/>
  <c r="AK28" i="1"/>
  <c r="AJ28" i="1"/>
  <c r="AK27" i="1"/>
  <c r="AJ27" i="1"/>
  <c r="AK26" i="1"/>
  <c r="AJ26" i="1"/>
  <c r="AK25" i="1"/>
  <c r="AJ25" i="1"/>
  <c r="AK24" i="1"/>
  <c r="AJ24" i="1"/>
  <c r="AK23" i="1"/>
  <c r="AJ23" i="1"/>
  <c r="AK22" i="1"/>
  <c r="AJ22" i="1"/>
  <c r="AK21" i="1"/>
  <c r="AJ21" i="1"/>
  <c r="AK20" i="1"/>
  <c r="AJ20" i="1"/>
  <c r="AK19" i="1"/>
  <c r="AJ19" i="1"/>
  <c r="AK18" i="1"/>
  <c r="AJ18" i="1"/>
  <c r="AK17" i="1"/>
  <c r="AJ17" i="1"/>
  <c r="AK16" i="1"/>
  <c r="AJ16" i="1"/>
  <c r="AK15" i="1"/>
  <c r="AJ15" i="1"/>
  <c r="AK14" i="1"/>
  <c r="AJ14" i="1"/>
  <c r="AK13" i="1"/>
  <c r="AJ13" i="1"/>
  <c r="AK12" i="1"/>
  <c r="AJ12" i="1"/>
  <c r="AK11" i="1"/>
  <c r="AJ11" i="1"/>
  <c r="AK10" i="1"/>
  <c r="AJ10" i="1"/>
  <c r="AK9" i="1"/>
  <c r="AJ9" i="1"/>
  <c r="AK7" i="1"/>
  <c r="AJ7" i="1"/>
  <c r="A6" i="1"/>
  <c r="AG5" i="1"/>
  <c r="AF5" i="1"/>
  <c r="AE5" i="1"/>
  <c r="AD5" i="1"/>
  <c r="AC5" i="1"/>
  <c r="AB5" i="1"/>
  <c r="AA5" i="1"/>
  <c r="U5" i="1"/>
  <c r="T5" i="1"/>
  <c r="S5" i="1"/>
  <c r="R5" i="1"/>
  <c r="Q5" i="1"/>
  <c r="P5" i="1"/>
  <c r="P11" i="5" l="1"/>
  <c r="C4" i="4"/>
  <c r="H3" i="3"/>
  <c r="I3" i="3"/>
  <c r="J3" i="3"/>
  <c r="K3" i="3"/>
  <c r="L3" i="3"/>
  <c r="O5" i="3"/>
  <c r="I5" i="3"/>
  <c r="J5" i="3"/>
  <c r="N5" i="3"/>
  <c r="L5" i="3"/>
  <c r="P5" i="3"/>
  <c r="M5" i="3"/>
  <c r="C23" i="4"/>
  <c r="C42" i="4"/>
  <c r="C22" i="4"/>
  <c r="C24" i="4"/>
  <c r="C40" i="4"/>
  <c r="C37" i="4"/>
  <c r="C41" i="4"/>
  <c r="C39" i="4"/>
  <c r="C43" i="4"/>
  <c r="C38" i="4"/>
</calcChain>
</file>

<file path=xl/sharedStrings.xml><?xml version="1.0" encoding="utf-8"?>
<sst xmlns="http://schemas.openxmlformats.org/spreadsheetml/2006/main" count="1302" uniqueCount="741">
  <si>
    <t>STT</t>
  </si>
  <si>
    <t>Ngày sinh</t>
  </si>
  <si>
    <t>Tình trạng</t>
  </si>
  <si>
    <t>Chức vụ</t>
  </si>
  <si>
    <t>Đại học</t>
  </si>
  <si>
    <t>Kế toán</t>
  </si>
  <si>
    <t>Nam</t>
  </si>
  <si>
    <t>Nữ</t>
  </si>
  <si>
    <t>Tháng</t>
  </si>
  <si>
    <t>Họ tên</t>
  </si>
  <si>
    <t>Giới tính</t>
  </si>
  <si>
    <t>Giám đốc</t>
  </si>
  <si>
    <t>Phó giám đốc</t>
  </si>
  <si>
    <t>Bằng cấp</t>
  </si>
  <si>
    <t>Trách nhiệm</t>
  </si>
  <si>
    <t>Trung cấp</t>
  </si>
  <si>
    <t>Ngày nâng lương tiếp theo</t>
  </si>
  <si>
    <t>Số QĐ</t>
  </si>
  <si>
    <t>Ngày áp dụng</t>
  </si>
  <si>
    <t>Thông tin chung</t>
  </si>
  <si>
    <t>Tổng hệ số</t>
  </si>
  <si>
    <t>Đang áp dụng</t>
  </si>
  <si>
    <t>X</t>
  </si>
  <si>
    <t>Số dòng</t>
  </si>
  <si>
    <t>Kế toán trưởng</t>
  </si>
  <si>
    <t>NV Kinh doanh</t>
  </si>
  <si>
    <t>Đã lưu</t>
  </si>
  <si>
    <t>Quyết định nâng lương</t>
  </si>
  <si>
    <t>Nhập thiếu dữ liệu</t>
  </si>
  <si>
    <t>BCCT</t>
  </si>
  <si>
    <t>Lỗi không phát sinh</t>
  </si>
  <si>
    <t>Thêm NV</t>
  </si>
  <si>
    <t>Thêm mới</t>
  </si>
  <si>
    <t>Quá trình</t>
  </si>
  <si>
    <t>Dòng nhân viên - QD nang luong</t>
  </si>
  <si>
    <t>Ngày đầu năm</t>
  </si>
  <si>
    <t>Ngày cuối năm</t>
  </si>
  <si>
    <t>Ngày đầu</t>
  </si>
  <si>
    <t>Ngày cuối</t>
  </si>
  <si>
    <t>Năm quản lý</t>
  </si>
  <si>
    <t>Tày</t>
  </si>
  <si>
    <t>Thái</t>
  </si>
  <si>
    <t>Khmer</t>
  </si>
  <si>
    <t>Mông</t>
  </si>
  <si>
    <t>Dao</t>
  </si>
  <si>
    <t>Gia Rai</t>
  </si>
  <si>
    <t>Ngái</t>
  </si>
  <si>
    <t>Ê  Đê</t>
  </si>
  <si>
    <t>Ba Na</t>
  </si>
  <si>
    <t>Xơ Đăng</t>
  </si>
  <si>
    <t>Cơ Ho</t>
  </si>
  <si>
    <t>Sán Dìu</t>
  </si>
  <si>
    <t>Hrê</t>
  </si>
  <si>
    <t>Mnông</t>
  </si>
  <si>
    <t>Raglay</t>
  </si>
  <si>
    <t>Xtiêng</t>
  </si>
  <si>
    <t>Bru Vân Kiều</t>
  </si>
  <si>
    <t>Giáy</t>
  </si>
  <si>
    <t>Cơ Tu</t>
  </si>
  <si>
    <t>Gié Triêng</t>
  </si>
  <si>
    <t>Mạ</t>
  </si>
  <si>
    <t>Khơ mú</t>
  </si>
  <si>
    <t>Co</t>
  </si>
  <si>
    <t>Tà Ôi</t>
  </si>
  <si>
    <t>Chơ Ro</t>
  </si>
  <si>
    <t>Kháng</t>
  </si>
  <si>
    <t>Xinh Mun</t>
  </si>
  <si>
    <t>Hà Nhì</t>
  </si>
  <si>
    <t>Chu Ru</t>
  </si>
  <si>
    <t>Lào</t>
  </si>
  <si>
    <t>La Chí</t>
  </si>
  <si>
    <t>La Ha</t>
  </si>
  <si>
    <t>Phù Lá</t>
  </si>
  <si>
    <t>La Hủ</t>
  </si>
  <si>
    <t>Lự</t>
  </si>
  <si>
    <t>Lô Lô</t>
  </si>
  <si>
    <t>Chứt</t>
  </si>
  <si>
    <t>Mảng</t>
  </si>
  <si>
    <t>Pà Thẻn</t>
  </si>
  <si>
    <t>Cơ Lao</t>
  </si>
  <si>
    <t>Cống</t>
  </si>
  <si>
    <t>Bố Y</t>
  </si>
  <si>
    <t>Si La</t>
  </si>
  <si>
    <t>Pu Péo</t>
  </si>
  <si>
    <t>Brâu</t>
  </si>
  <si>
    <t>Ơ Đu</t>
  </si>
  <si>
    <t>Rơ Măm</t>
  </si>
  <si>
    <t>DANH MỤC DÂN TỘC</t>
  </si>
  <si>
    <t>CHƯƠNG TRÌNH QUẢN LÝ ĐẢNG VIÊN</t>
  </si>
  <si>
    <t>QUẢN LÝ ĐẢNG VIÊN</t>
  </si>
  <si>
    <t>DANH SÁCH ĐẢNG VIÊN</t>
  </si>
  <si>
    <t>Danh sách Đảng viên</t>
  </si>
  <si>
    <t>ĐỐI TƯỢNG</t>
  </si>
  <si>
    <t>HỌC VỊ</t>
  </si>
  <si>
    <t>Họ và tên khai sinh</t>
  </si>
  <si>
    <t>Dân tộc</t>
  </si>
  <si>
    <t>Thổ</t>
  </si>
  <si>
    <t>Phật giáo</t>
  </si>
  <si>
    <t>Công giáo</t>
  </si>
  <si>
    <t>Phật giáo Hoà Hảo</t>
  </si>
  <si>
    <t>Hồi giáo</t>
  </si>
  <si>
    <t>Cao Đài</t>
  </si>
  <si>
    <t>Minh sư đạo</t>
  </si>
  <si>
    <t>Minh Lý đạo</t>
  </si>
  <si>
    <t>Tin Lành</t>
  </si>
  <si>
    <t>Tịnh độ cư sĩ Phật hội Việt Nam</t>
  </si>
  <si>
    <t>Đạo Tứ ấn hiếu nghĩa</t>
  </si>
  <si>
    <t>Bửu sơn Kỳ hương</t>
  </si>
  <si>
    <t>Ba Ha'i</t>
  </si>
  <si>
    <t>DANH MỤC TÔN GIÁO</t>
  </si>
  <si>
    <t>Không</t>
  </si>
  <si>
    <t>Tôn giáo</t>
  </si>
  <si>
    <t>Cấp bậc</t>
  </si>
  <si>
    <t>Thiếu tướng</t>
  </si>
  <si>
    <t>DANH MỤC CẤP BẬC</t>
  </si>
  <si>
    <t>DANH MỤC CHỨC VỤ</t>
  </si>
  <si>
    <t>Quê quán</t>
  </si>
  <si>
    <t>Nơi thường trú</t>
  </si>
  <si>
    <t>Đối tượng</t>
  </si>
  <si>
    <t>Loại cán bộ</t>
  </si>
  <si>
    <t>SQ</t>
  </si>
  <si>
    <t>QNCN</t>
  </si>
  <si>
    <t>CNV</t>
  </si>
  <si>
    <t>HSQ</t>
  </si>
  <si>
    <t>CS</t>
  </si>
  <si>
    <t>KHÁC</t>
  </si>
  <si>
    <t>CÁN BỘ</t>
  </si>
  <si>
    <t>CH-TM</t>
  </si>
  <si>
    <t>Chính trị</t>
  </si>
  <si>
    <t>Hậu cần</t>
  </si>
  <si>
    <t>Kỹ thuật</t>
  </si>
  <si>
    <t>Chức vụ đảng</t>
  </si>
  <si>
    <t>ĐẢNG</t>
  </si>
  <si>
    <t>UVTV</t>
  </si>
  <si>
    <t>CUV</t>
  </si>
  <si>
    <t>Đảng viên</t>
  </si>
  <si>
    <t>Ngày vào đảng</t>
  </si>
  <si>
    <t>Tại Chi bộ</t>
  </si>
  <si>
    <t>Ngày chính thức</t>
  </si>
  <si>
    <t>Ngày nhập ngũ</t>
  </si>
  <si>
    <t>Ngày vào đoàn</t>
  </si>
  <si>
    <t>Ngày T.dụng</t>
  </si>
  <si>
    <t>Học vấn phổ thông</t>
  </si>
  <si>
    <t xml:space="preserve">Chuyên môn nghiệp vụ   </t>
  </si>
  <si>
    <t>THÊM MỚI ĐẢNG VIÊN</t>
  </si>
  <si>
    <t xml:space="preserve">Lý luận chính trị </t>
  </si>
  <si>
    <t xml:space="preserve">Học vị  </t>
  </si>
  <si>
    <t>LLCT</t>
  </si>
  <si>
    <t>Cao cấp</t>
  </si>
  <si>
    <t>Sơ cấp</t>
  </si>
  <si>
    <t>Cơ sở</t>
  </si>
  <si>
    <t>Tiến sĩ</t>
  </si>
  <si>
    <t>Thạc sĩ</t>
  </si>
  <si>
    <t>Cao đẳng</t>
  </si>
  <si>
    <t>Trình độ h.vấn</t>
  </si>
  <si>
    <t>Số CMTND</t>
  </si>
  <si>
    <t>Số lý lịch đảng</t>
  </si>
  <si>
    <t>Thông tin khác</t>
  </si>
  <si>
    <t xml:space="preserve">Số CMTQĐ  </t>
  </si>
  <si>
    <t xml:space="preserve">Số thẻ đảng  </t>
  </si>
  <si>
    <t>CMNV</t>
  </si>
  <si>
    <t>Khác</t>
  </si>
  <si>
    <t>Thêm DV</t>
  </si>
  <si>
    <t>GT</t>
  </si>
  <si>
    <t>Quá trình hoạt động và công tác</t>
  </si>
  <si>
    <t>Thời gian công tác</t>
  </si>
  <si>
    <t>Từ</t>
  </si>
  <si>
    <t>Đến</t>
  </si>
  <si>
    <t>Cấp bậc, chức vụ chính quyền, đơn vị công tác</t>
  </si>
  <si>
    <t>TÓM TẮT QUÁ TRÌNH HOẠT ĐỘNG CÔNG TÁC</t>
  </si>
  <si>
    <t>THÊM MỚI QUÁ TRÌNH HOẠT ĐỘNG VÀ CÔNG TÁC</t>
  </si>
  <si>
    <t xml:space="preserve">Thời gian công tác từ  </t>
  </si>
  <si>
    <t xml:space="preserve">Họ tên  </t>
  </si>
  <si>
    <t xml:space="preserve">Chức vụ Đảng </t>
  </si>
  <si>
    <t>Thông tin</t>
  </si>
  <si>
    <t xml:space="preserve">Cấp bậc, chức vụ chính quyền, đơn vị công tác       </t>
  </si>
  <si>
    <t>Trích yếu Đảng viên</t>
  </si>
  <si>
    <t>TRÍCH YẾU
 ĐẢNG VIÊN</t>
  </si>
  <si>
    <t>03) Họ và tên đang dùng:</t>
  </si>
  <si>
    <t>01) Họ và tên khai sinh:</t>
  </si>
  <si>
    <t>04) Sinh ngày:</t>
  </si>
  <si>
    <t>06) Nơi thường trú (đăng ký hộ khẩu):</t>
  </si>
  <si>
    <t>07) Dân tộc:</t>
  </si>
  <si>
    <t>08) Tôn giáo:</t>
  </si>
  <si>
    <t>09) Cấp bậc:</t>
  </si>
  <si>
    <t>10) Chức vụ:</t>
  </si>
  <si>
    <t xml:space="preserve">13) Chức vụ Đảng: </t>
  </si>
  <si>
    <t>14) Ngày vào Đảng:</t>
  </si>
  <si>
    <t>tại Chi bộ:</t>
  </si>
  <si>
    <t>15) Ngày chính thức:</t>
  </si>
  <si>
    <t>16) Ngày nhập ngũ:</t>
  </si>
  <si>
    <t>Ngày tuyển dụng:</t>
  </si>
  <si>
    <t>17) Ngày vào Đoàn TNCS Hồ Chí Minh:</t>
  </si>
  <si>
    <t>- Chuyên môn nghiệp vụ:</t>
  </si>
  <si>
    <t>- Học vấn phổ thông:</t>
  </si>
  <si>
    <t>- Lý luận chính trị:</t>
  </si>
  <si>
    <t>- Học vị:</t>
  </si>
  <si>
    <t>19) Số CMTND (CCCD):</t>
  </si>
  <si>
    <t>20) Số CMTQĐ:</t>
  </si>
  <si>
    <t>21) TÓM TẮT QUÁ TRÌNH HOẠT ĐỘNG VÀ CÔNG TÁC</t>
  </si>
  <si>
    <r>
      <t>12) Loại cán bộ (</t>
    </r>
    <r>
      <rPr>
        <i/>
        <sz val="12"/>
        <rFont val="Times New Roman"/>
        <family val="1"/>
      </rPr>
      <t>Chỉ huy - Tham mưu,CT, HC, KT</t>
    </r>
    <r>
      <rPr>
        <sz val="12"/>
        <rFont val="Times New Roman"/>
        <family val="1"/>
      </rPr>
      <t>):</t>
    </r>
  </si>
  <si>
    <r>
      <t>11) Đối tượng (</t>
    </r>
    <r>
      <rPr>
        <i/>
        <sz val="12"/>
        <rFont val="Times New Roman"/>
        <family val="1"/>
      </rPr>
      <t>SQ, QNCN, CNV, HSQ-CS</t>
    </r>
    <r>
      <rPr>
        <sz val="12"/>
        <rFont val="Times New Roman"/>
        <family val="1"/>
      </rPr>
      <t>):</t>
    </r>
  </si>
  <si>
    <t>đến</t>
  </si>
  <si>
    <t>Cấp bậc, Chức vụ chính quyền, đơn vị công tác</t>
  </si>
  <si>
    <t>Chức vụ Đảng</t>
  </si>
  <si>
    <t>ĐẢNG CỘNG SẢN VIỆT NAM</t>
  </si>
  <si>
    <t>ĐẢNG BỘ QUÂN ĐỘI</t>
  </si>
  <si>
    <t>SỐ LÝ LỊCH:</t>
  </si>
  <si>
    <t>SỐ THẺ ĐẢNG VIÊN:</t>
  </si>
  <si>
    <t>.</t>
  </si>
  <si>
    <t>…………………………………...…………</t>
  </si>
  <si>
    <t>…………………….……………………….</t>
  </si>
  <si>
    <t>ĐẢNG BỘ, CHI BỘ CƠ SỞ:………………</t>
  </si>
  <si>
    <t>ĐẢNG BỘ BỘ PHẬN:……………………..</t>
  </si>
  <si>
    <t>18) Trình độ học vấn</t>
  </si>
  <si>
    <t>HỒ SƠ ĐẢNG VIÊN</t>
  </si>
  <si>
    <t>Tính toán thống kê</t>
  </si>
  <si>
    <t>Tiêu chí</t>
  </si>
  <si>
    <t>Tổng số Đảng viên</t>
  </si>
  <si>
    <t>Kinh</t>
  </si>
  <si>
    <t>Trình độ LLCT</t>
  </si>
  <si>
    <t>Số lượng</t>
  </si>
  <si>
    <t>Thuộc tính</t>
  </si>
  <si>
    <t>Hoa</t>
  </si>
  <si>
    <t>Mường</t>
  </si>
  <si>
    <t>Nùng</t>
  </si>
  <si>
    <t>Chăm</t>
  </si>
  <si>
    <t>Sán Chay</t>
  </si>
  <si>
    <t>Đại tá, Thượng tá</t>
  </si>
  <si>
    <t>Trung tá, Thiếu tá</t>
  </si>
  <si>
    <t>Cấp úy</t>
  </si>
  <si>
    <t>Tuổi quân</t>
  </si>
  <si>
    <t>Trên 3 năm</t>
  </si>
  <si>
    <t>Ngày hiện tại</t>
  </si>
  <si>
    <t>1&lt;= - &lt;=2 năm</t>
  </si>
  <si>
    <t>2&lt; - &lt;=3 năm</t>
  </si>
  <si>
    <t>Tháng tuổi quân</t>
  </si>
  <si>
    <t>Trình độ đào tạo</t>
  </si>
  <si>
    <t>Cơ yếu</t>
  </si>
  <si>
    <t>Tuổi đời</t>
  </si>
  <si>
    <t>18 - 30</t>
  </si>
  <si>
    <t>31 - 35</t>
  </si>
  <si>
    <t>36 - 40</t>
  </si>
  <si>
    <t>41 - 45</t>
  </si>
  <si>
    <t>46 - 50</t>
  </si>
  <si>
    <t>51 - 55</t>
  </si>
  <si>
    <t>Bình quân</t>
  </si>
  <si>
    <t>BÁO CÁO TỔNG HỢP ĐẢNG VIÊN ĐƠN VỊ</t>
  </si>
  <si>
    <t>TÍNH TOÁN VÀ THIẾT LẬP</t>
  </si>
  <si>
    <t>Họ và tên thường dùng</t>
  </si>
  <si>
    <t xml:space="preserve">Cấp ủy kiêm </t>
  </si>
  <si>
    <t>ĐẢNG BỘ:</t>
  </si>
  <si>
    <t>CHI BỘ:</t>
  </si>
  <si>
    <t>05) Quê quán:</t>
  </si>
  <si>
    <t>TT</t>
  </si>
  <si>
    <t>Mã</t>
  </si>
  <si>
    <t>Chi Bộ</t>
  </si>
  <si>
    <t>Tác chiến</t>
  </si>
  <si>
    <t>Quân huấn - Nhà trường</t>
  </si>
  <si>
    <t>Quân lực</t>
  </si>
  <si>
    <t>Khoa học Quân sự</t>
  </si>
  <si>
    <t>Văn phòng</t>
  </si>
  <si>
    <t>Điều tra Hình sự</t>
  </si>
  <si>
    <t>Hành chính</t>
  </si>
  <si>
    <t>Đội xe</t>
  </si>
  <si>
    <t>Đại đội Thông tin</t>
  </si>
  <si>
    <t>Tổ chức</t>
  </si>
  <si>
    <t>Cán bộ</t>
  </si>
  <si>
    <t>Tuyên huấn</t>
  </si>
  <si>
    <t>Bảo vệ - An Ninh</t>
  </si>
  <si>
    <t>Phòng Tham mưu</t>
  </si>
  <si>
    <t>Phòng Doanh trại</t>
  </si>
  <si>
    <t>Phòng Xăng dầu</t>
  </si>
  <si>
    <t>Phòng Quân y</t>
  </si>
  <si>
    <t>Phòng Tài chính</t>
  </si>
  <si>
    <t>Phòng Quân nhu</t>
  </si>
  <si>
    <t>Đại đội 18</t>
  </si>
  <si>
    <t>Tham mưu - Kế hoạch</t>
  </si>
  <si>
    <t>Trang bị</t>
  </si>
  <si>
    <t>Xe máy</t>
  </si>
  <si>
    <t>Phòng Kế hoạch - Tổng hợp</t>
  </si>
  <si>
    <t>Phòng Bảo đảm</t>
  </si>
  <si>
    <t>Phòng Hóa học</t>
  </si>
  <si>
    <t>Phòng Sinh học</t>
  </si>
  <si>
    <t>Phòng Phóng xạ</t>
  </si>
  <si>
    <t>Phòng Khí tài</t>
  </si>
  <si>
    <t>Phòng Công nghệ Xử lý Môi trường</t>
  </si>
  <si>
    <t>Trạm Quan trắc miền Bắc</t>
  </si>
  <si>
    <t>Trạm Quan trắc miền Trung</t>
  </si>
  <si>
    <t>Trạm Quan trắc miền Nam</t>
  </si>
  <si>
    <t>Trạm Cơ động, Trinh sát, Phát hiện nhanh</t>
  </si>
  <si>
    <t>Xưởng Thực nghiệm</t>
  </si>
  <si>
    <t>Hành chính - Hậu cần</t>
  </si>
  <si>
    <t>Kế hoạch - Vật tư</t>
  </si>
  <si>
    <t>Sản xuất Khí tài Tiêu tẩy</t>
  </si>
  <si>
    <t>Sửa chữa Khí tài Trinh sát</t>
  </si>
  <si>
    <t>Sản xuất Khí tài Phòng da</t>
  </si>
  <si>
    <t>Sản xuất Khí tài Hô hấp</t>
  </si>
  <si>
    <t>Sửa chữa Xe máy Đặc chủng</t>
  </si>
  <si>
    <t>Sản xuất Hóa chất 1</t>
  </si>
  <si>
    <t>Sản xuất Hóa chất 2</t>
  </si>
  <si>
    <t>Ban Kế hoạch - Kỹ thuật</t>
  </si>
  <si>
    <t>Ban Hành chính - Hậu cần</t>
  </si>
  <si>
    <t>Phân kho Khí tài Đề phòng</t>
  </si>
  <si>
    <t>Phân kho Hóa chất</t>
  </si>
  <si>
    <t>Phân kho Khí tài Trinh sát</t>
  </si>
  <si>
    <t>Phân kho Khí tài Tiêu tẩy</t>
  </si>
  <si>
    <t>Phân kho Xe máy đặc chủng</t>
  </si>
  <si>
    <t>Ban Hành chính</t>
  </si>
  <si>
    <t>Phân kho Vũ khí - Hóa chất</t>
  </si>
  <si>
    <t>Phân kho Khí tài</t>
  </si>
  <si>
    <t>X62</t>
  </si>
  <si>
    <t>Ban Kế hoạch</t>
  </si>
  <si>
    <t>Phân kho Xe máy</t>
  </si>
  <si>
    <t>Phân kho Vũ khí</t>
  </si>
  <si>
    <t>KHO K64</t>
  </si>
  <si>
    <t>Phòng Chính trị</t>
  </si>
  <si>
    <t>Phòng Hậu cần</t>
  </si>
  <si>
    <t>Phòng Kỹ thuật</t>
  </si>
  <si>
    <t>Đại đội 22</t>
  </si>
  <si>
    <t>Đại đội 66</t>
  </si>
  <si>
    <t>Đại đội 1</t>
  </si>
  <si>
    <t>Đại đội 2</t>
  </si>
  <si>
    <t>Tiểu đoàn bộ</t>
  </si>
  <si>
    <t>Đại đội 67</t>
  </si>
  <si>
    <t>K64</t>
  </si>
  <si>
    <t>KHOA CƠ BẢN</t>
  </si>
  <si>
    <t>KHOA KHOA HỌC XÃ HỘI VÀ NHÂN VĂN</t>
  </si>
  <si>
    <t>KHOA QUÂN SỰ CHUNG</t>
  </si>
  <si>
    <t>KHOA CHIẾN THUẬT</t>
  </si>
  <si>
    <t>KHOA PHÒNG HÓA</t>
  </si>
  <si>
    <t>KHOA XE MÁY</t>
  </si>
  <si>
    <t>BAN KHẢO THÍ</t>
  </si>
  <si>
    <t>PHÒNG CHÍNH TRỊ</t>
  </si>
  <si>
    <t>PHÒNG THAM MƯU HÀNH CHÍNH</t>
  </si>
  <si>
    <t>PHÒNG ĐÀO TẠO</t>
  </si>
  <si>
    <t>ĐẢNG BỘ CƠ SỞ</t>
  </si>
  <si>
    <t>BTM01</t>
  </si>
  <si>
    <t>BTM02</t>
  </si>
  <si>
    <t>BTM03</t>
  </si>
  <si>
    <t>BTM04</t>
  </si>
  <si>
    <t>BTM05</t>
  </si>
  <si>
    <t>BTM06</t>
  </si>
  <si>
    <t>BTM07</t>
  </si>
  <si>
    <t>BTM08</t>
  </si>
  <si>
    <t>BTM09</t>
  </si>
  <si>
    <t>BTM10</t>
  </si>
  <si>
    <t>BTM11</t>
  </si>
  <si>
    <t>CCT01</t>
  </si>
  <si>
    <t>CCT02</t>
  </si>
  <si>
    <t>CCT03</t>
  </si>
  <si>
    <t>CCT04</t>
  </si>
  <si>
    <t>CHC01</t>
  </si>
  <si>
    <t>CHC02</t>
  </si>
  <si>
    <t>CHC03</t>
  </si>
  <si>
    <t>CHC04</t>
  </si>
  <si>
    <t>CHC05</t>
  </si>
  <si>
    <t>CHC06</t>
  </si>
  <si>
    <t>CHC07</t>
  </si>
  <si>
    <t>CKT01</t>
  </si>
  <si>
    <t>CKT02</t>
  </si>
  <si>
    <t>CKT03</t>
  </si>
  <si>
    <t>VH01</t>
  </si>
  <si>
    <t>VH02</t>
  </si>
  <si>
    <t>VH03</t>
  </si>
  <si>
    <t>VH04</t>
  </si>
  <si>
    <t>VH05</t>
  </si>
  <si>
    <t>VH06</t>
  </si>
  <si>
    <t>VH07</t>
  </si>
  <si>
    <t>VH08</t>
  </si>
  <si>
    <t>VH09</t>
  </si>
  <si>
    <t>VH10</t>
  </si>
  <si>
    <t>VH11</t>
  </si>
  <si>
    <t>VH12</t>
  </si>
  <si>
    <t>NM01</t>
  </si>
  <si>
    <t>NM02</t>
  </si>
  <si>
    <t>NM03</t>
  </si>
  <si>
    <t>NM04</t>
  </si>
  <si>
    <t>NM05</t>
  </si>
  <si>
    <t>NM06</t>
  </si>
  <si>
    <t>NM07</t>
  </si>
  <si>
    <t>NM08</t>
  </si>
  <si>
    <t>NM09</t>
  </si>
  <si>
    <t>NM10</t>
  </si>
  <si>
    <t>NM11</t>
  </si>
  <si>
    <t>K6101</t>
  </si>
  <si>
    <t>K6102</t>
  </si>
  <si>
    <t>K6103</t>
  </si>
  <si>
    <t>K6104</t>
  </si>
  <si>
    <t>K6105</t>
  </si>
  <si>
    <t>K6106</t>
  </si>
  <si>
    <t>K6107</t>
  </si>
  <si>
    <t>K6201</t>
  </si>
  <si>
    <t>K6202</t>
  </si>
  <si>
    <t>K6203</t>
  </si>
  <si>
    <t>K6204</t>
  </si>
  <si>
    <t>K6301</t>
  </si>
  <si>
    <t>K6302</t>
  </si>
  <si>
    <t>K6303</t>
  </si>
  <si>
    <t>K6304</t>
  </si>
  <si>
    <t>K6305</t>
  </si>
  <si>
    <t>K6306</t>
  </si>
  <si>
    <t>Lu8601</t>
  </si>
  <si>
    <t>Lu8602</t>
  </si>
  <si>
    <t>Lu8603</t>
  </si>
  <si>
    <t>Lu8604</t>
  </si>
  <si>
    <t>Lu8605</t>
  </si>
  <si>
    <t>Lu8606</t>
  </si>
  <si>
    <t>Lu8607</t>
  </si>
  <si>
    <t>Lu8608</t>
  </si>
  <si>
    <t>Lu8609</t>
  </si>
  <si>
    <t>Lu8610</t>
  </si>
  <si>
    <t>Lu8611</t>
  </si>
  <si>
    <t>Lu8612</t>
  </si>
  <si>
    <t>Lu8613</t>
  </si>
  <si>
    <t>Lu8614</t>
  </si>
  <si>
    <t>Lu8615</t>
  </si>
  <si>
    <t>Lu8701</t>
  </si>
  <si>
    <t>Lu8702</t>
  </si>
  <si>
    <t>Lu8703</t>
  </si>
  <si>
    <t>Lu8704</t>
  </si>
  <si>
    <t>Lu8705</t>
  </si>
  <si>
    <t>Lu8706</t>
  </si>
  <si>
    <t>Lu8707</t>
  </si>
  <si>
    <t>Lu8708</t>
  </si>
  <si>
    <t>Lu8709</t>
  </si>
  <si>
    <t>Lu8710</t>
  </si>
  <si>
    <t>Lu8711</t>
  </si>
  <si>
    <t>Lu8712</t>
  </si>
  <si>
    <t>Lu8713</t>
  </si>
  <si>
    <t>Lu8714</t>
  </si>
  <si>
    <t>d90501</t>
  </si>
  <si>
    <t>d90502</t>
  </si>
  <si>
    <t>d90601</t>
  </si>
  <si>
    <t>d90602</t>
  </si>
  <si>
    <t>d90503</t>
  </si>
  <si>
    <t>d90603</t>
  </si>
  <si>
    <t>d90604</t>
  </si>
  <si>
    <t>TSQPH01</t>
  </si>
  <si>
    <t>TSQPH02</t>
  </si>
  <si>
    <t>TSQPH03</t>
  </si>
  <si>
    <t>TSQPH04</t>
  </si>
  <si>
    <t>TSQPH05</t>
  </si>
  <si>
    <t>TSQPH06</t>
  </si>
  <si>
    <t>TSQPH07</t>
  </si>
  <si>
    <t>TSQPH08</t>
  </si>
  <si>
    <t>TSQPH09</t>
  </si>
  <si>
    <t>TSQPH10</t>
  </si>
  <si>
    <t>TSQPH11</t>
  </si>
  <si>
    <t>TSQPH12</t>
  </si>
  <si>
    <t>TSQPH13</t>
  </si>
  <si>
    <t>TSQPH14</t>
  </si>
  <si>
    <t>TSQPH15</t>
  </si>
  <si>
    <t>TSQPH16</t>
  </si>
  <si>
    <t>TSQPH17</t>
  </si>
  <si>
    <t>TSQPH18</t>
  </si>
  <si>
    <t>TSQPH19</t>
  </si>
  <si>
    <t>TSQPH20</t>
  </si>
  <si>
    <t>TSQPH21</t>
  </si>
  <si>
    <t>TSQPH22</t>
  </si>
  <si>
    <t>TSQPH23</t>
  </si>
  <si>
    <t>TSQPH24</t>
  </si>
  <si>
    <t>Tổ chức Đảng</t>
  </si>
  <si>
    <t>Số LLĐV</t>
  </si>
  <si>
    <t>Số TĐV</t>
  </si>
  <si>
    <t>Đảng viên thuộc đối tượng</t>
  </si>
  <si>
    <t>Ngày tháng năm</t>
  </si>
  <si>
    <t xml:space="preserve">Thuộc chi bộ </t>
  </si>
  <si>
    <t>Đảng bộ</t>
  </si>
  <si>
    <t>Trình độ văn hóa</t>
  </si>
  <si>
    <t>Trình độ Chuyên môn</t>
  </si>
  <si>
    <t>Đã qua trường</t>
  </si>
  <si>
    <t>Trình độ Lý luận Chính trị</t>
  </si>
  <si>
    <r>
      <t xml:space="preserve">Loại cán bộ </t>
    </r>
    <r>
      <rPr>
        <sz val="11"/>
        <rFont val="Times New Roman"/>
        <family val="1"/>
      </rPr>
      <t>(Đối tượng SQ)</t>
    </r>
  </si>
  <si>
    <t>Nơi ở hiện nay</t>
  </si>
  <si>
    <t>Vào Đảng</t>
  </si>
  <si>
    <t>Chính thức</t>
  </si>
  <si>
    <t>Nhập ngũ</t>
  </si>
  <si>
    <t>Chính quyền</t>
  </si>
  <si>
    <t xml:space="preserve">Đảng </t>
  </si>
  <si>
    <t>Họ và tên
khai sinh</t>
  </si>
  <si>
    <t>Họ và tên
thường dùng</t>
  </si>
  <si>
    <t>Số CMTQĐ</t>
  </si>
  <si>
    <t>Chi bộ kết nạp dự bị</t>
  </si>
  <si>
    <t>Chi bộ kết nạp c.thức</t>
  </si>
  <si>
    <t>Tuyển dụng</t>
  </si>
  <si>
    <t>Vào đoàn</t>
  </si>
  <si>
    <t xml:space="preserve">Mã chi bộ </t>
  </si>
  <si>
    <t>Học vị</t>
  </si>
  <si>
    <r>
      <t xml:space="preserve">Loại cán bộ </t>
    </r>
    <r>
      <rPr>
        <sz val="11"/>
        <color theme="0"/>
        <rFont val="Times New Roman"/>
        <family val="1"/>
      </rPr>
      <t>(Đối tượng SQ)</t>
    </r>
  </si>
  <si>
    <t>Nguyễn Hữu Xá</t>
  </si>
  <si>
    <t>BTCB</t>
  </si>
  <si>
    <t>BTĐU</t>
  </si>
  <si>
    <t>PBTCB</t>
  </si>
  <si>
    <t>Hoàng Xuân Dũng</t>
  </si>
  <si>
    <t>4/2000</t>
  </si>
  <si>
    <t>2/2002</t>
  </si>
  <si>
    <t>zxcxcx</t>
  </si>
  <si>
    <t>BT</t>
  </si>
  <si>
    <t>44</t>
  </si>
  <si>
    <t>sdfds</t>
  </si>
  <si>
    <t>446</t>
  </si>
  <si>
    <t>56</t>
  </si>
  <si>
    <t>78</t>
  </si>
  <si>
    <t>Học lực</t>
  </si>
  <si>
    <t>DV</t>
  </si>
  <si>
    <t>/</t>
  </si>
  <si>
    <t>C</t>
  </si>
  <si>
    <t>T</t>
  </si>
  <si>
    <t>BINH CHỦNG HÓA HỌC</t>
  </si>
  <si>
    <t>BỘ THAM MƯU</t>
  </si>
  <si>
    <t>CỤC CHÍNH TRỊ</t>
  </si>
  <si>
    <t>CỤC HẬU CẦN</t>
  </si>
  <si>
    <t>CỤC KỸ THUẬT</t>
  </si>
  <si>
    <t>NHÀ MÁY X61</t>
  </si>
  <si>
    <t>KHO K61</t>
  </si>
  <si>
    <t>KHO K62</t>
  </si>
  <si>
    <t>KHO K63</t>
  </si>
  <si>
    <t>Kho K64</t>
  </si>
  <si>
    <t>LỮ ĐOÀN 86</t>
  </si>
  <si>
    <t>LỮ ĐOÀN 87</t>
  </si>
  <si>
    <t>TIỂU ĐOÀN 905</t>
  </si>
  <si>
    <t>TIỂU ĐOÀN 906</t>
  </si>
  <si>
    <t>TRƯỜNG SQPH</t>
  </si>
  <si>
    <t xml:space="preserve">VIỆN HH-MTQS </t>
  </si>
  <si>
    <t>DANH SÁCH ĐƠN VỊ</t>
  </si>
  <si>
    <t xml:space="preserve">Chọn Đơn vị thống kê:  </t>
  </si>
  <si>
    <t>rr</t>
  </si>
  <si>
    <t>rrr</t>
  </si>
  <si>
    <t>tuấn</t>
  </si>
  <si>
    <t>dd</t>
  </si>
  <si>
    <t>Cấp ủy kiêm</t>
  </si>
  <si>
    <t>1///</t>
  </si>
  <si>
    <t>4//</t>
  </si>
  <si>
    <t>3//</t>
  </si>
  <si>
    <t>2//</t>
  </si>
  <si>
    <t>1//</t>
  </si>
  <si>
    <t>4/</t>
  </si>
  <si>
    <t>3/</t>
  </si>
  <si>
    <t>2/</t>
  </si>
  <si>
    <t>1/</t>
  </si>
  <si>
    <t>3//CN</t>
  </si>
  <si>
    <t>2//CN</t>
  </si>
  <si>
    <t>1//CN</t>
  </si>
  <si>
    <t>4/CN</t>
  </si>
  <si>
    <t>3/CN</t>
  </si>
  <si>
    <t>2/CN</t>
  </si>
  <si>
    <t>1/CN</t>
  </si>
  <si>
    <t>12/12</t>
  </si>
  <si>
    <t>Lê Duy Nguyện</t>
  </si>
  <si>
    <t>Nhân viên</t>
  </si>
  <si>
    <t>SQPH</t>
  </si>
  <si>
    <t>X. Thiệu Lý, H. Thiệu Hóa, T. Thanh Hóa</t>
  </si>
  <si>
    <t>P407, Nhà C4, P. Nghĩa Tân, Q. Cầu Giấy, TP. Hà Nội</t>
  </si>
  <si>
    <t>Chọn Số lý lịch đảng viên:</t>
  </si>
  <si>
    <t>Chọn LLĐV:</t>
  </si>
  <si>
    <t>02/2002</t>
  </si>
  <si>
    <t>05/2002</t>
  </si>
  <si>
    <t>B2, Chiến sĩ, c2, d901, e86, BCHH</t>
  </si>
  <si>
    <t>06/2002</t>
  </si>
  <si>
    <t>12/2002</t>
  </si>
  <si>
    <t>B2, Học viên, Lớp sơ cấp kỹ thuật nấu ăn, TTHL/TCHC</t>
  </si>
  <si>
    <t>01/2003</t>
  </si>
  <si>
    <t>09/2004</t>
  </si>
  <si>
    <t>B1, Chiến sĩ, dbộ, d901, BCHH</t>
  </si>
  <si>
    <t>dbộ, d901, e86, BCHH</t>
  </si>
  <si>
    <t>c11, dCMKT, TSQPH, BCHH</t>
  </si>
  <si>
    <t>12/2006</t>
  </si>
  <si>
    <t>B1, H1, H2, Học viên, Lớp HN6, c11, dCMKT, TSQPH, BCHH</t>
  </si>
  <si>
    <t>01/2007</t>
  </si>
  <si>
    <t>02/2010</t>
  </si>
  <si>
    <t>1/CN, Nhân viên, Ban Tổ chức, Phòng Chính trị, TSQPH, BCHH</t>
  </si>
  <si>
    <t>03/2010</t>
  </si>
  <si>
    <t>08/2019</t>
  </si>
  <si>
    <t>1/CN, 2/CN, 3/CN, Nhân viên, Phòng Tổ chức, CCT, BCHH</t>
  </si>
  <si>
    <t>Đại đội 1/d901</t>
  </si>
  <si>
    <t>Đại đội 2/d901</t>
  </si>
  <si>
    <t>Tiểu đoàn bộ/d901</t>
  </si>
  <si>
    <t>Đại đội 4/d902</t>
  </si>
  <si>
    <t>Đại đội 5/d902</t>
  </si>
  <si>
    <t>Tiểu đoàn bộ/d902</t>
  </si>
  <si>
    <t>Đại đội 7/d903</t>
  </si>
  <si>
    <t>Đại đội 8/d903</t>
  </si>
  <si>
    <t>Tiểu đoàn bộ/d903</t>
  </si>
  <si>
    <t>Đại đội 11/d907</t>
  </si>
  <si>
    <t>Đại đội 68/d907</t>
  </si>
  <si>
    <t>Tiểu đoàn bộ/d907</t>
  </si>
  <si>
    <t>Đại đội 12/d908</t>
  </si>
  <si>
    <t>Đại đội 13/d908</t>
  </si>
  <si>
    <t>Tiểu đoàn bộ/d908</t>
  </si>
  <si>
    <t>Đại đội 15/d909</t>
  </si>
  <si>
    <t>Đại đội 16/d909</t>
  </si>
  <si>
    <t>Tiểu đoàn bộ/d909</t>
  </si>
  <si>
    <t>Bố, mẹ đẻ; Bố, mẹ vợ (chồng); Vợ (chồng); các con; anh chị em ruột</t>
  </si>
  <si>
    <t>Quan hệ</t>
  </si>
  <si>
    <t>Họ và tên</t>
  </si>
  <si>
    <t>Năm sinh</t>
  </si>
  <si>
    <t>Quê quán, nơi ở hiện nay, nghề nghiệp, đơn vị công tác</t>
  </si>
  <si>
    <t>25) QUAN HỆ GIA ĐÌNH</t>
  </si>
  <si>
    <t>Thời gian</t>
  </si>
  <si>
    <t>KẾT QUẢ ĐÁNH GIÁ, XẾP LOẠI</t>
  </si>
  <si>
    <t>KHEN THƯỞNG</t>
  </si>
  <si>
    <t>Ghi chú</t>
  </si>
  <si>
    <t>QNCN, CNV</t>
  </si>
  <si>
    <t>Đoàn thể</t>
  </si>
  <si>
    <t>Đảng</t>
  </si>
  <si>
    <r>
      <t xml:space="preserve">* Chú thích: </t>
    </r>
    <r>
      <rPr>
        <i/>
        <sz val="10"/>
        <color rgb="FFFF0000"/>
        <rFont val="Times New Roman"/>
        <family val="1"/>
      </rPr>
      <t>Hoàn thành xuất sắc: M1; Hoàn thành tốt nhiệm vụ: M2; Hoàn thành nhiệm vụ: M3; Không hoàn thành nhiệm vụ: M4</t>
    </r>
  </si>
  <si>
    <t xml:space="preserve">26) KẾT QUẢ ĐÁNH GIÁ, XẾP LOẠI HẰNG NĂM </t>
  </si>
  <si>
    <t>PHÒNG HẬU CẦN-KỸ THUẬT</t>
  </si>
  <si>
    <t>Đại đội 1/d1</t>
  </si>
  <si>
    <t>Đại đội 2/d1</t>
  </si>
  <si>
    <t>Đại đội 3/d1</t>
  </si>
  <si>
    <t>Đại đội 4/d1</t>
  </si>
  <si>
    <t>Tiểu đoàn bộ/d1</t>
  </si>
  <si>
    <t>Đại đội 5/d2</t>
  </si>
  <si>
    <t>Đại đội 6/d2</t>
  </si>
  <si>
    <t>TIỂU ĐOÀN 3</t>
  </si>
  <si>
    <t>Vận tải/HC-KT</t>
  </si>
  <si>
    <t>Sửa chữa tổng hợp/HC-KT</t>
  </si>
  <si>
    <t>Hậu cần/HC-KT</t>
  </si>
  <si>
    <t>TIỂU ĐOÀN 1</t>
  </si>
  <si>
    <t>TIỂU ĐOÀN 2</t>
  </si>
  <si>
    <t>Đại đội 7/d2</t>
  </si>
  <si>
    <t>TSQPH25</t>
  </si>
  <si>
    <t xml:space="preserve">22) QUÁ TRÌNH ĐÀO TẠO, BỒI DƯỠNG VỀ CHUYÊN MÔN, NGHIỆP VỤ, LÝ LUẬN CHÍNH TRỊ, NGOẠI NGỮ
</t>
  </si>
  <si>
    <t>Tên trường</t>
  </si>
  <si>
    <t>Ngành học hoặc tên lớp học</t>
  </si>
  <si>
    <t>Hình thức học</t>
  </si>
  <si>
    <t xml:space="preserve">Văn bằng, chứng chỉ,
trình độ gì
</t>
  </si>
  <si>
    <t>NGƯỜI KHAI</t>
  </si>
  <si>
    <t xml:space="preserve">Tôi xin cam đoan những 
lời khai trên đây là đúng sự thật
</t>
  </si>
  <si>
    <t>Ngày......tháng.....năm........</t>
  </si>
  <si>
    <t>XÁC NHẬN CỦA CHI UỶ CHI BỘ</t>
  </si>
  <si>
    <t>XÁC NHẬN CỦA CẤP UỶ CƠ SỞ</t>
  </si>
  <si>
    <t>..........., ngày..........tháng.......năm..........</t>
  </si>
  <si>
    <t>(Ký ghi rõ họ tên)</t>
  </si>
  <si>
    <t>(Chức vụ, ký ghi rõ họ tên)</t>
  </si>
  <si>
    <t>(Chức vụ, Đảng hiệu, ghi rõ họ tên)</t>
  </si>
  <si>
    <t>TÓM TẮT QUÁ TRÌNH ĐÀO TẠO CHUYÊN MÔN NGHIỆP VỤ</t>
  </si>
  <si>
    <t>Văn bằng chứng chỉ trình độ gì</t>
  </si>
  <si>
    <t>THÊM MỚI QUÁ TRÌNH ĐÀO TẠO</t>
  </si>
  <si>
    <t>Chọn số lý lịch Đảng viên:</t>
  </si>
  <si>
    <t>Họ tên:</t>
  </si>
  <si>
    <t xml:space="preserve">Thời gian đào tạo từ: </t>
  </si>
  <si>
    <t xml:space="preserve">Đến: </t>
  </si>
  <si>
    <t>Ngành học hoặc tên lớp:</t>
  </si>
  <si>
    <t>Tên trường:</t>
  </si>
  <si>
    <t>Hình thức học:</t>
  </si>
  <si>
    <t>Văn bằng chứng chỉ trình độ gì:</t>
  </si>
  <si>
    <t>Trình độ LLCT:</t>
  </si>
  <si>
    <t>DHQGHN</t>
  </si>
  <si>
    <t>CDT</t>
  </si>
  <si>
    <t>Online</t>
  </si>
  <si>
    <t>cu nhan</t>
  </si>
  <si>
    <t>dai uy</t>
  </si>
  <si>
    <t>1/2/2020</t>
  </si>
  <si>
    <t>1/3/2020</t>
  </si>
  <si>
    <t>Dai uy</t>
  </si>
  <si>
    <t>cao</t>
  </si>
  <si>
    <t>dhqg</t>
  </si>
  <si>
    <t>sada</t>
  </si>
  <si>
    <t>Nguyễn Văn A</t>
  </si>
  <si>
    <t>dhkt</t>
  </si>
  <si>
    <t>oiqwe</t>
  </si>
  <si>
    <t>Offline</t>
  </si>
  <si>
    <t>Ky su</t>
  </si>
  <si>
    <t>oqweq</t>
  </si>
  <si>
    <t>…………………………………………….</t>
  </si>
  <si>
    <t>Khen thưởng</t>
  </si>
  <si>
    <t>Kỷ luật</t>
  </si>
  <si>
    <t>Kỷ luật:</t>
  </si>
  <si>
    <t xml:space="preserve">_x000D_
_x000D_
_x000D_
_x000D_
</t>
  </si>
  <si>
    <t xml:space="preserve"> </t>
  </si>
  <si>
    <t>QUAN HỆ GIA ĐÌNH</t>
  </si>
  <si>
    <t>Họ tên Đảng viên</t>
  </si>
  <si>
    <t>Họ và tên người nhà</t>
  </si>
  <si>
    <t>THÊM MỚI QUAN HỆ GIA ĐÌNH</t>
  </si>
  <si>
    <t>Thông tin Đảng viên</t>
  </si>
  <si>
    <t>Quê quán, nơi ở hiện nay, nghề nghiệp, đơn vị công tác:</t>
  </si>
  <si>
    <t>Năm sinh:</t>
  </si>
  <si>
    <t>Quan hệ:</t>
  </si>
  <si>
    <t>Số lý lịch Đảng viên:</t>
  </si>
  <si>
    <t>Con</t>
  </si>
  <si>
    <t>Hà Nội</t>
  </si>
  <si>
    <t>Chồng</t>
  </si>
  <si>
    <t>Nguyễn Văn B</t>
  </si>
  <si>
    <t>Hải Dương</t>
  </si>
  <si>
    <t>Nguyễn Thị C</t>
  </si>
  <si>
    <t>Vợ</t>
  </si>
  <si>
    <t>Cao Van Hiep</t>
  </si>
  <si>
    <t>Ha noi</t>
  </si>
  <si>
    <t>Thông tin người nhà</t>
  </si>
  <si>
    <t>Bản quyền: Phòng Tổ chức
Đơn vị: Cục Chính trị - Binh chủng Hóa học</t>
  </si>
  <si>
    <t>Quá trình đào tạo</t>
  </si>
  <si>
    <t>Quan hệ gia đình</t>
  </si>
  <si>
    <t>Kết quả đánh giá, xếp loại</t>
  </si>
  <si>
    <t>HÌNH THỨC</t>
  </si>
  <si>
    <t>Chính quy</t>
  </si>
  <si>
    <t>Tập trung</t>
  </si>
  <si>
    <t>Tại chức</t>
  </si>
  <si>
    <t>Bồi dưỡng</t>
  </si>
  <si>
    <t>Họ và tên:</t>
  </si>
  <si>
    <t>QHGĐ</t>
  </si>
  <si>
    <t>Bố đẻ</t>
  </si>
  <si>
    <t>Mẹ đẻ</t>
  </si>
  <si>
    <t>Bố vợ</t>
  </si>
  <si>
    <t>Mẹ vợ</t>
  </si>
  <si>
    <t>Anh trai</t>
  </si>
  <si>
    <t>Chị gái</t>
  </si>
  <si>
    <t>Em trai</t>
  </si>
  <si>
    <t>Em gái</t>
  </si>
  <si>
    <t>Con đẻ</t>
  </si>
  <si>
    <r>
      <t xml:space="preserve">23) Kỷ luật </t>
    </r>
    <r>
      <rPr>
        <i/>
        <sz val="12"/>
        <color theme="1"/>
        <rFont val="Times New Roman"/>
        <family val="1"/>
      </rPr>
      <t>(Đảng, chính quyền, pháp luật)</t>
    </r>
    <r>
      <rPr>
        <sz val="12"/>
        <color theme="1"/>
        <rFont val="Times New Roman"/>
        <family val="1"/>
      </rPr>
      <t>:</t>
    </r>
  </si>
  <si>
    <t xml:space="preserve">    Hiệu trưởng trường Cao đẳng Văn hóa Nghệ thuật và Du lịch Sài Gòn khẳng định sẽ có hình thức kỷ luật nếu nghệ sĩ Đức Hải phát ngôn phản cảm trên mạng xã hội.
    Hiệu trưởng trường Cao đẳng Văn hóa Nghệ thuật và Du lịch Sài Gòn khẳng định sẽ có hình thức kỷ luật nếu nghệ sĩ Đức Hải phát ngôn phản cảm trên mạng xã hội.
    </t>
  </si>
  <si>
    <t>THÊM MỚI KẾT QUẢ XẾP LOẠI ĐẢNG VIÊN HẰNG NĂM</t>
  </si>
  <si>
    <t>Chọn số LLĐV:</t>
  </si>
  <si>
    <t xml:space="preserve">Thời gian : </t>
  </si>
  <si>
    <t>Cán bộ:</t>
  </si>
  <si>
    <t>QNCN, CNV:</t>
  </si>
  <si>
    <t>Đoàn thể:</t>
  </si>
  <si>
    <t>Chính quyền:</t>
  </si>
  <si>
    <t>Đảng:</t>
  </si>
  <si>
    <t>Đảng viên:</t>
  </si>
  <si>
    <t>HTXSNV</t>
  </si>
  <si>
    <t>HTTNV</t>
  </si>
  <si>
    <t>HTNV</t>
  </si>
  <si>
    <t>Không HTNV</t>
  </si>
  <si>
    <t xml:space="preserve">CSTĐ </t>
  </si>
  <si>
    <t>Bằng khen</t>
  </si>
  <si>
    <t>Giấy khen</t>
  </si>
  <si>
    <r>
      <t>CSTT</t>
    </r>
    <r>
      <rPr>
        <sz val="14"/>
        <color theme="1"/>
        <rFont val="Times New Roman"/>
        <family val="1"/>
      </rPr>
      <t xml:space="preserve"> </t>
    </r>
    <r>
      <rPr>
        <sz val="14"/>
        <color theme="1"/>
        <rFont val="Calibri"/>
        <family val="2"/>
      </rPr>
      <t>≈</t>
    </r>
  </si>
  <si>
    <t>NỮ</t>
  </si>
  <si>
    <t>Nguyễn Khánh</t>
  </si>
  <si>
    <t>02) Nam/Nữ:</t>
  </si>
  <si>
    <t>Đảng Viên</t>
  </si>
  <si>
    <t>ĐHQGHN</t>
  </si>
  <si>
    <t>Cao Văn Hiệp</t>
  </si>
  <si>
    <t>Tù trưởng</t>
  </si>
  <si>
    <t>12</t>
  </si>
  <si>
    <t>ĐHBK</t>
  </si>
  <si>
    <t>THÊM KỶ LUẬT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</si>
</sst>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1" formatCode="_(* #,##0_);_(* \(#,##0\);_(* &quot;-&quot;_);_(@_)"/>
    <numFmt numFmtId="43" formatCode="_(* #,##0.00_);_(* \(#,##0.00\);_(* &quot;-&quot;??_);_(@_)"/>
    <numFmt numFmtId="164" formatCode="#,##0.000"/>
    <numFmt numFmtId="165" formatCode="#,##0.0"/>
    <numFmt numFmtId="166" formatCode="_-* #,##0_-;\-* #,##0_-;_-* &quot;-&quot;_-;_-@_-"/>
  </numFmts>
  <fonts count="70">
    <font>
      <sz val="11"/>
      <color theme="1"/>
      <name val="Calibri"/>
      <family val="2"/>
      <scheme val="minor"/>
    </font>
    <font>
      <b/>
      <sz val="14"/>
      <color theme="1"/>
      <name val="Times New Roman"/>
      <family val="1"/>
    </font>
    <font>
      <sz val="11"/>
      <color theme="1"/>
      <name val="Times New Roman"/>
      <family val="1"/>
    </font>
    <font>
      <b/>
      <sz val="11"/>
      <color theme="1"/>
      <name val="Times New Roman"/>
      <family val="1"/>
    </font>
    <font>
      <b/>
      <sz val="10"/>
      <name val="Times New Roman"/>
      <family val="1"/>
    </font>
    <font>
      <sz val="12"/>
      <name val="Times New Roman"/>
      <family val="1"/>
    </font>
    <font>
      <sz val="10"/>
      <name val="Times New Roman"/>
      <family val="1"/>
    </font>
    <font>
      <sz val="12"/>
      <color theme="1"/>
      <name val="Times New Roman"/>
      <family val="1"/>
    </font>
    <font>
      <b/>
      <sz val="16"/>
      <name val="Times New Roman"/>
      <family val="1"/>
    </font>
    <font>
      <b/>
      <sz val="12"/>
      <color theme="1"/>
      <name val="Times New Roman"/>
      <family val="1"/>
    </font>
    <font>
      <b/>
      <sz val="11"/>
      <color rgb="FF0000FF"/>
      <name val="Times New Roman"/>
      <family val="1"/>
    </font>
    <font>
      <b/>
      <sz val="11"/>
      <color rgb="FF000000"/>
      <name val="Times New Roman"/>
      <family val="1"/>
    </font>
    <font>
      <sz val="11"/>
      <name val="Times New Roman"/>
      <family val="1"/>
    </font>
    <font>
      <b/>
      <sz val="12"/>
      <color rgb="FF7030A0"/>
      <name val="Times New Roman"/>
      <family val="1"/>
    </font>
    <font>
      <b/>
      <sz val="12"/>
      <color rgb="FFFF0000"/>
      <name val="Times New Roman"/>
      <family val="1"/>
    </font>
    <font>
      <sz val="12"/>
      <color rgb="FF7030A0"/>
      <name val="Times New Roman"/>
      <family val="1"/>
    </font>
    <font>
      <sz val="9"/>
      <color theme="1"/>
      <name val="Times New Roman"/>
      <family val="1"/>
    </font>
    <font>
      <sz val="14"/>
      <color theme="1"/>
      <name val="Times New Roman"/>
      <family val="1"/>
    </font>
    <font>
      <u/>
      <sz val="11"/>
      <color theme="10"/>
      <name val="Calibri"/>
      <family val="2"/>
      <scheme val="minor"/>
    </font>
    <font>
      <sz val="14"/>
      <color rgb="FF0000FF"/>
      <name val="Times New Roman"/>
      <family val="1"/>
    </font>
    <font>
      <b/>
      <sz val="20"/>
      <color rgb="FFFF0000"/>
      <name val="Times New Roman"/>
      <family val="1"/>
    </font>
    <font>
      <b/>
      <sz val="14"/>
      <color rgb="FFFF0000"/>
      <name val="Times New Roman"/>
      <family val="1"/>
    </font>
    <font>
      <b/>
      <sz val="16"/>
      <color theme="1"/>
      <name val="Times New Roman"/>
      <family val="1"/>
    </font>
    <font>
      <b/>
      <sz val="16"/>
      <color rgb="FFFF0000"/>
      <name val="Times New Roman"/>
      <family val="1"/>
    </font>
    <font>
      <sz val="13"/>
      <color rgb="FF000000"/>
      <name val="Calibri"/>
      <family val="2"/>
      <charset val="163"/>
    </font>
    <font>
      <b/>
      <sz val="16"/>
      <color theme="0"/>
      <name val="Times New Roman"/>
      <family val="1"/>
    </font>
    <font>
      <sz val="10"/>
      <color theme="1"/>
      <name val="Times New Roman"/>
      <family val="1"/>
    </font>
    <font>
      <sz val="12"/>
      <color rgb="FF000000"/>
      <name val="Times New Roman"/>
      <family val="1"/>
    </font>
    <font>
      <sz val="13"/>
      <color theme="1"/>
      <name val="Times New Roman"/>
      <family val="1"/>
    </font>
    <font>
      <i/>
      <sz val="12"/>
      <name val="Times New Roman"/>
      <family val="1"/>
    </font>
    <font>
      <b/>
      <u/>
      <sz val="16"/>
      <name val="Times New Roman"/>
      <family val="1"/>
    </font>
    <font>
      <sz val="9"/>
      <name val="Times New Roman"/>
      <family val="1"/>
    </font>
    <font>
      <b/>
      <sz val="18"/>
      <name val="Times New Roman"/>
      <family val="1"/>
    </font>
    <font>
      <b/>
      <sz val="13"/>
      <color rgb="FFFF0000"/>
      <name val="Times New Roman"/>
      <family val="1"/>
    </font>
    <font>
      <sz val="15"/>
      <color theme="1"/>
      <name val="Times New Roman"/>
      <family val="1"/>
    </font>
    <font>
      <b/>
      <sz val="13"/>
      <color theme="1"/>
      <name val="Times New Roman"/>
      <family val="1"/>
    </font>
    <font>
      <b/>
      <sz val="18"/>
      <color theme="0"/>
      <name val="Times New Roman"/>
      <family val="1"/>
    </font>
    <font>
      <b/>
      <sz val="11"/>
      <color theme="0"/>
      <name val="Times New Roman"/>
      <family val="1"/>
    </font>
    <font>
      <sz val="12"/>
      <name val="VNI-Times"/>
    </font>
    <font>
      <sz val="10"/>
      <name val="VNI-Times"/>
    </font>
    <font>
      <sz val="10"/>
      <name val="Arial"/>
      <family val="2"/>
    </font>
    <font>
      <sz val="14"/>
      <color rgb="FFFF0000"/>
      <name val="Times New Roman"/>
      <family val="1"/>
    </font>
    <font>
      <sz val="14"/>
      <name val="Times New Roman"/>
      <family val="1"/>
    </font>
    <font>
      <b/>
      <sz val="11"/>
      <name val="Times New Roman"/>
      <family val="1"/>
    </font>
    <font>
      <sz val="11"/>
      <color theme="0"/>
      <name val="Times New Roman"/>
      <family val="1"/>
    </font>
    <font>
      <sz val="12.5"/>
      <color theme="1"/>
      <name val="Times New Roman"/>
      <family val="1"/>
    </font>
    <font>
      <sz val="8"/>
      <color theme="1"/>
      <name val="Times New Roman"/>
      <family val="1"/>
    </font>
    <font>
      <i/>
      <sz val="12"/>
      <color theme="1"/>
      <name val="Times New Roman"/>
      <family val="1"/>
    </font>
    <font>
      <sz val="12"/>
      <color rgb="FFFF0000"/>
      <name val="Times New Roman"/>
      <family val="1"/>
    </font>
    <font>
      <b/>
      <sz val="10"/>
      <color rgb="FFFF0000"/>
      <name val="Times New Roman"/>
      <family val="1"/>
    </font>
    <font>
      <i/>
      <sz val="10"/>
      <color rgb="FFFF0000"/>
      <name val="Times New Roman"/>
      <family val="1"/>
    </font>
    <font>
      <i/>
      <sz val="9"/>
      <name val="Times New Roman"/>
      <family val="1"/>
    </font>
    <font>
      <sz val="24"/>
      <color theme="1"/>
      <name val="Times New Roman"/>
      <family val="1"/>
    </font>
    <font>
      <sz val="16"/>
      <color theme="1"/>
      <name val="Times New Roman"/>
      <family val="1"/>
    </font>
    <font>
      <sz val="16"/>
      <color rgb="FF7030A0"/>
      <name val="Times New Roman"/>
      <family val="1"/>
    </font>
    <font>
      <b/>
      <sz val="11"/>
      <color theme="1"/>
      <name val="Calibri"/>
      <family val="2"/>
      <scheme val="minor"/>
    </font>
    <font>
      <b/>
      <sz val="20"/>
      <color theme="1"/>
      <name val="Calibri"/>
      <family val="2"/>
      <scheme val="minor"/>
    </font>
    <font>
      <b/>
      <sz val="24"/>
      <color theme="0"/>
      <name val="Times New Roman"/>
      <family val="1"/>
    </font>
    <font>
      <b/>
      <sz val="16"/>
      <color rgb="FF0000FF"/>
      <name val="Times New Roman"/>
      <family val="1"/>
    </font>
    <font>
      <b/>
      <sz val="20"/>
      <color theme="1"/>
      <name val="Times New Roman"/>
      <family val="1"/>
    </font>
    <font>
      <sz val="12"/>
      <color theme="4" tint="-0.249977111117893"/>
      <name val="Times New Roman"/>
      <family val="1"/>
    </font>
    <font>
      <sz val="14"/>
      <color theme="10"/>
      <name val="Times New Roman"/>
      <family val="1"/>
    </font>
    <font>
      <sz val="14"/>
      <color theme="4" tint="-0.249977111117893"/>
      <name val="Times New Roman"/>
      <family val="1"/>
    </font>
    <font>
      <b/>
      <sz val="11"/>
      <color rgb="FF002060"/>
      <name val="Times New Roman"/>
      <family val="1"/>
    </font>
    <font>
      <b/>
      <sz val="14"/>
      <color rgb="FF002060"/>
      <name val="Times New Roman"/>
      <family val="1"/>
    </font>
    <font>
      <sz val="14"/>
      <color rgb="FF7030A0"/>
      <name val="Times New Roman"/>
      <family val="1"/>
    </font>
    <font>
      <sz val="12"/>
      <color rgb="FF002060"/>
      <name val="Times New Roman"/>
      <family val="1"/>
    </font>
    <font>
      <sz val="14"/>
      <color theme="1"/>
      <name val="Calibri"/>
      <family val="2"/>
    </font>
    <font>
      <sz val="12"/>
      <color theme="1"/>
      <name val="Calibri"/>
      <family val="2"/>
      <scheme val="minor"/>
    </font>
    <font>
      <sz val="11"/>
      <color rgb="FF000000"/>
      <name val="Calibri"/>
      <family val="2"/>
    </font>
  </fonts>
  <fills count="30">
    <fill>
      <patternFill patternType="none"/>
    </fill>
    <fill>
      <patternFill patternType="gray125"/>
    </fill>
    <fill>
      <patternFill patternType="solid">
        <fgColor theme="7"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249977111117893"/>
        <bgColor indexed="64"/>
      </patternFill>
    </fill>
    <fill>
      <patternFill patternType="solid">
        <fgColor theme="0"/>
        <bgColor indexed="64"/>
      </patternFill>
    </fill>
    <fill>
      <patternFill patternType="solid">
        <fgColor rgb="FFC00000"/>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CC99"/>
        <bgColor rgb="FF000000"/>
      </patternFill>
    </fill>
    <fill>
      <patternFill patternType="solid">
        <fgColor rgb="FF92D050"/>
        <bgColor indexed="64"/>
      </patternFill>
    </fill>
    <fill>
      <patternFill patternType="solid">
        <fgColor theme="0" tint="-0.49998474074526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rgb="FFF0AD92"/>
        <bgColor indexed="64"/>
      </patternFill>
    </fill>
    <fill>
      <patternFill patternType="solid">
        <fgColor rgb="FF0070C0"/>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2"/>
        <bgColor indexed="64"/>
      </patternFill>
    </fill>
    <fill>
      <patternFill patternType="solid">
        <fgColor theme="7" tint="0.39997558519241921"/>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indexed="64"/>
      </left>
      <right style="thin">
        <color indexed="64"/>
      </right>
      <top/>
      <bottom/>
      <diagonal/>
    </border>
    <border>
      <left/>
      <right style="thin">
        <color indexed="64"/>
      </right>
      <top/>
      <bottom style="thin">
        <color indexed="64"/>
      </bottom>
      <diagonal/>
    </border>
    <border>
      <left style="thin">
        <color theme="0" tint="-0.2499465926084170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top style="thin">
        <color indexed="64"/>
      </top>
      <bottom/>
      <diagonal/>
    </border>
    <border>
      <left style="thin">
        <color indexed="64"/>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style="hair">
        <color indexed="64"/>
      </top>
      <bottom/>
      <diagonal/>
    </border>
    <border>
      <left/>
      <right/>
      <top style="hair">
        <color indexed="64"/>
      </top>
      <bottom/>
      <diagonal/>
    </border>
    <border>
      <left/>
      <right style="thin">
        <color indexed="64"/>
      </right>
      <top style="hair">
        <color indexed="64"/>
      </top>
      <bottom/>
      <diagonal/>
    </border>
    <border>
      <left style="hair">
        <color indexed="64"/>
      </left>
      <right style="hair">
        <color indexed="64"/>
      </right>
      <top style="hair">
        <color indexed="64"/>
      </top>
      <bottom style="hair">
        <color indexed="64"/>
      </bottom>
      <diagonal/>
    </border>
  </borders>
  <cellStyleXfs count="5">
    <xf numFmtId="0" fontId="0" fillId="0" borderId="0"/>
    <xf numFmtId="0" fontId="18" fillId="0" borderId="0" applyNumberFormat="0" applyFont="0" applyFill="0" applyBorder="0" applyAlignment="0" applyProtection="0"/>
    <xf numFmtId="0" fontId="38" fillId="0" borderId="0"/>
    <xf numFmtId="0" fontId="39" fillId="0" borderId="0"/>
    <xf numFmtId="0" fontId="40" fillId="0" borderId="0"/>
  </cellStyleXfs>
  <cellXfs count="681">
    <xf numFmtId="0" fontId="0" fillId="0" borderId="0" xfId="0"/>
    <xf numFmtId="0" fontId="2" fillId="0" borderId="0" xfId="0" applyFont="1"/>
    <xf numFmtId="0" fontId="2" fillId="0" borderId="2" xfId="0" applyFont="1" applyBorder="1" applyAlignment="1">
      <alignment vertical="center"/>
    </xf>
    <xf numFmtId="14" fontId="2" fillId="0" borderId="0" xfId="0" applyNumberFormat="1" applyFont="1"/>
    <xf numFmtId="14" fontId="2" fillId="0" borderId="2" xfId="0" applyNumberFormat="1" applyFont="1" applyBorder="1" applyAlignment="1">
      <alignment vertical="center"/>
    </xf>
    <xf numFmtId="0" fontId="7" fillId="0" borderId="0" xfId="0" applyFont="1"/>
    <xf numFmtId="0" fontId="6" fillId="0" borderId="0" xfId="0" applyFont="1" applyFill="1" applyAlignment="1">
      <alignment vertical="center"/>
    </xf>
    <xf numFmtId="14" fontId="6" fillId="0" borderId="0" xfId="0" applyNumberFormat="1" applyFont="1" applyFill="1" applyAlignment="1">
      <alignment horizontal="center" vertical="center"/>
    </xf>
    <xf numFmtId="0" fontId="5" fillId="0" borderId="0" xfId="0" applyFont="1" applyFill="1" applyAlignment="1">
      <alignment vertical="center"/>
    </xf>
    <xf numFmtId="14" fontId="5" fillId="0" borderId="0" xfId="0" applyNumberFormat="1" applyFont="1" applyFill="1" applyAlignment="1">
      <alignment horizontal="center" vertical="center"/>
    </xf>
    <xf numFmtId="9" fontId="2" fillId="0" borderId="2" xfId="0" applyNumberFormat="1" applyFont="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xf numFmtId="0" fontId="10" fillId="2" borderId="2" xfId="0" applyNumberFormat="1" applyFont="1" applyFill="1" applyBorder="1" applyAlignment="1">
      <alignment horizontal="center" vertical="center" wrapText="1"/>
    </xf>
    <xf numFmtId="0" fontId="2" fillId="0" borderId="2" xfId="0" applyFont="1" applyBorder="1" applyAlignment="1">
      <alignment horizontal="center" vertical="center"/>
    </xf>
    <xf numFmtId="0" fontId="2" fillId="0" borderId="0" xfId="0" applyFont="1" applyAlignment="1">
      <alignment horizontal="center"/>
    </xf>
    <xf numFmtId="0" fontId="2" fillId="3" borderId="0" xfId="0" applyFont="1" applyFill="1"/>
    <xf numFmtId="14" fontId="7" fillId="0" borderId="2" xfId="0" applyNumberFormat="1"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14" fontId="2" fillId="0" borderId="2" xfId="0" applyNumberFormat="1" applyFont="1" applyBorder="1" applyAlignment="1">
      <alignment horizontal="center" vertical="center"/>
    </xf>
    <xf numFmtId="9" fontId="2" fillId="0" borderId="0" xfId="0" applyNumberFormat="1" applyFont="1" applyAlignment="1">
      <alignment horizontal="right" vertical="center"/>
    </xf>
    <xf numFmtId="43" fontId="2" fillId="0" borderId="2" xfId="0" applyNumberFormat="1" applyFont="1" applyBorder="1" applyAlignment="1">
      <alignment horizontal="center" vertical="center" wrapText="1"/>
    </xf>
    <xf numFmtId="0" fontId="3"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2" xfId="0" applyFont="1" applyFill="1" applyBorder="1" applyAlignment="1">
      <alignment horizontal="justify" vertical="center" wrapText="1"/>
    </xf>
    <xf numFmtId="0" fontId="12" fillId="4" borderId="4" xfId="0" applyFont="1" applyFill="1" applyBorder="1" applyAlignment="1">
      <alignment horizontal="center" vertical="center" wrapText="1"/>
    </xf>
    <xf numFmtId="0" fontId="12" fillId="5" borderId="2" xfId="0" applyFont="1" applyFill="1" applyBorder="1" applyAlignment="1">
      <alignment horizontal="center" vertical="center" wrapText="1"/>
    </xf>
    <xf numFmtId="0" fontId="2" fillId="5" borderId="2" xfId="0" applyFont="1" applyFill="1" applyBorder="1" applyAlignment="1">
      <alignment horizontal="center" vertical="center"/>
    </xf>
    <xf numFmtId="0" fontId="2" fillId="2" borderId="2" xfId="0" applyFont="1" applyFill="1" applyBorder="1" applyAlignment="1">
      <alignment vertical="center"/>
    </xf>
    <xf numFmtId="0" fontId="7" fillId="5" borderId="0" xfId="0" applyFont="1" applyFill="1" applyBorder="1" applyAlignment="1" applyProtection="1">
      <alignment horizontal="right" vertical="center" indent="1"/>
    </xf>
    <xf numFmtId="0" fontId="2" fillId="3" borderId="0" xfId="0" applyFont="1" applyFill="1" applyProtection="1"/>
    <xf numFmtId="0" fontId="1" fillId="5" borderId="12" xfId="0" applyFont="1" applyFill="1" applyBorder="1" applyAlignment="1" applyProtection="1">
      <alignment horizontal="center" vertical="center"/>
    </xf>
    <xf numFmtId="0" fontId="2" fillId="5" borderId="13" xfId="0" applyFont="1" applyFill="1" applyBorder="1" applyProtection="1"/>
    <xf numFmtId="0" fontId="2" fillId="5" borderId="10" xfId="0" applyFont="1" applyFill="1" applyBorder="1" applyProtection="1"/>
    <xf numFmtId="0" fontId="7" fillId="5" borderId="0" xfId="0" applyFont="1" applyFill="1" applyBorder="1" applyAlignment="1" applyProtection="1">
      <alignment vertical="center"/>
    </xf>
    <xf numFmtId="0" fontId="7" fillId="5" borderId="16" xfId="0" applyFont="1" applyFill="1" applyBorder="1" applyAlignment="1" applyProtection="1">
      <alignment horizontal="left" vertical="center"/>
    </xf>
    <xf numFmtId="0" fontId="7" fillId="5" borderId="16" xfId="0" applyFont="1" applyFill="1" applyBorder="1" applyAlignment="1" applyProtection="1">
      <alignment vertical="center"/>
    </xf>
    <xf numFmtId="0" fontId="2" fillId="5" borderId="17" xfId="0" applyFont="1" applyFill="1" applyBorder="1" applyProtection="1"/>
    <xf numFmtId="0" fontId="14" fillId="2" borderId="11" xfId="0" applyFont="1" applyFill="1" applyBorder="1" applyAlignment="1" applyProtection="1">
      <alignment vertical="center" wrapText="1"/>
    </xf>
    <xf numFmtId="0" fontId="2" fillId="2" borderId="12" xfId="0" applyFont="1" applyFill="1" applyBorder="1" applyProtection="1"/>
    <xf numFmtId="0" fontId="14" fillId="2" borderId="12" xfId="0" applyFont="1" applyFill="1" applyBorder="1" applyAlignment="1" applyProtection="1">
      <alignment vertical="center"/>
    </xf>
    <xf numFmtId="0" fontId="2" fillId="2" borderId="13" xfId="0" applyFont="1" applyFill="1" applyBorder="1" applyProtection="1"/>
    <xf numFmtId="0" fontId="7" fillId="2" borderId="0" xfId="0" applyFont="1" applyFill="1" applyBorder="1" applyAlignment="1" applyProtection="1">
      <alignment horizontal="right" vertical="center" indent="1"/>
    </xf>
    <xf numFmtId="0" fontId="2" fillId="2" borderId="10" xfId="0" applyFont="1" applyFill="1" applyBorder="1" applyProtection="1"/>
    <xf numFmtId="0" fontId="7" fillId="2" borderId="16" xfId="0" applyFont="1" applyFill="1" applyBorder="1" applyAlignment="1" applyProtection="1">
      <alignment horizontal="right" vertical="center" indent="1"/>
    </xf>
    <xf numFmtId="0" fontId="7" fillId="2" borderId="16" xfId="0" applyFont="1" applyFill="1" applyBorder="1" applyAlignment="1" applyProtection="1">
      <alignment vertical="center"/>
    </xf>
    <xf numFmtId="0" fontId="2" fillId="2" borderId="17" xfId="0" applyFont="1" applyFill="1" applyBorder="1" applyProtection="1"/>
    <xf numFmtId="0" fontId="2" fillId="4" borderId="12" xfId="0" applyFont="1" applyFill="1" applyBorder="1" applyProtection="1"/>
    <xf numFmtId="0" fontId="13" fillId="4" borderId="12" xfId="0" applyFont="1" applyFill="1" applyBorder="1" applyAlignment="1" applyProtection="1">
      <alignment vertical="center"/>
    </xf>
    <xf numFmtId="0" fontId="2" fillId="4" borderId="13" xfId="0" applyFont="1" applyFill="1" applyBorder="1" applyProtection="1"/>
    <xf numFmtId="0" fontId="7" fillId="4" borderId="0" xfId="0" applyFont="1" applyFill="1" applyBorder="1" applyAlignment="1" applyProtection="1">
      <alignment horizontal="right" vertical="center" indent="1"/>
    </xf>
    <xf numFmtId="0" fontId="2" fillId="4" borderId="10" xfId="0" applyFont="1" applyFill="1" applyBorder="1" applyProtection="1"/>
    <xf numFmtId="0" fontId="2" fillId="4" borderId="16" xfId="0" applyFont="1" applyFill="1" applyBorder="1" applyProtection="1"/>
    <xf numFmtId="0" fontId="2" fillId="4" borderId="17" xfId="0" applyFont="1" applyFill="1" applyBorder="1" applyProtection="1"/>
    <xf numFmtId="0" fontId="2" fillId="0" borderId="4" xfId="0" applyFont="1" applyBorder="1"/>
    <xf numFmtId="0" fontId="2" fillId="0" borderId="9" xfId="0" applyFont="1" applyBorder="1"/>
    <xf numFmtId="0" fontId="2" fillId="0" borderId="5" xfId="0" applyFont="1" applyBorder="1"/>
    <xf numFmtId="0" fontId="2" fillId="5" borderId="0" xfId="0" applyFont="1" applyFill="1" applyAlignment="1" applyProtection="1">
      <alignment horizontal="right" vertical="center" indent="1"/>
    </xf>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7" fillId="0" borderId="0" xfId="0" applyFont="1" applyAlignment="1">
      <alignment vertical="center"/>
    </xf>
    <xf numFmtId="41" fontId="7" fillId="0" borderId="0" xfId="0" applyNumberFormat="1" applyFont="1" applyAlignment="1">
      <alignment vertical="center"/>
    </xf>
    <xf numFmtId="41" fontId="7" fillId="0" borderId="0" xfId="0" applyNumberFormat="1" applyFont="1"/>
    <xf numFmtId="0" fontId="5" fillId="0" borderId="0" xfId="0" applyFont="1" applyFill="1" applyAlignment="1">
      <alignment horizontal="righ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vertical="center"/>
    </xf>
    <xf numFmtId="0" fontId="2" fillId="3" borderId="0" xfId="0" applyFont="1" applyFill="1" applyAlignment="1">
      <alignment vertical="center"/>
    </xf>
    <xf numFmtId="0" fontId="2" fillId="0" borderId="18" xfId="0" applyFont="1" applyBorder="1" applyAlignment="1">
      <alignment vertical="center"/>
    </xf>
    <xf numFmtId="0" fontId="2" fillId="0" borderId="6" xfId="0" applyFont="1" applyBorder="1" applyAlignment="1">
      <alignment vertical="center"/>
    </xf>
    <xf numFmtId="0" fontId="21" fillId="0" borderId="5" xfId="0" applyFont="1" applyBorder="1" applyAlignment="1">
      <alignment horizontal="center" vertical="center"/>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9" fillId="0" borderId="25" xfId="0" applyFont="1" applyBorder="1" applyAlignment="1">
      <alignment horizontal="center" vertical="center"/>
    </xf>
    <xf numFmtId="0" fontId="2" fillId="0" borderId="27" xfId="0" applyFont="1" applyBorder="1" applyAlignment="1">
      <alignment horizontal="center" vertical="center"/>
    </xf>
    <xf numFmtId="14" fontId="2" fillId="0" borderId="15" xfId="0" applyNumberFormat="1" applyFont="1" applyBorder="1" applyAlignment="1">
      <alignment horizontal="center" vertical="center"/>
    </xf>
    <xf numFmtId="14" fontId="2" fillId="0" borderId="29" xfId="0" applyNumberFormat="1" applyFont="1" applyBorder="1" applyAlignment="1">
      <alignment horizontal="center" vertical="center"/>
    </xf>
    <xf numFmtId="0" fontId="2" fillId="0" borderId="28" xfId="0" applyFont="1" applyBorder="1" applyAlignment="1">
      <alignment horizontal="center" vertical="center"/>
    </xf>
    <xf numFmtId="0" fontId="2" fillId="0" borderId="30" xfId="0" applyFont="1" applyBorder="1" applyAlignment="1">
      <alignment horizontal="center" vertical="center"/>
    </xf>
    <xf numFmtId="14" fontId="2" fillId="0" borderId="31" xfId="0" applyNumberFormat="1" applyFont="1" applyBorder="1" applyAlignment="1">
      <alignment horizontal="center" vertical="center"/>
    </xf>
    <xf numFmtId="14" fontId="2" fillId="0" borderId="32" xfId="0" applyNumberFormat="1" applyFont="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applyAlignment="1">
      <alignment horizontal="center" vertical="center"/>
    </xf>
    <xf numFmtId="0" fontId="20" fillId="3" borderId="0" xfId="0" applyFont="1" applyFill="1" applyBorder="1" applyAlignment="1">
      <alignment vertical="center"/>
    </xf>
    <xf numFmtId="0" fontId="7" fillId="5" borderId="0" xfId="0" applyFont="1" applyFill="1" applyBorder="1" applyAlignment="1" applyProtection="1">
      <alignment horizontal="right" vertical="center" indent="1"/>
    </xf>
    <xf numFmtId="0" fontId="7" fillId="5" borderId="0" xfId="0" applyFont="1" applyFill="1" applyBorder="1" applyAlignment="1" applyProtection="1">
      <alignment horizontal="right" vertical="center" indent="1"/>
    </xf>
    <xf numFmtId="0" fontId="7" fillId="5" borderId="0" xfId="0" applyNumberFormat="1" applyFont="1" applyFill="1" applyBorder="1" applyAlignment="1" applyProtection="1">
      <alignment horizontal="center" vertical="center"/>
      <protection locked="0"/>
    </xf>
    <xf numFmtId="0" fontId="3" fillId="0" borderId="2" xfId="0" applyFont="1" applyBorder="1"/>
    <xf numFmtId="0" fontId="2" fillId="9" borderId="2" xfId="0" applyFont="1" applyFill="1" applyBorder="1"/>
    <xf numFmtId="0" fontId="2" fillId="9" borderId="4" xfId="0" applyFont="1" applyFill="1" applyBorder="1"/>
    <xf numFmtId="0" fontId="24" fillId="0" borderId="0" xfId="0" applyFont="1" applyFill="1" applyBorder="1" applyAlignment="1">
      <alignment vertical="center"/>
    </xf>
    <xf numFmtId="0" fontId="2" fillId="0" borderId="0" xfId="0" applyFont="1" applyBorder="1"/>
    <xf numFmtId="0" fontId="3" fillId="0" borderId="4" xfId="0" applyFont="1" applyBorder="1"/>
    <xf numFmtId="0" fontId="3" fillId="0" borderId="4" xfId="0" applyFont="1" applyBorder="1" applyAlignment="1">
      <alignment horizontal="center"/>
    </xf>
    <xf numFmtId="0" fontId="2" fillId="6" borderId="4" xfId="0" applyFont="1" applyFill="1" applyBorder="1"/>
    <xf numFmtId="0" fontId="24" fillId="6" borderId="4" xfId="0" applyFont="1" applyFill="1" applyBorder="1" applyAlignment="1">
      <alignment vertical="center"/>
    </xf>
    <xf numFmtId="0" fontId="24" fillId="6" borderId="9" xfId="0" applyFont="1" applyFill="1" applyBorder="1" applyAlignment="1">
      <alignment vertical="center"/>
    </xf>
    <xf numFmtId="0" fontId="0" fillId="8" borderId="2" xfId="0" applyFill="1" applyBorder="1"/>
    <xf numFmtId="0" fontId="2" fillId="0" borderId="2" xfId="0" applyFont="1" applyBorder="1" applyAlignment="1">
      <alignment horizontal="center" vertical="center"/>
    </xf>
    <xf numFmtId="0" fontId="3" fillId="0" borderId="2" xfId="0" applyFont="1" applyBorder="1" applyAlignment="1">
      <alignment horizontal="center" vertical="center"/>
    </xf>
    <xf numFmtId="0" fontId="3" fillId="0" borderId="4" xfId="0" applyFont="1" applyBorder="1" applyAlignment="1">
      <alignment horizontal="center" vertical="center"/>
    </xf>
    <xf numFmtId="0" fontId="2" fillId="10" borderId="2" xfId="0" applyFont="1" applyFill="1" applyBorder="1" applyAlignment="1">
      <alignment horizontal="center" vertical="center"/>
    </xf>
    <xf numFmtId="0" fontId="16" fillId="10" borderId="2" xfId="0" applyFont="1" applyFill="1" applyBorder="1" applyAlignment="1">
      <alignment horizontal="center" vertical="center"/>
    </xf>
    <xf numFmtId="0" fontId="7" fillId="2" borderId="0" xfId="0" applyFont="1" applyFill="1" applyBorder="1" applyAlignment="1" applyProtection="1">
      <alignment vertical="center"/>
    </xf>
    <xf numFmtId="0" fontId="7" fillId="2" borderId="20" xfId="0" applyFont="1" applyFill="1" applyBorder="1" applyAlignment="1" applyProtection="1">
      <alignment horizontal="right" vertical="center" indent="1"/>
    </xf>
    <xf numFmtId="0" fontId="2" fillId="4" borderId="0" xfId="0" applyFont="1" applyFill="1" applyBorder="1" applyProtection="1"/>
    <xf numFmtId="0" fontId="7" fillId="4" borderId="20" xfId="0" applyFont="1" applyFill="1" applyBorder="1" applyAlignment="1" applyProtection="1">
      <alignment horizontal="right" vertical="center" indent="1"/>
    </xf>
    <xf numFmtId="0" fontId="7" fillId="4" borderId="7" xfId="0" applyFont="1" applyFill="1" applyBorder="1" applyAlignment="1" applyProtection="1">
      <alignment horizontal="right" vertical="center"/>
    </xf>
    <xf numFmtId="0" fontId="3" fillId="0" borderId="2"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2" fillId="12" borderId="0" xfId="0" applyFont="1" applyFill="1"/>
    <xf numFmtId="0" fontId="2" fillId="12" borderId="0" xfId="0" applyFont="1" applyFill="1" applyAlignment="1">
      <alignment horizontal="center"/>
    </xf>
    <xf numFmtId="0" fontId="3" fillId="12" borderId="0" xfId="0" applyFont="1" applyFill="1" applyAlignment="1">
      <alignment horizontal="center"/>
    </xf>
    <xf numFmtId="0" fontId="5" fillId="0" borderId="2" xfId="0" applyFont="1" applyFill="1" applyBorder="1" applyAlignment="1" applyProtection="1">
      <alignment horizontal="center" vertical="center"/>
      <protection locked="0"/>
    </xf>
    <xf numFmtId="0" fontId="0" fillId="3" borderId="0" xfId="0" applyFill="1"/>
    <xf numFmtId="0" fontId="10" fillId="5" borderId="15" xfId="0" applyFont="1" applyFill="1" applyBorder="1" applyAlignment="1" applyProtection="1">
      <alignment horizontal="left" vertical="center" wrapText="1"/>
    </xf>
    <xf numFmtId="0" fontId="10" fillId="5" borderId="16" xfId="0" applyFont="1" applyFill="1" applyBorder="1" applyAlignment="1" applyProtection="1">
      <alignment horizontal="left" vertical="center" wrapText="1"/>
    </xf>
    <xf numFmtId="0" fontId="14" fillId="2" borderId="12" xfId="0" applyFont="1" applyFill="1" applyBorder="1" applyAlignment="1" applyProtection="1">
      <alignment vertical="center" wrapText="1"/>
    </xf>
    <xf numFmtId="0" fontId="14" fillId="2" borderId="16" xfId="0" applyFont="1" applyFill="1" applyBorder="1" applyAlignment="1" applyProtection="1">
      <alignment vertical="center" wrapText="1"/>
    </xf>
    <xf numFmtId="0" fontId="21" fillId="2" borderId="20" xfId="0" applyFont="1" applyFill="1" applyBorder="1" applyAlignment="1" applyProtection="1">
      <alignment vertical="center" wrapText="1"/>
    </xf>
    <xf numFmtId="0" fontId="17" fillId="2" borderId="0" xfId="0" applyFont="1" applyFill="1" applyBorder="1" applyAlignment="1" applyProtection="1">
      <alignment horizontal="right" vertical="center" indent="1"/>
    </xf>
    <xf numFmtId="0" fontId="28" fillId="2" borderId="0" xfId="0" applyFont="1" applyFill="1" applyBorder="1" applyAlignment="1" applyProtection="1">
      <alignment horizontal="right" vertical="center" indent="1"/>
    </xf>
    <xf numFmtId="0" fontId="28" fillId="2" borderId="0" xfId="0" applyFont="1" applyFill="1" applyBorder="1" applyProtection="1"/>
    <xf numFmtId="0" fontId="28" fillId="2" borderId="0" xfId="0" applyFont="1" applyFill="1" applyBorder="1" applyAlignment="1" applyProtection="1">
      <alignment vertical="center"/>
    </xf>
    <xf numFmtId="0" fontId="2" fillId="0" borderId="2" xfId="0" applyNumberFormat="1" applyFont="1" applyBorder="1"/>
    <xf numFmtId="9" fontId="3" fillId="7" borderId="2" xfId="0" applyNumberFormat="1" applyFont="1" applyFill="1" applyBorder="1" applyAlignment="1">
      <alignment horizontal="center" vertical="center" wrapText="1"/>
    </xf>
    <xf numFmtId="43" fontId="3" fillId="7" borderId="2" xfId="0" applyNumberFormat="1" applyFont="1" applyFill="1" applyBorder="1" applyAlignment="1">
      <alignment horizontal="center" vertical="center" wrapText="1"/>
    </xf>
    <xf numFmtId="0" fontId="2" fillId="0" borderId="0" xfId="0" applyFont="1" applyAlignment="1">
      <alignment horizontal="left"/>
    </xf>
    <xf numFmtId="0" fontId="2" fillId="0" borderId="2" xfId="0" applyFont="1" applyBorder="1" applyAlignment="1">
      <alignment horizontal="left" vertical="center"/>
    </xf>
    <xf numFmtId="0" fontId="2" fillId="0" borderId="2" xfId="0" applyFont="1" applyBorder="1" applyAlignment="1">
      <alignment horizontal="left"/>
    </xf>
    <xf numFmtId="0" fontId="6" fillId="0" borderId="0" xfId="0" applyFont="1" applyFill="1" applyAlignment="1">
      <alignment horizontal="right" vertical="center"/>
    </xf>
    <xf numFmtId="14" fontId="5" fillId="0" borderId="0" xfId="0" applyNumberFormat="1" applyFont="1" applyFill="1" applyAlignment="1">
      <alignment horizontal="right" vertical="center"/>
    </xf>
    <xf numFmtId="14" fontId="6" fillId="0" borderId="0" xfId="0" applyNumberFormat="1" applyFont="1" applyFill="1" applyAlignment="1">
      <alignment horizontal="right" vertical="center"/>
    </xf>
    <xf numFmtId="0" fontId="5" fillId="0" borderId="0" xfId="0" quotePrefix="1" applyFont="1" applyFill="1" applyAlignment="1">
      <alignment vertical="center"/>
    </xf>
    <xf numFmtId="0" fontId="5" fillId="0" borderId="0" xfId="0" applyNumberFormat="1" applyFont="1" applyFill="1" applyAlignment="1">
      <alignment horizontal="center" vertical="center"/>
    </xf>
    <xf numFmtId="0" fontId="8" fillId="0" borderId="0" xfId="0" applyFont="1" applyFill="1" applyBorder="1" applyAlignment="1">
      <alignment vertical="center"/>
    </xf>
    <xf numFmtId="0" fontId="4" fillId="0" borderId="0" xfId="0" applyFont="1" applyFill="1" applyBorder="1" applyAlignment="1">
      <alignment vertical="center"/>
    </xf>
    <xf numFmtId="0" fontId="5" fillId="0" borderId="0" xfId="0" applyFont="1" applyFill="1" applyAlignment="1">
      <alignment horizontal="left" vertical="center"/>
    </xf>
    <xf numFmtId="0" fontId="8" fillId="0" borderId="0" xfId="0" applyFont="1" applyFill="1" applyBorder="1" applyAlignment="1">
      <alignment horizontal="left" vertical="center"/>
    </xf>
    <xf numFmtId="14" fontId="5" fillId="0" borderId="0" xfId="0" applyNumberFormat="1" applyFont="1" applyFill="1" applyAlignment="1">
      <alignment vertical="center"/>
    </xf>
    <xf numFmtId="0" fontId="6" fillId="0" borderId="0" xfId="0" applyFont="1" applyFill="1" applyAlignment="1">
      <alignment horizontal="left" vertical="center"/>
    </xf>
    <xf numFmtId="0" fontId="31" fillId="0" borderId="0" xfId="0" applyFont="1" applyFill="1" applyBorder="1" applyAlignment="1">
      <alignment vertical="center"/>
    </xf>
    <xf numFmtId="14" fontId="5" fillId="0" borderId="0" xfId="0" quotePrefix="1" applyNumberFormat="1" applyFont="1" applyFill="1" applyAlignment="1">
      <alignment vertical="center"/>
    </xf>
    <xf numFmtId="0" fontId="28" fillId="3" borderId="0" xfId="0" applyFont="1" applyFill="1"/>
    <xf numFmtId="0" fontId="34" fillId="3" borderId="0" xfId="0" applyFont="1" applyFill="1"/>
    <xf numFmtId="0" fontId="4" fillId="0" borderId="0" xfId="0" applyFont="1" applyFill="1" applyBorder="1" applyAlignment="1">
      <alignment horizontal="left" vertical="center"/>
    </xf>
    <xf numFmtId="0" fontId="5" fillId="0" borderId="0" xfId="0" applyNumberFormat="1" applyFont="1" applyFill="1" applyAlignment="1">
      <alignment horizontal="left" vertical="center"/>
    </xf>
    <xf numFmtId="14" fontId="3" fillId="12" borderId="2" xfId="0" applyNumberFormat="1" applyFont="1" applyFill="1" applyBorder="1"/>
    <xf numFmtId="0" fontId="33" fillId="2" borderId="6" xfId="0" applyFont="1" applyFill="1" applyBorder="1" applyAlignment="1">
      <alignment horizontal="center" vertical="center"/>
    </xf>
    <xf numFmtId="0" fontId="33" fillId="7" borderId="6" xfId="0" applyFont="1" applyFill="1" applyBorder="1" applyAlignment="1">
      <alignment horizontal="center" vertical="center"/>
    </xf>
    <xf numFmtId="0" fontId="1" fillId="12" borderId="0" xfId="0" applyFont="1" applyFill="1" applyBorder="1" applyAlignment="1"/>
    <xf numFmtId="0" fontId="1" fillId="12" borderId="0" xfId="0" applyFont="1" applyFill="1" applyBorder="1" applyAlignment="1">
      <alignment horizontal="center"/>
    </xf>
    <xf numFmtId="164" fontId="2" fillId="12" borderId="0" xfId="0" applyNumberFormat="1" applyFont="1" applyFill="1"/>
    <xf numFmtId="164" fontId="2" fillId="12" borderId="0" xfId="0" applyNumberFormat="1" applyFont="1" applyFill="1" applyAlignment="1">
      <alignment horizontal="center"/>
    </xf>
    <xf numFmtId="14" fontId="2" fillId="12" borderId="0" xfId="0" applyNumberFormat="1" applyFont="1" applyFill="1" applyAlignment="1">
      <alignment horizontal="left" vertical="center"/>
    </xf>
    <xf numFmtId="14" fontId="2" fillId="12" borderId="0" xfId="0" applyNumberFormat="1" applyFont="1" applyFill="1" applyAlignment="1">
      <alignment horizontal="center" vertical="center"/>
    </xf>
    <xf numFmtId="14" fontId="7" fillId="12" borderId="0" xfId="0" applyNumberFormat="1" applyFont="1" applyFill="1" applyBorder="1" applyAlignment="1">
      <alignment horizontal="left" vertical="center"/>
    </xf>
    <xf numFmtId="0" fontId="1" fillId="12" borderId="0" xfId="0" applyFont="1" applyFill="1" applyBorder="1" applyAlignment="1">
      <alignment vertical="center"/>
    </xf>
    <xf numFmtId="0" fontId="2" fillId="12" borderId="2" xfId="0" applyFont="1" applyFill="1" applyBorder="1" applyAlignment="1">
      <alignment horizontal="center" vertical="center" wrapText="1"/>
    </xf>
    <xf numFmtId="0" fontId="10" fillId="12" borderId="2" xfId="0" applyFont="1" applyFill="1" applyBorder="1" applyAlignment="1">
      <alignment horizontal="center" vertical="center"/>
    </xf>
    <xf numFmtId="14" fontId="2" fillId="12" borderId="0" xfId="0" applyNumberFormat="1" applyFont="1" applyFill="1" applyAlignment="1">
      <alignment horizontal="center"/>
    </xf>
    <xf numFmtId="0" fontId="2" fillId="12" borderId="0" xfId="0" applyFont="1" applyFill="1" applyAlignment="1">
      <alignment horizontal="center" vertical="center"/>
    </xf>
    <xf numFmtId="0" fontId="2" fillId="0" borderId="2" xfId="0" applyFont="1" applyBorder="1" applyAlignment="1">
      <alignment horizontal="center" vertical="center"/>
    </xf>
    <xf numFmtId="0" fontId="5" fillId="0" borderId="0" xfId="0" applyFont="1" applyFill="1" applyAlignment="1">
      <alignment horizontal="center" vertical="center"/>
    </xf>
    <xf numFmtId="49" fontId="28" fillId="0" borderId="2" xfId="0" quotePrefix="1" applyNumberFormat="1" applyFont="1" applyFill="1" applyBorder="1" applyAlignment="1" applyProtection="1">
      <alignment horizontal="center" vertical="center"/>
      <protection locked="0"/>
    </xf>
    <xf numFmtId="49" fontId="28" fillId="0" borderId="2" xfId="0" applyNumberFormat="1" applyFont="1" applyFill="1" applyBorder="1" applyAlignment="1" applyProtection="1">
      <alignment horizontal="center" vertical="center"/>
      <protection locked="0"/>
    </xf>
    <xf numFmtId="14" fontId="5" fillId="0" borderId="0" xfId="0" applyNumberFormat="1" applyFont="1" applyFill="1" applyAlignment="1">
      <alignment horizontal="left" vertical="center"/>
    </xf>
    <xf numFmtId="14" fontId="6" fillId="0" borderId="0" xfId="0" applyNumberFormat="1" applyFont="1" applyFill="1" applyAlignment="1">
      <alignment vertical="center"/>
    </xf>
    <xf numFmtId="0" fontId="6" fillId="0" borderId="0" xfId="0" applyFont="1" applyFill="1" applyAlignment="1">
      <alignment horizontal="center" vertical="center"/>
    </xf>
    <xf numFmtId="9" fontId="6" fillId="0" borderId="0" xfId="0" applyNumberFormat="1" applyFont="1" applyFill="1" applyAlignment="1">
      <alignment vertical="center"/>
    </xf>
    <xf numFmtId="43" fontId="6" fillId="0" borderId="0" xfId="0" applyNumberFormat="1" applyFont="1" applyFill="1" applyAlignment="1">
      <alignment vertical="center"/>
    </xf>
    <xf numFmtId="49" fontId="2" fillId="0" borderId="2" xfId="0" applyNumberFormat="1" applyFont="1" applyBorder="1" applyAlignment="1">
      <alignment horizontal="center" vertical="center"/>
    </xf>
    <xf numFmtId="43" fontId="2" fillId="0" borderId="0" xfId="0" applyNumberFormat="1" applyFont="1" applyAlignment="1">
      <alignment horizontal="center" vertical="center"/>
    </xf>
    <xf numFmtId="14" fontId="5" fillId="0" borderId="0" xfId="0" applyNumberFormat="1" applyFont="1" applyFill="1" applyAlignment="1">
      <alignment vertical="center" wrapText="1"/>
    </xf>
    <xf numFmtId="0" fontId="41" fillId="18" borderId="2" xfId="2" applyFont="1" applyFill="1" applyBorder="1" applyAlignment="1">
      <alignment horizontal="center" vertical="center"/>
    </xf>
    <xf numFmtId="0" fontId="41" fillId="18" borderId="2" xfId="2" applyFont="1" applyFill="1" applyBorder="1" applyAlignment="1">
      <alignment horizontal="center" vertical="center" shrinkToFit="1"/>
    </xf>
    <xf numFmtId="0" fontId="41" fillId="0" borderId="2" xfId="0" applyFont="1" applyFill="1" applyBorder="1" applyAlignment="1">
      <alignment vertical="center"/>
    </xf>
    <xf numFmtId="166" fontId="41" fillId="0" borderId="2" xfId="4" applyNumberFormat="1" applyFont="1" applyFill="1" applyBorder="1" applyAlignment="1">
      <alignment horizontal="left" vertical="center" shrinkToFit="1"/>
    </xf>
    <xf numFmtId="0" fontId="17" fillId="0" borderId="2" xfId="0" applyFont="1" applyBorder="1"/>
    <xf numFmtId="0" fontId="41" fillId="0" borderId="2" xfId="3" applyFont="1" applyFill="1" applyBorder="1" applyAlignment="1">
      <alignment horizontal="left" vertical="center" shrinkToFit="1"/>
    </xf>
    <xf numFmtId="0" fontId="42" fillId="0" borderId="2" xfId="0" applyFont="1" applyBorder="1" applyAlignment="1">
      <alignment horizontal="left" vertical="center" wrapText="1"/>
    </xf>
    <xf numFmtId="0" fontId="42" fillId="0" borderId="2" xfId="0" applyFont="1" applyFill="1" applyBorder="1" applyAlignment="1">
      <alignment horizontal="left" vertical="center" wrapText="1"/>
    </xf>
    <xf numFmtId="0" fontId="42" fillId="0" borderId="2" xfId="0" applyFont="1" applyBorder="1" applyAlignment="1">
      <alignment horizontal="left" vertical="center"/>
    </xf>
    <xf numFmtId="0" fontId="7" fillId="0" borderId="4" xfId="0" applyFont="1" applyFill="1" applyBorder="1" applyAlignment="1" applyProtection="1">
      <alignment vertical="center"/>
      <protection locked="0"/>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3" xfId="0" applyNumberFormat="1" applyFont="1" applyFill="1" applyBorder="1" applyAlignment="1">
      <alignment horizontal="center" vertical="center" wrapText="1"/>
    </xf>
    <xf numFmtId="49" fontId="43" fillId="0" borderId="3" xfId="0" applyNumberFormat="1" applyFont="1" applyFill="1" applyBorder="1" applyAlignment="1">
      <alignment horizontal="center" vertical="center" wrapText="1"/>
    </xf>
    <xf numFmtId="0" fontId="2" fillId="0" borderId="2" xfId="0" applyFont="1" applyBorder="1" applyAlignment="1">
      <alignment horizontal="center" vertical="center"/>
    </xf>
    <xf numFmtId="49" fontId="2" fillId="0" borderId="2" xfId="0" applyNumberFormat="1" applyFont="1" applyBorder="1" applyAlignment="1">
      <alignment vertical="center"/>
    </xf>
    <xf numFmtId="0" fontId="2" fillId="0" borderId="2" xfId="0" applyNumberFormat="1" applyFont="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0" fontId="2" fillId="12" borderId="6" xfId="0" applyFont="1" applyFill="1" applyBorder="1" applyAlignment="1">
      <alignment vertical="center"/>
    </xf>
    <xf numFmtId="0" fontId="2" fillId="12" borderId="6" xfId="0" applyNumberFormat="1" applyFont="1" applyFill="1" applyBorder="1" applyAlignment="1">
      <alignment horizontal="center" vertical="center"/>
    </xf>
    <xf numFmtId="14" fontId="2" fillId="12" borderId="6" xfId="0" applyNumberFormat="1" applyFont="1" applyFill="1" applyBorder="1" applyAlignment="1">
      <alignment horizontal="left" vertical="center"/>
    </xf>
    <xf numFmtId="14" fontId="2" fillId="12" borderId="6" xfId="0" applyNumberFormat="1" applyFont="1" applyFill="1" applyBorder="1" applyAlignment="1">
      <alignment vertical="center"/>
    </xf>
    <xf numFmtId="14" fontId="2" fillId="12" borderId="6" xfId="0" applyNumberFormat="1" applyFont="1" applyFill="1" applyBorder="1" applyAlignment="1">
      <alignment horizontal="center" vertical="center"/>
    </xf>
    <xf numFmtId="49" fontId="2" fillId="12" borderId="6" xfId="0" applyNumberFormat="1" applyFont="1" applyFill="1" applyBorder="1" applyAlignment="1">
      <alignment horizontal="center" vertical="center"/>
    </xf>
    <xf numFmtId="0" fontId="2" fillId="12" borderId="37" xfId="0" applyFont="1" applyFill="1" applyBorder="1" applyAlignment="1">
      <alignment vertical="center"/>
    </xf>
    <xf numFmtId="0" fontId="2" fillId="12" borderId="37" xfId="0" applyNumberFormat="1" applyFont="1" applyFill="1" applyBorder="1" applyAlignment="1">
      <alignment horizontal="center" vertical="center"/>
    </xf>
    <xf numFmtId="14" fontId="2" fillId="12" borderId="37" xfId="0" applyNumberFormat="1" applyFont="1" applyFill="1" applyBorder="1" applyAlignment="1">
      <alignment horizontal="left" vertical="center"/>
    </xf>
    <xf numFmtId="14" fontId="2" fillId="12" borderId="37" xfId="0" applyNumberFormat="1" applyFont="1" applyFill="1" applyBorder="1" applyAlignment="1">
      <alignment vertical="center"/>
    </xf>
    <xf numFmtId="14" fontId="2" fillId="12" borderId="37" xfId="0" applyNumberFormat="1" applyFont="1" applyFill="1" applyBorder="1" applyAlignment="1">
      <alignment horizontal="center" vertical="center"/>
    </xf>
    <xf numFmtId="49" fontId="2" fillId="12" borderId="37" xfId="0" applyNumberFormat="1" applyFont="1" applyFill="1" applyBorder="1" applyAlignment="1">
      <alignment horizontal="center" vertical="center"/>
    </xf>
    <xf numFmtId="0" fontId="2" fillId="12" borderId="38" xfId="0" applyFont="1" applyFill="1" applyBorder="1"/>
    <xf numFmtId="0" fontId="2" fillId="12" borderId="37" xfId="0" applyNumberFormat="1" applyFont="1" applyFill="1" applyBorder="1" applyAlignment="1">
      <alignment horizontal="left" vertical="center"/>
    </xf>
    <xf numFmtId="0" fontId="2" fillId="0" borderId="0" xfId="0" applyFont="1" applyBorder="1" applyAlignment="1">
      <alignment horizontal="center"/>
    </xf>
    <xf numFmtId="0" fontId="2" fillId="12" borderId="0" xfId="0" applyFont="1" applyFill="1" applyBorder="1" applyAlignment="1">
      <alignment horizontal="center"/>
    </xf>
    <xf numFmtId="0" fontId="2" fillId="12" borderId="0" xfId="0" applyFont="1" applyFill="1" applyBorder="1"/>
    <xf numFmtId="0" fontId="2" fillId="0" borderId="18" xfId="0" applyFont="1" applyBorder="1" applyAlignment="1">
      <alignment horizontal="center"/>
    </xf>
    <xf numFmtId="0" fontId="2" fillId="12" borderId="39" xfId="0" applyFont="1" applyFill="1" applyBorder="1" applyAlignment="1">
      <alignment vertical="center"/>
    </xf>
    <xf numFmtId="0" fontId="2" fillId="0" borderId="4" xfId="0" applyNumberFormat="1" applyFont="1" applyBorder="1"/>
    <xf numFmtId="0" fontId="2" fillId="0" borderId="0" xfId="0" applyNumberFormat="1" applyFont="1" applyBorder="1"/>
    <xf numFmtId="49" fontId="2" fillId="0" borderId="2" xfId="0" applyNumberFormat="1" applyFont="1" applyBorder="1"/>
    <xf numFmtId="49" fontId="2" fillId="0" borderId="2" xfId="0" applyNumberFormat="1" applyFont="1" applyBorder="1" applyAlignment="1">
      <alignment horizontal="left" vertical="center"/>
    </xf>
    <xf numFmtId="0" fontId="4" fillId="0" borderId="0" xfId="0" applyFont="1" applyFill="1" applyBorder="1" applyAlignment="1">
      <alignment horizontal="left" vertical="center"/>
    </xf>
    <xf numFmtId="0" fontId="6" fillId="0" borderId="2" xfId="0" applyFont="1" applyFill="1" applyBorder="1" applyAlignment="1">
      <alignment horizontal="center" vertical="center"/>
    </xf>
    <xf numFmtId="0" fontId="6" fillId="0" borderId="0" xfId="0" applyFont="1" applyFill="1" applyBorder="1" applyAlignment="1">
      <alignment horizontal="center" vertical="center"/>
    </xf>
    <xf numFmtId="0" fontId="4" fillId="0" borderId="0" xfId="0" applyFont="1" applyFill="1" applyAlignment="1">
      <alignment horizontal="left" vertical="center"/>
    </xf>
    <xf numFmtId="0" fontId="37" fillId="14" borderId="2" xfId="0" applyNumberFormat="1" applyFont="1" applyFill="1" applyBorder="1" applyAlignment="1">
      <alignment horizontal="center" vertical="center" wrapText="1"/>
    </xf>
    <xf numFmtId="0" fontId="2" fillId="12" borderId="2" xfId="0" applyFont="1" applyFill="1" applyBorder="1" applyAlignment="1">
      <alignment horizontal="left" vertical="center" wrapText="1"/>
    </xf>
    <xf numFmtId="49" fontId="2" fillId="12" borderId="37" xfId="0" applyNumberFormat="1" applyFont="1" applyFill="1" applyBorder="1" applyAlignment="1">
      <alignment horizontal="left" vertical="center"/>
    </xf>
    <xf numFmtId="49" fontId="2" fillId="12" borderId="6" xfId="0" applyNumberFormat="1" applyFont="1" applyFill="1" applyBorder="1" applyAlignment="1">
      <alignment horizontal="left" vertical="center"/>
    </xf>
    <xf numFmtId="0" fontId="2" fillId="12" borderId="0" xfId="0" applyFont="1" applyFill="1" applyAlignment="1">
      <alignment horizontal="left"/>
    </xf>
    <xf numFmtId="164" fontId="2" fillId="12" borderId="0" xfId="0" applyNumberFormat="1" applyFont="1" applyFill="1" applyAlignment="1">
      <alignment horizontal="left"/>
    </xf>
    <xf numFmtId="0" fontId="2" fillId="12" borderId="0" xfId="0" applyFont="1" applyFill="1" applyAlignment="1">
      <alignment horizontal="left" vertical="center"/>
    </xf>
    <xf numFmtId="14" fontId="2" fillId="12" borderId="0" xfId="0" applyNumberFormat="1" applyFont="1" applyFill="1" applyAlignment="1">
      <alignment horizontal="left"/>
    </xf>
    <xf numFmtId="0" fontId="2" fillId="12" borderId="0" xfId="0" applyFont="1" applyFill="1" applyBorder="1" applyAlignment="1">
      <alignment horizontal="left" vertical="center"/>
    </xf>
    <xf numFmtId="0" fontId="17" fillId="12" borderId="0" xfId="0" applyFont="1" applyFill="1" applyBorder="1" applyAlignment="1">
      <alignment horizontal="left" vertical="center"/>
    </xf>
    <xf numFmtId="0" fontId="2" fillId="12" borderId="6" xfId="0" applyNumberFormat="1" applyFont="1" applyFill="1" applyBorder="1" applyAlignment="1">
      <alignment horizontal="left" vertical="center"/>
    </xf>
    <xf numFmtId="0" fontId="2" fillId="12" borderId="37" xfId="0" applyFont="1" applyFill="1" applyBorder="1" applyAlignment="1">
      <alignment horizontal="center" vertical="center"/>
    </xf>
    <xf numFmtId="0" fontId="2" fillId="12" borderId="6" xfId="0" applyFont="1" applyFill="1" applyBorder="1" applyAlignment="1">
      <alignment horizontal="center" vertical="center"/>
    </xf>
    <xf numFmtId="14" fontId="0" fillId="0" borderId="0" xfId="0" applyNumberFormat="1"/>
    <xf numFmtId="49" fontId="0" fillId="0" borderId="0" xfId="0" applyNumberFormat="1"/>
    <xf numFmtId="0" fontId="43" fillId="0" borderId="0" xfId="0" applyFont="1" applyFill="1" applyBorder="1" applyAlignment="1">
      <alignment vertical="center"/>
    </xf>
    <xf numFmtId="0" fontId="37" fillId="14" borderId="3" xfId="0" applyNumberFormat="1" applyFont="1" applyFill="1" applyBorder="1" applyAlignment="1">
      <alignment horizontal="center" vertical="center" wrapText="1"/>
    </xf>
    <xf numFmtId="49" fontId="37" fillId="14" borderId="3" xfId="0" applyNumberFormat="1" applyFont="1" applyFill="1" applyBorder="1" applyAlignment="1">
      <alignment horizontal="center" vertical="center" wrapText="1"/>
    </xf>
    <xf numFmtId="14" fontId="5" fillId="0" borderId="0" xfId="0" applyNumberFormat="1" applyFont="1" applyFill="1" applyAlignment="1">
      <alignment horizontal="left" vertical="center"/>
    </xf>
    <xf numFmtId="0" fontId="2" fillId="12" borderId="38" xfId="0" applyFont="1" applyFill="1" applyBorder="1" applyAlignment="1">
      <alignment horizontal="center"/>
    </xf>
    <xf numFmtId="14" fontId="1" fillId="12" borderId="0" xfId="0" applyNumberFormat="1" applyFont="1" applyFill="1" applyBorder="1" applyAlignment="1">
      <alignment horizontal="center" vertical="center"/>
    </xf>
    <xf numFmtId="0" fontId="26" fillId="0" borderId="0" xfId="0" applyFont="1" applyAlignment="1">
      <alignment vertical="center"/>
    </xf>
    <xf numFmtId="0" fontId="9" fillId="0" borderId="0" xfId="0" applyFont="1" applyBorder="1" applyAlignment="1">
      <alignment horizontal="center" vertical="center" wrapText="1"/>
    </xf>
    <xf numFmtId="0" fontId="45" fillId="0" borderId="0" xfId="0" applyFont="1" applyBorder="1" applyAlignment="1">
      <alignment horizontal="center" vertical="center" wrapText="1"/>
    </xf>
    <xf numFmtId="0" fontId="45" fillId="0" borderId="0" xfId="0" applyFont="1" applyBorder="1" applyAlignment="1">
      <alignment vertical="center" wrapText="1"/>
    </xf>
    <xf numFmtId="0" fontId="46" fillId="0" borderId="0" xfId="0" applyFont="1" applyAlignment="1">
      <alignment vertical="center"/>
    </xf>
    <xf numFmtId="14" fontId="5" fillId="0" borderId="0" xfId="0" applyNumberFormat="1" applyFont="1" applyFill="1" applyAlignment="1">
      <alignment horizontal="center" vertical="center"/>
    </xf>
    <xf numFmtId="0" fontId="48" fillId="0" borderId="0" xfId="0"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left" vertical="top" wrapText="1"/>
    </xf>
    <xf numFmtId="0" fontId="32" fillId="0" borderId="0" xfId="0" applyFont="1" applyFill="1" applyAlignment="1">
      <alignment horizontal="center" vertical="center" wrapText="1"/>
    </xf>
    <xf numFmtId="14" fontId="5" fillId="0" borderId="0" xfId="0" applyNumberFormat="1" applyFont="1" applyFill="1" applyAlignment="1">
      <alignment horizontal="left" vertical="center"/>
    </xf>
    <xf numFmtId="0" fontId="5" fillId="0" borderId="0" xfId="0" applyFont="1" applyFill="1" applyAlignment="1">
      <alignment horizontal="left" vertical="center"/>
    </xf>
    <xf numFmtId="0" fontId="12" fillId="0"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7" fillId="0" borderId="0" xfId="0" applyFont="1" applyBorder="1" applyAlignment="1">
      <alignment vertical="center" wrapText="1"/>
    </xf>
    <xf numFmtId="0" fontId="47" fillId="0" borderId="0" xfId="0" applyFont="1" applyBorder="1" applyAlignment="1">
      <alignment horizontal="center" vertical="center"/>
    </xf>
    <xf numFmtId="0" fontId="6" fillId="0" borderId="0" xfId="0" applyFont="1" applyFill="1" applyBorder="1" applyAlignment="1">
      <alignment vertical="center"/>
    </xf>
    <xf numFmtId="14" fontId="5" fillId="0" borderId="0" xfId="0" applyNumberFormat="1" applyFont="1" applyFill="1" applyAlignment="1">
      <alignment horizontal="left" vertical="center"/>
    </xf>
    <xf numFmtId="0" fontId="4" fillId="0" borderId="0" xfId="0" applyFont="1" applyFill="1" applyAlignment="1">
      <alignment vertical="center"/>
    </xf>
    <xf numFmtId="0" fontId="0" fillId="0" borderId="2" xfId="0" applyBorder="1"/>
    <xf numFmtId="14" fontId="0" fillId="0" borderId="2" xfId="0" applyNumberFormat="1" applyBorder="1"/>
    <xf numFmtId="0" fontId="6" fillId="0" borderId="0" xfId="0" applyFont="1" applyFill="1" applyAlignment="1">
      <alignment horizontal="right" vertical="center"/>
    </xf>
    <xf numFmtId="0" fontId="54" fillId="21" borderId="0" xfId="0" applyFont="1" applyFill="1" applyBorder="1" applyAlignment="1" applyProtection="1">
      <alignment horizontal="left" vertical="center"/>
    </xf>
    <xf numFmtId="0" fontId="0" fillId="0" borderId="0" xfId="0" applyAlignment="1">
      <alignment wrapText="1"/>
    </xf>
    <xf numFmtId="0" fontId="0" fillId="0" borderId="2" xfId="0" applyBorder="1" applyAlignment="1">
      <alignment horizontal="left" vertical="top" wrapText="1"/>
    </xf>
    <xf numFmtId="0" fontId="55" fillId="21" borderId="2" xfId="0" applyFont="1" applyFill="1" applyBorder="1" applyAlignment="1">
      <alignment horizontal="center" wrapText="1"/>
    </xf>
    <xf numFmtId="0" fontId="0" fillId="0" borderId="2" xfId="0" applyBorder="1" applyAlignment="1">
      <alignment wrapText="1"/>
    </xf>
    <xf numFmtId="0" fontId="9" fillId="15" borderId="2" xfId="0" applyFont="1" applyFill="1" applyBorder="1" applyAlignment="1">
      <alignment horizontal="center" vertical="center" wrapText="1"/>
    </xf>
    <xf numFmtId="0" fontId="3" fillId="0" borderId="2" xfId="0" applyFont="1" applyBorder="1" applyAlignment="1">
      <alignment horizontal="center" vertical="center"/>
    </xf>
    <xf numFmtId="0" fontId="33" fillId="4" borderId="18" xfId="0" applyFont="1" applyFill="1" applyBorder="1" applyAlignment="1">
      <alignment horizontal="center" vertical="center"/>
    </xf>
    <xf numFmtId="14" fontId="53" fillId="0" borderId="2" xfId="0" applyNumberFormat="1" applyFont="1" applyFill="1" applyBorder="1" applyAlignment="1" applyProtection="1">
      <alignment vertical="center"/>
      <protection locked="0"/>
    </xf>
    <xf numFmtId="0" fontId="2" fillId="15" borderId="2" xfId="0" applyFont="1" applyFill="1" applyBorder="1" applyAlignment="1">
      <alignment horizontal="center" vertical="center"/>
    </xf>
    <xf numFmtId="0" fontId="3" fillId="0" borderId="3" xfId="0" applyFont="1" applyBorder="1" applyAlignment="1">
      <alignment horizontal="center" vertical="center"/>
    </xf>
    <xf numFmtId="0" fontId="3" fillId="0" borderId="0" xfId="0" applyFont="1" applyAlignment="1">
      <alignment horizontal="center" vertical="center" shrinkToFit="1"/>
    </xf>
    <xf numFmtId="0" fontId="2" fillId="27" borderId="2" xfId="0" applyFont="1" applyFill="1" applyBorder="1" applyAlignment="1">
      <alignment horizontal="center" vertical="center"/>
    </xf>
    <xf numFmtId="0" fontId="2" fillId="27" borderId="2" xfId="0" applyFont="1" applyFill="1" applyBorder="1" applyAlignment="1">
      <alignment horizontal="center"/>
    </xf>
    <xf numFmtId="0" fontId="2" fillId="26" borderId="26" xfId="0" applyFont="1" applyFill="1" applyBorder="1" applyAlignment="1">
      <alignment vertical="top"/>
    </xf>
    <xf numFmtId="0" fontId="2" fillId="26" borderId="22" xfId="0" applyFont="1" applyFill="1" applyBorder="1" applyAlignment="1">
      <alignment vertical="top"/>
    </xf>
    <xf numFmtId="0" fontId="2" fillId="26" borderId="0" xfId="0" applyFont="1" applyFill="1" applyBorder="1" applyAlignment="1">
      <alignment horizontal="right" vertical="top"/>
    </xf>
    <xf numFmtId="0" fontId="2" fillId="0" borderId="2" xfId="0" applyFont="1" applyFill="1" applyBorder="1" applyAlignment="1" applyProtection="1">
      <alignment vertical="top"/>
      <protection locked="0"/>
    </xf>
    <xf numFmtId="0" fontId="2" fillId="26" borderId="0" xfId="0" applyFont="1" applyFill="1" applyBorder="1" applyAlignment="1">
      <alignment vertical="top"/>
    </xf>
    <xf numFmtId="0" fontId="2" fillId="26" borderId="8" xfId="0" applyFont="1" applyFill="1" applyBorder="1" applyAlignment="1">
      <alignment vertical="top"/>
    </xf>
    <xf numFmtId="0" fontId="2" fillId="26" borderId="1" xfId="0" applyFont="1" applyFill="1" applyBorder="1" applyAlignment="1">
      <alignment horizontal="right" vertical="top"/>
    </xf>
    <xf numFmtId="0" fontId="2" fillId="26" borderId="1" xfId="0" applyFont="1" applyFill="1" applyBorder="1" applyAlignment="1">
      <alignment vertical="top"/>
    </xf>
    <xf numFmtId="0" fontId="2" fillId="26" borderId="19" xfId="0" applyFont="1" applyFill="1" applyBorder="1" applyAlignment="1">
      <alignment vertical="top"/>
    </xf>
    <xf numFmtId="0" fontId="2" fillId="26" borderId="26" xfId="0" applyFont="1" applyFill="1" applyBorder="1" applyAlignment="1">
      <alignment horizontal="right" vertical="top"/>
    </xf>
    <xf numFmtId="0" fontId="2" fillId="0" borderId="2" xfId="0" applyFont="1" applyFill="1" applyBorder="1" applyAlignment="1" applyProtection="1">
      <alignment horizontal="left" vertical="top"/>
      <protection locked="0"/>
    </xf>
    <xf numFmtId="0" fontId="3" fillId="0" borderId="21" xfId="0" applyFont="1" applyBorder="1" applyAlignment="1">
      <alignment horizontal="center" vertical="center"/>
    </xf>
    <xf numFmtId="0" fontId="2" fillId="27" borderId="4" xfId="0" applyFont="1" applyFill="1" applyBorder="1" applyAlignment="1">
      <alignment horizontal="center" vertical="center"/>
    </xf>
    <xf numFmtId="0" fontId="2" fillId="27" borderId="4" xfId="0" applyFont="1" applyFill="1" applyBorder="1" applyAlignment="1">
      <alignment horizontal="center"/>
    </xf>
    <xf numFmtId="0" fontId="2" fillId="17" borderId="2" xfId="0" applyFont="1" applyFill="1" applyBorder="1" applyAlignment="1">
      <alignment horizontal="center" vertical="center"/>
    </xf>
    <xf numFmtId="165" fontId="65" fillId="12" borderId="2" xfId="0" applyNumberFormat="1" applyFont="1" applyFill="1" applyBorder="1" applyAlignment="1" applyProtection="1">
      <alignment vertical="center"/>
      <protection locked="0"/>
    </xf>
    <xf numFmtId="165" fontId="65" fillId="0" borderId="2" xfId="0" applyNumberFormat="1" applyFont="1" applyFill="1" applyBorder="1" applyAlignment="1" applyProtection="1">
      <alignment vertical="center"/>
      <protection locked="0"/>
    </xf>
    <xf numFmtId="0" fontId="3" fillId="0" borderId="2" xfId="0" applyFont="1" applyFill="1" applyBorder="1" applyAlignment="1">
      <alignment horizontal="center" vertical="center"/>
    </xf>
    <xf numFmtId="0" fontId="2" fillId="29" borderId="2" xfId="0" applyFont="1" applyFill="1" applyBorder="1" applyAlignment="1">
      <alignment vertical="center"/>
    </xf>
    <xf numFmtId="165" fontId="66" fillId="29" borderId="2" xfId="0" applyNumberFormat="1" applyFont="1" applyFill="1" applyBorder="1" applyAlignment="1" applyProtection="1">
      <alignment vertical="center"/>
      <protection locked="0"/>
    </xf>
    <xf numFmtId="0" fontId="14" fillId="6" borderId="2" xfId="0" applyFont="1" applyFill="1" applyBorder="1" applyAlignment="1">
      <alignment horizontal="center" vertical="center" wrapText="1"/>
    </xf>
    <xf numFmtId="0" fontId="14" fillId="6" borderId="4" xfId="0" applyFont="1" applyFill="1" applyBorder="1" applyAlignment="1">
      <alignment horizontal="center" vertical="center" wrapText="1"/>
    </xf>
    <xf numFmtId="0" fontId="68" fillId="0" borderId="2" xfId="0" applyFont="1" applyBorder="1" applyAlignment="1">
      <alignment horizontal="center"/>
    </xf>
    <xf numFmtId="14" fontId="68" fillId="0" borderId="2" xfId="0" applyNumberFormat="1" applyFont="1" applyBorder="1" applyAlignment="1">
      <alignment horizontal="center"/>
    </xf>
    <xf numFmtId="0" fontId="9" fillId="8" borderId="2" xfId="0" applyFont="1" applyFill="1" applyBorder="1" applyAlignment="1">
      <alignment vertical="center"/>
    </xf>
    <xf numFmtId="0" fontId="9" fillId="0" borderId="2" xfId="0" applyFont="1" applyFill="1" applyBorder="1" applyAlignment="1">
      <alignment vertical="center"/>
    </xf>
    <xf numFmtId="0" fontId="2" fillId="0" borderId="0" xfId="1" applyFont="1"/>
    <xf numFmtId="0" fontId="6" fillId="0" borderId="0" xfId="1" applyFont="1" applyFill="1" applyAlignment="1">
      <alignment vertical="center"/>
    </xf>
    <xf numFmtId="0" fontId="5" fillId="0" borderId="0" xfId="1" applyFont="1" applyFill="1" applyAlignment="1">
      <alignment vertical="center"/>
    </xf>
    <xf numFmtId="0" fontId="0" fillId="0" borderId="0" xfId="1" applyFont="1"/>
    <xf numFmtId="0" fontId="60" fillId="4" borderId="3" xfId="0" applyFont="1" applyFill="1" applyBorder="1" applyAlignment="1" applyProtection="1">
      <alignment horizontal="left" vertical="center"/>
      <protection locked="0"/>
    </xf>
    <xf numFmtId="0" fontId="60" fillId="4" borderId="18" xfId="1" applyFont="1" applyFill="1" applyBorder="1" applyAlignment="1" applyProtection="1">
      <alignment horizontal="left" vertical="center"/>
      <protection locked="0"/>
    </xf>
    <xf numFmtId="0" fontId="60" fillId="4" borderId="6" xfId="1" applyFont="1" applyFill="1" applyBorder="1" applyAlignment="1" applyProtection="1">
      <alignment horizontal="left" vertical="center"/>
      <protection locked="0"/>
    </xf>
    <xf numFmtId="0" fontId="2" fillId="12" borderId="37" xfId="0" applyFont="1" applyFill="1" applyBorder="1" applyAlignment="1">
      <alignment horizontal="center" vertical="center" wrapText="1"/>
    </xf>
    <xf numFmtId="0" fontId="2" fillId="12" borderId="37" xfId="0" applyFont="1" applyFill="1" applyBorder="1" applyAlignment="1">
      <alignment vertical="center" wrapText="1"/>
    </xf>
    <xf numFmtId="0" fontId="2" fillId="12" borderId="37" xfId="0" applyNumberFormat="1" applyFont="1" applyFill="1" applyBorder="1" applyAlignment="1">
      <alignment horizontal="center" vertical="center" wrapText="1"/>
    </xf>
    <xf numFmtId="14" fontId="2" fillId="12" borderId="37" xfId="0" applyNumberFormat="1" applyFont="1" applyFill="1" applyBorder="1" applyAlignment="1">
      <alignment horizontal="left" vertical="center" wrapText="1"/>
    </xf>
    <xf numFmtId="14" fontId="2" fillId="12" borderId="37" xfId="0" applyNumberFormat="1" applyFont="1" applyFill="1" applyBorder="1" applyAlignment="1">
      <alignment vertical="center" wrapText="1"/>
    </xf>
    <xf numFmtId="14" fontId="2" fillId="12" borderId="37" xfId="0" applyNumberFormat="1" applyFont="1" applyFill="1" applyBorder="1" applyAlignment="1">
      <alignment horizontal="center" vertical="center" wrapText="1"/>
    </xf>
    <xf numFmtId="0" fontId="4" fillId="9" borderId="49" xfId="0" applyFont="1" applyFill="1" applyBorder="1" applyAlignment="1">
      <alignment horizontal="center" vertical="center"/>
    </xf>
    <xf numFmtId="49" fontId="7" fillId="0" borderId="49" xfId="1" quotePrefix="1" applyNumberFormat="1" applyFont="1" applyBorder="1" applyAlignment="1">
      <alignment horizontal="center" vertical="center"/>
    </xf>
    <xf numFmtId="49" fontId="5" fillId="0" borderId="49" xfId="1" quotePrefix="1" applyNumberFormat="1" applyFont="1" applyFill="1" applyBorder="1" applyAlignment="1">
      <alignment horizontal="center" vertical="center"/>
    </xf>
    <xf numFmtId="14" fontId="5" fillId="0" borderId="49" xfId="0" applyNumberFormat="1" applyFont="1" applyFill="1" applyBorder="1" applyAlignment="1">
      <alignment horizontal="center" vertical="center"/>
    </xf>
    <xf numFmtId="0" fontId="9" fillId="0" borderId="49" xfId="0" applyFont="1" applyBorder="1" applyAlignment="1">
      <alignment horizontal="center" vertical="center" wrapText="1"/>
    </xf>
    <xf numFmtId="0" fontId="5" fillId="0" borderId="49" xfId="1" quotePrefix="1" applyFont="1" applyBorder="1" applyAlignment="1">
      <alignment horizontal="center" vertical="center" wrapText="1"/>
    </xf>
    <xf numFmtId="14" fontId="5" fillId="0" borderId="49" xfId="1" quotePrefix="1" applyNumberFormat="1" applyFont="1" applyBorder="1" applyAlignment="1">
      <alignment horizontal="center" vertical="center" wrapText="1"/>
    </xf>
    <xf numFmtId="0" fontId="5" fillId="0" borderId="49" xfId="0" applyFont="1" applyBorder="1" applyAlignment="1">
      <alignment horizontal="center" vertical="center" wrapText="1"/>
    </xf>
    <xf numFmtId="0" fontId="5" fillId="0" borderId="49" xfId="0" applyFont="1" applyBorder="1" applyAlignment="1">
      <alignmen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49" fillId="0" borderId="49" xfId="0" applyFont="1" applyBorder="1" applyAlignment="1">
      <alignment horizontal="center" vertical="center" wrapText="1"/>
    </xf>
    <xf numFmtId="14" fontId="5" fillId="0" borderId="49" xfId="1" quotePrefix="1" applyNumberFormat="1" applyFont="1" applyBorder="1" applyAlignment="1">
      <alignment vertical="center" wrapText="1"/>
    </xf>
    <xf numFmtId="0" fontId="5" fillId="0" borderId="49" xfId="1" quotePrefix="1" applyFont="1" applyBorder="1" applyAlignment="1">
      <alignment vertical="center" wrapText="1"/>
    </xf>
    <xf numFmtId="0" fontId="28" fillId="4" borderId="49" xfId="0" applyFont="1" applyFill="1" applyBorder="1" applyAlignment="1">
      <alignment vertical="center"/>
    </xf>
    <xf numFmtId="41" fontId="33" fillId="4" borderId="49" xfId="0" applyNumberFormat="1" applyFont="1" applyFill="1" applyBorder="1" applyAlignment="1">
      <alignment horizontal="center" vertical="center"/>
    </xf>
    <xf numFmtId="0" fontId="28" fillId="2" borderId="49" xfId="0" applyFont="1" applyFill="1" applyBorder="1" applyAlignment="1">
      <alignment vertical="center"/>
    </xf>
    <xf numFmtId="41" fontId="33" fillId="2" borderId="49" xfId="0" applyNumberFormat="1" applyFont="1" applyFill="1" applyBorder="1" applyAlignment="1">
      <alignment horizontal="center" vertical="center"/>
    </xf>
    <xf numFmtId="0" fontId="28" fillId="8" borderId="49" xfId="0" applyFont="1" applyFill="1" applyBorder="1" applyAlignment="1">
      <alignment vertical="center"/>
    </xf>
    <xf numFmtId="41" fontId="33" fillId="8" borderId="49" xfId="0" applyNumberFormat="1" applyFont="1" applyFill="1" applyBorder="1" applyAlignment="1">
      <alignment vertical="center"/>
    </xf>
    <xf numFmtId="0" fontId="28" fillId="16" borderId="49" xfId="0" applyFont="1" applyFill="1" applyBorder="1" applyAlignment="1">
      <alignment vertical="center"/>
    </xf>
    <xf numFmtId="41" fontId="33" fillId="16" borderId="49" xfId="0" applyNumberFormat="1" applyFont="1" applyFill="1" applyBorder="1" applyAlignment="1">
      <alignment vertical="center"/>
    </xf>
    <xf numFmtId="0" fontId="28" fillId="15" borderId="49" xfId="0" applyFont="1" applyFill="1" applyBorder="1" applyAlignment="1">
      <alignment vertical="center"/>
    </xf>
    <xf numFmtId="41" fontId="33" fillId="15" borderId="49" xfId="0" applyNumberFormat="1" applyFont="1" applyFill="1" applyBorder="1" applyAlignment="1">
      <alignment vertical="center"/>
    </xf>
    <xf numFmtId="0" fontId="28" fillId="17" borderId="49" xfId="0" applyFont="1" applyFill="1" applyBorder="1" applyAlignment="1">
      <alignment vertical="center"/>
    </xf>
    <xf numFmtId="41" fontId="33" fillId="17" borderId="49" xfId="0" applyNumberFormat="1" applyFont="1" applyFill="1" applyBorder="1" applyAlignment="1">
      <alignment vertical="center"/>
    </xf>
    <xf numFmtId="0" fontId="28" fillId="5" borderId="49" xfId="0" applyFont="1" applyFill="1" applyBorder="1" applyAlignment="1">
      <alignment vertical="center"/>
    </xf>
    <xf numFmtId="41" fontId="33" fillId="5" borderId="49" xfId="0" applyNumberFormat="1" applyFont="1" applyFill="1" applyBorder="1" applyAlignment="1">
      <alignment vertical="center"/>
    </xf>
    <xf numFmtId="0" fontId="28" fillId="7" borderId="49" xfId="0" applyFont="1" applyFill="1" applyBorder="1" applyAlignment="1">
      <alignment vertical="center"/>
    </xf>
    <xf numFmtId="41" fontId="33" fillId="7" borderId="49" xfId="0" applyNumberFormat="1" applyFont="1" applyFill="1" applyBorder="1" applyAlignment="1">
      <alignment vertical="center"/>
    </xf>
    <xf numFmtId="41" fontId="12" fillId="5" borderId="49" xfId="0" applyNumberFormat="1" applyFont="1" applyFill="1" applyBorder="1" applyAlignment="1">
      <alignment vertical="center"/>
    </xf>
    <xf numFmtId="14" fontId="53" fillId="0" borderId="2" xfId="0" applyNumberFormat="1" applyFont="1" applyFill="1" applyBorder="1" applyAlignment="1" applyProtection="1">
      <alignment vertical="center" shrinkToFit="1"/>
      <protection locked="0"/>
    </xf>
    <xf numFmtId="0" fontId="0" fillId="0" borderId="0" xfId="0" applyProtection="1"/>
    <xf numFmtId="0" fontId="23" fillId="26" borderId="0" xfId="0" applyFont="1" applyFill="1" applyBorder="1" applyAlignment="1" applyProtection="1">
      <alignment horizontal="center" vertical="center"/>
    </xf>
    <xf numFmtId="0" fontId="53" fillId="26" borderId="0" xfId="0" applyFont="1" applyFill="1" applyBorder="1" applyAlignment="1" applyProtection="1">
      <alignment vertical="center"/>
    </xf>
    <xf numFmtId="0" fontId="53" fillId="26" borderId="8" xfId="0" applyFont="1" applyFill="1" applyBorder="1" applyAlignment="1" applyProtection="1">
      <alignment vertical="center"/>
    </xf>
    <xf numFmtId="0" fontId="21" fillId="26" borderId="0" xfId="0" applyFont="1" applyFill="1" applyBorder="1" applyAlignment="1" applyProtection="1">
      <alignment horizontal="center" vertical="center"/>
    </xf>
    <xf numFmtId="0" fontId="17" fillId="26" borderId="0" xfId="0" applyFont="1" applyFill="1" applyBorder="1" applyAlignment="1" applyProtection="1">
      <alignment vertical="center"/>
    </xf>
    <xf numFmtId="0" fontId="1" fillId="26" borderId="0" xfId="0" applyFont="1" applyFill="1" applyBorder="1" applyAlignment="1" applyProtection="1">
      <alignment horizontal="right" vertical="center"/>
    </xf>
    <xf numFmtId="0" fontId="17" fillId="26" borderId="0" xfId="0" applyFont="1" applyFill="1" applyBorder="1" applyAlignment="1" applyProtection="1">
      <alignment horizontal="right" vertical="center"/>
    </xf>
    <xf numFmtId="0" fontId="23" fillId="26" borderId="43" xfId="0" applyFont="1" applyFill="1" applyBorder="1" applyAlignment="1" applyProtection="1">
      <alignment horizontal="center" vertical="center" shrinkToFit="1"/>
    </xf>
    <xf numFmtId="0" fontId="21" fillId="26" borderId="44" xfId="0" applyFont="1" applyFill="1" applyBorder="1" applyAlignment="1" applyProtection="1">
      <alignment horizontal="center" vertical="center"/>
    </xf>
    <xf numFmtId="0" fontId="17" fillId="26" borderId="44" xfId="0" applyFont="1" applyFill="1" applyBorder="1" applyAlignment="1" applyProtection="1">
      <alignment vertical="center"/>
    </xf>
    <xf numFmtId="0" fontId="1" fillId="26" borderId="44" xfId="0" applyFont="1" applyFill="1" applyBorder="1" applyAlignment="1" applyProtection="1">
      <alignment horizontal="right" vertical="center"/>
    </xf>
    <xf numFmtId="0" fontId="17" fillId="26" borderId="44" xfId="0" applyFont="1" applyFill="1" applyBorder="1" applyAlignment="1" applyProtection="1">
      <alignment horizontal="right" vertical="center"/>
    </xf>
    <xf numFmtId="0" fontId="53" fillId="26" borderId="44" xfId="0" applyFont="1" applyFill="1" applyBorder="1" applyAlignment="1" applyProtection="1">
      <alignment vertical="center"/>
    </xf>
    <xf numFmtId="0" fontId="53" fillId="26" borderId="45" xfId="0" applyFont="1" applyFill="1" applyBorder="1" applyAlignment="1" applyProtection="1">
      <alignment vertical="center"/>
    </xf>
    <xf numFmtId="0" fontId="21" fillId="22" borderId="47" xfId="0" applyFont="1" applyFill="1" applyBorder="1" applyAlignment="1" applyProtection="1">
      <alignment horizontal="center" vertical="center"/>
    </xf>
    <xf numFmtId="0" fontId="17" fillId="22" borderId="47" xfId="0" applyFont="1" applyFill="1" applyBorder="1" applyAlignment="1" applyProtection="1">
      <alignment vertical="center"/>
    </xf>
    <xf numFmtId="0" fontId="1" fillId="22" borderId="47" xfId="0" applyFont="1" applyFill="1" applyBorder="1" applyAlignment="1" applyProtection="1">
      <alignment horizontal="right" vertical="center"/>
    </xf>
    <xf numFmtId="0" fontId="17" fillId="22" borderId="47" xfId="0" applyFont="1" applyFill="1" applyBorder="1" applyAlignment="1" applyProtection="1">
      <alignment horizontal="right" vertical="center"/>
    </xf>
    <xf numFmtId="0" fontId="53" fillId="22" borderId="47" xfId="0" applyFont="1" applyFill="1" applyBorder="1" applyAlignment="1" applyProtection="1">
      <alignment vertical="center"/>
    </xf>
    <xf numFmtId="0" fontId="53" fillId="22" borderId="48" xfId="0" applyFont="1" applyFill="1" applyBorder="1" applyAlignment="1" applyProtection="1">
      <alignment vertical="center"/>
    </xf>
    <xf numFmtId="0" fontId="21" fillId="22" borderId="0" xfId="0" applyFont="1" applyFill="1" applyBorder="1" applyAlignment="1" applyProtection="1">
      <alignment horizontal="center" vertical="center"/>
    </xf>
    <xf numFmtId="0" fontId="17" fillId="22" borderId="0" xfId="0" applyFont="1" applyFill="1" applyBorder="1" applyAlignment="1" applyProtection="1">
      <alignment vertical="center"/>
    </xf>
    <xf numFmtId="0" fontId="1" fillId="22" borderId="0" xfId="0" applyFont="1" applyFill="1" applyBorder="1" applyAlignment="1" applyProtection="1">
      <alignment vertical="center"/>
    </xf>
    <xf numFmtId="0" fontId="53" fillId="22" borderId="0" xfId="0" applyFont="1" applyFill="1" applyBorder="1" applyAlignment="1" applyProtection="1">
      <alignment vertical="center"/>
    </xf>
    <xf numFmtId="0" fontId="1" fillId="22" borderId="0" xfId="0" applyFont="1" applyFill="1" applyBorder="1" applyAlignment="1" applyProtection="1">
      <alignment vertical="center" shrinkToFit="1"/>
    </xf>
    <xf numFmtId="0" fontId="53" fillId="22" borderId="8" xfId="0" applyFont="1" applyFill="1" applyBorder="1" applyAlignment="1" applyProtection="1">
      <alignment vertical="center"/>
    </xf>
    <xf numFmtId="0" fontId="21" fillId="22" borderId="44" xfId="0" applyFont="1" applyFill="1" applyBorder="1" applyAlignment="1" applyProtection="1">
      <alignment horizontal="center" vertical="center"/>
    </xf>
    <xf numFmtId="0" fontId="17" fillId="22" borderId="44" xfId="0" applyFont="1" applyFill="1" applyBorder="1" applyAlignment="1" applyProtection="1">
      <alignment vertical="center"/>
    </xf>
    <xf numFmtId="0" fontId="53" fillId="22" borderId="44" xfId="0" applyFont="1" applyFill="1" applyBorder="1" applyAlignment="1" applyProtection="1">
      <alignment vertical="center"/>
    </xf>
    <xf numFmtId="0" fontId="53" fillId="22" borderId="45" xfId="0" applyFont="1" applyFill="1" applyBorder="1" applyAlignment="1" applyProtection="1">
      <alignment vertical="center"/>
    </xf>
    <xf numFmtId="0" fontId="21" fillId="26" borderId="47" xfId="0" applyFont="1" applyFill="1" applyBorder="1" applyAlignment="1" applyProtection="1">
      <alignment horizontal="center" vertical="center"/>
    </xf>
    <xf numFmtId="0" fontId="17" fillId="26" borderId="47" xfId="0" applyFont="1" applyFill="1" applyBorder="1" applyAlignment="1" applyProtection="1">
      <alignment vertical="center"/>
    </xf>
    <xf numFmtId="0" fontId="1" fillId="26" borderId="47" xfId="0" applyFont="1" applyFill="1" applyBorder="1" applyAlignment="1" applyProtection="1">
      <alignment horizontal="right" vertical="center"/>
    </xf>
    <xf numFmtId="0" fontId="17" fillId="26" borderId="47" xfId="0" applyFont="1" applyFill="1" applyBorder="1" applyAlignment="1" applyProtection="1">
      <alignment horizontal="right" vertical="center"/>
    </xf>
    <xf numFmtId="0" fontId="53" fillId="26" borderId="47" xfId="0" applyFont="1" applyFill="1" applyBorder="1" applyAlignment="1" applyProtection="1">
      <alignment vertical="center"/>
    </xf>
    <xf numFmtId="0" fontId="21" fillId="26" borderId="48" xfId="0" applyFont="1" applyFill="1" applyBorder="1" applyAlignment="1" applyProtection="1">
      <alignment horizontal="center" vertical="center"/>
    </xf>
    <xf numFmtId="0" fontId="1" fillId="26" borderId="0" xfId="0" applyFont="1" applyFill="1" applyBorder="1" applyAlignment="1" applyProtection="1">
      <alignment horizontal="right" vertical="center" shrinkToFit="1"/>
    </xf>
    <xf numFmtId="0" fontId="53" fillId="26" borderId="0" xfId="0" applyFont="1" applyFill="1" applyBorder="1" applyAlignment="1" applyProtection="1">
      <alignment horizontal="left" vertical="center" indent="1"/>
    </xf>
    <xf numFmtId="0" fontId="21" fillId="26" borderId="1" xfId="0" applyFont="1" applyFill="1" applyBorder="1" applyAlignment="1" applyProtection="1">
      <alignment horizontal="center" vertical="center"/>
    </xf>
    <xf numFmtId="0" fontId="17" fillId="26" borderId="1" xfId="0" applyFont="1" applyFill="1" applyBorder="1" applyAlignment="1" applyProtection="1">
      <alignment vertical="center"/>
    </xf>
    <xf numFmtId="0" fontId="1" fillId="26" borderId="1" xfId="0" applyFont="1" applyFill="1" applyBorder="1" applyAlignment="1" applyProtection="1">
      <alignment horizontal="right" vertical="center"/>
    </xf>
    <xf numFmtId="0" fontId="53" fillId="26" borderId="1" xfId="0" applyFont="1" applyFill="1" applyBorder="1" applyAlignment="1" applyProtection="1">
      <alignment horizontal="left" vertical="center" indent="1"/>
    </xf>
    <xf numFmtId="0" fontId="53" fillId="26" borderId="19" xfId="0" applyFont="1" applyFill="1" applyBorder="1" applyAlignment="1" applyProtection="1">
      <alignment vertical="center"/>
    </xf>
    <xf numFmtId="0" fontId="0" fillId="0" borderId="0" xfId="0" applyAlignment="1" applyProtection="1">
      <alignment wrapText="1"/>
    </xf>
    <xf numFmtId="0" fontId="2" fillId="0" borderId="0" xfId="0" applyFont="1" applyAlignment="1" applyProtection="1">
      <alignment vertical="center"/>
    </xf>
    <xf numFmtId="0" fontId="52" fillId="20" borderId="7" xfId="0" applyFont="1" applyFill="1" applyBorder="1" applyAlignment="1" applyProtection="1">
      <alignment horizontal="center" vertical="center"/>
    </xf>
    <xf numFmtId="0" fontId="52" fillId="20" borderId="0" xfId="0" applyFont="1" applyFill="1" applyBorder="1" applyAlignment="1" applyProtection="1">
      <alignment horizontal="center" vertical="center"/>
    </xf>
    <xf numFmtId="0" fontId="52" fillId="20" borderId="8" xfId="0" applyFont="1" applyFill="1" applyBorder="1" applyAlignment="1" applyProtection="1">
      <alignment horizontal="center" vertical="center"/>
    </xf>
    <xf numFmtId="0" fontId="22" fillId="26" borderId="0" xfId="0" applyFont="1" applyFill="1" applyBorder="1" applyAlignment="1" applyProtection="1">
      <alignment horizontal="right" vertical="center"/>
    </xf>
    <xf numFmtId="0" fontId="53" fillId="26" borderId="0" xfId="0" applyFont="1" applyFill="1" applyBorder="1" applyAlignment="1" applyProtection="1">
      <alignment horizontal="right" vertical="center"/>
    </xf>
    <xf numFmtId="0" fontId="53" fillId="26" borderId="1" xfId="0" applyFont="1" applyFill="1" applyBorder="1" applyAlignment="1" applyProtection="1">
      <alignment vertical="center"/>
    </xf>
    <xf numFmtId="0" fontId="23" fillId="21" borderId="0" xfId="0" applyFont="1" applyFill="1" applyBorder="1" applyAlignment="1" applyProtection="1">
      <alignment horizontal="center" vertical="center"/>
    </xf>
    <xf numFmtId="0" fontId="53" fillId="21" borderId="0" xfId="0" applyFont="1" applyFill="1" applyBorder="1" applyAlignment="1" applyProtection="1">
      <alignment vertical="center"/>
    </xf>
    <xf numFmtId="0" fontId="22" fillId="21" borderId="0" xfId="0" applyFont="1" applyFill="1" applyBorder="1" applyAlignment="1" applyProtection="1">
      <alignment horizontal="right" vertical="center"/>
    </xf>
    <xf numFmtId="0" fontId="53" fillId="21" borderId="8" xfId="0" applyFont="1" applyFill="1" applyBorder="1" applyAlignment="1" applyProtection="1">
      <alignment vertical="center"/>
    </xf>
    <xf numFmtId="0" fontId="23" fillId="23" borderId="0" xfId="0" applyFont="1" applyFill="1" applyBorder="1" applyAlignment="1" applyProtection="1">
      <alignment horizontal="center" vertical="center"/>
    </xf>
    <xf numFmtId="0" fontId="22" fillId="23" borderId="0" xfId="0" applyFont="1" applyFill="1" applyBorder="1" applyAlignment="1" applyProtection="1">
      <alignment horizontal="right" vertical="center"/>
    </xf>
    <xf numFmtId="0" fontId="53" fillId="23" borderId="0" xfId="0" applyFont="1" applyFill="1" applyBorder="1" applyAlignment="1" applyProtection="1">
      <alignment horizontal="left" vertical="center" indent="1"/>
    </xf>
    <xf numFmtId="0" fontId="53" fillId="23" borderId="0" xfId="0" applyFont="1" applyFill="1" applyBorder="1" applyAlignment="1" applyProtection="1">
      <alignment vertical="center"/>
    </xf>
    <xf numFmtId="0" fontId="0" fillId="21" borderId="1" xfId="0" applyFill="1" applyBorder="1" applyProtection="1"/>
    <xf numFmtId="0" fontId="53" fillId="21" borderId="19" xfId="0" applyFont="1" applyFill="1" applyBorder="1" applyAlignment="1" applyProtection="1">
      <alignment vertical="center"/>
    </xf>
    <xf numFmtId="14" fontId="5" fillId="0" borderId="49" xfId="0" applyNumberFormat="1" applyFont="1" applyBorder="1" applyAlignment="1">
      <alignment vertical="center" wrapText="1"/>
    </xf>
    <xf numFmtId="0" fontId="2" fillId="12" borderId="37" xfId="0" quotePrefix="1" applyFont="1" applyFill="1" applyBorder="1" applyAlignment="1">
      <alignment horizontal="center" vertical="center"/>
    </xf>
    <xf numFmtId="0" fontId="2" fillId="12" borderId="37" xfId="0" quotePrefix="1" applyNumberFormat="1" applyFont="1" applyFill="1" applyBorder="1" applyAlignment="1">
      <alignment horizontal="center" vertical="center"/>
    </xf>
    <xf numFmtId="0" fontId="0" fillId="0" borderId="0" xfId="0" applyNumberFormat="1"/>
    <xf numFmtId="19" fontId="2" fillId="12" borderId="37" xfId="0" applyNumberFormat="1" applyFont="1" applyFill="1" applyBorder="1" applyAlignment="1">
      <alignment horizontal="center" vertical="center"/>
    </xf>
    <xf numFmtId="0" fontId="36" fillId="13" borderId="34" xfId="0" applyFont="1" applyFill="1" applyBorder="1" applyAlignment="1">
      <alignment horizontal="center" vertical="center"/>
    </xf>
    <xf numFmtId="0" fontId="36" fillId="13" borderId="35" xfId="0" applyFont="1" applyFill="1" applyBorder="1" applyAlignment="1">
      <alignment horizontal="center" vertical="center"/>
    </xf>
    <xf numFmtId="0" fontId="36" fillId="13" borderId="36" xfId="0" applyFont="1" applyFill="1" applyBorder="1" applyAlignment="1">
      <alignment horizontal="center" vertical="center"/>
    </xf>
    <xf numFmtId="0" fontId="61" fillId="2" borderId="3" xfId="1" applyFont="1" applyFill="1" applyBorder="1" applyAlignment="1" applyProtection="1">
      <alignment horizontal="center" vertical="center"/>
      <protection locked="0"/>
    </xf>
    <xf numFmtId="0" fontId="61" fillId="2" borderId="18" xfId="1" applyFont="1" applyFill="1" applyBorder="1" applyAlignment="1" applyProtection="1">
      <alignment horizontal="center" vertical="center"/>
      <protection locked="0"/>
    </xf>
    <xf numFmtId="0" fontId="61" fillId="2" borderId="6" xfId="1" applyFont="1" applyFill="1" applyBorder="1" applyAlignment="1" applyProtection="1">
      <alignment horizontal="center" vertical="center"/>
      <protection locked="0"/>
    </xf>
    <xf numFmtId="0" fontId="62" fillId="7" borderId="3" xfId="1" applyFont="1" applyFill="1" applyBorder="1" applyAlignment="1" applyProtection="1">
      <alignment horizontal="center" vertical="center"/>
      <protection locked="0"/>
    </xf>
    <xf numFmtId="0" fontId="62" fillId="7" borderId="18" xfId="1" applyFont="1" applyFill="1" applyBorder="1" applyAlignment="1" applyProtection="1">
      <alignment horizontal="center" vertical="center"/>
      <protection locked="0"/>
    </xf>
    <xf numFmtId="0" fontId="62" fillId="7" borderId="6" xfId="1" applyFont="1" applyFill="1" applyBorder="1" applyAlignment="1" applyProtection="1">
      <alignment horizontal="center" vertical="center"/>
      <protection locked="0"/>
    </xf>
    <xf numFmtId="0" fontId="19" fillId="0" borderId="3" xfId="0" applyFont="1" applyBorder="1" applyAlignment="1">
      <alignment horizontal="center" vertical="center"/>
    </xf>
    <xf numFmtId="0" fontId="19" fillId="0" borderId="18" xfId="0" applyFont="1" applyBorder="1" applyAlignment="1">
      <alignment horizontal="center" vertical="center"/>
    </xf>
    <xf numFmtId="0" fontId="19" fillId="0" borderId="6" xfId="0" applyFont="1" applyBorder="1" applyAlignment="1">
      <alignment horizontal="center" vertical="center"/>
    </xf>
    <xf numFmtId="0" fontId="21" fillId="0" borderId="7" xfId="0" applyFont="1" applyBorder="1" applyAlignment="1">
      <alignment horizontal="center" vertical="center" wrapText="1"/>
    </xf>
    <xf numFmtId="0" fontId="21" fillId="0" borderId="22" xfId="0" applyFont="1" applyBorder="1" applyAlignment="1">
      <alignment horizontal="center" vertical="center" wrapText="1"/>
    </xf>
    <xf numFmtId="0" fontId="21" fillId="0" borderId="8" xfId="0" applyFont="1" applyBorder="1" applyAlignment="1">
      <alignment horizontal="center" vertical="center" wrapText="1"/>
    </xf>
    <xf numFmtId="0" fontId="21" fillId="0" borderId="33" xfId="0" applyFont="1" applyBorder="1" applyAlignment="1">
      <alignment horizontal="center" vertical="center" wrapText="1"/>
    </xf>
    <xf numFmtId="0" fontId="21" fillId="0" borderId="19" xfId="0" applyFont="1" applyBorder="1" applyAlignment="1">
      <alignment horizontal="center" vertical="center" wrapText="1"/>
    </xf>
    <xf numFmtId="0" fontId="37" fillId="14" borderId="2" xfId="0" applyNumberFormat="1" applyFont="1" applyFill="1" applyBorder="1" applyAlignment="1">
      <alignment horizontal="center" vertical="center" wrapText="1"/>
    </xf>
    <xf numFmtId="0" fontId="37" fillId="14" borderId="2" xfId="0" applyFont="1" applyFill="1" applyBorder="1" applyAlignment="1">
      <alignment horizontal="center" vertical="center" wrapText="1"/>
    </xf>
    <xf numFmtId="0" fontId="37" fillId="14" borderId="4" xfId="0" applyNumberFormat="1" applyFont="1" applyFill="1" applyBorder="1" applyAlignment="1">
      <alignment horizontal="center" vertical="center"/>
    </xf>
    <xf numFmtId="0" fontId="37" fillId="14" borderId="9" xfId="0" applyNumberFormat="1" applyFont="1" applyFill="1" applyBorder="1" applyAlignment="1">
      <alignment horizontal="center" vertical="center"/>
    </xf>
    <xf numFmtId="0" fontId="37" fillId="14" borderId="5" xfId="0" applyNumberFormat="1" applyFont="1" applyFill="1" applyBorder="1" applyAlignment="1">
      <alignment horizontal="center" vertical="center"/>
    </xf>
    <xf numFmtId="0" fontId="37" fillId="14" borderId="4" xfId="0" applyNumberFormat="1" applyFont="1" applyFill="1" applyBorder="1" applyAlignment="1">
      <alignment horizontal="center" vertical="center" wrapText="1"/>
    </xf>
    <xf numFmtId="0" fontId="37" fillId="14" borderId="5" xfId="0" applyNumberFormat="1" applyFont="1" applyFill="1" applyBorder="1" applyAlignment="1">
      <alignment horizontal="center" vertical="center" wrapText="1"/>
    </xf>
    <xf numFmtId="0" fontId="1" fillId="12" borderId="1" xfId="0" applyFont="1" applyFill="1" applyBorder="1" applyAlignment="1">
      <alignment horizontal="center" vertical="center"/>
    </xf>
    <xf numFmtId="0" fontId="37" fillId="14" borderId="3" xfId="0" applyFont="1" applyFill="1" applyBorder="1" applyAlignment="1">
      <alignment horizontal="center" vertical="center" wrapText="1"/>
    </xf>
    <xf numFmtId="0" fontId="37" fillId="14" borderId="6" xfId="0" applyFont="1" applyFill="1" applyBorder="1" applyAlignment="1">
      <alignment horizontal="center" vertical="center" wrapText="1"/>
    </xf>
    <xf numFmtId="0" fontId="37" fillId="14" borderId="3" xfId="0" applyNumberFormat="1" applyFont="1" applyFill="1" applyBorder="1" applyAlignment="1">
      <alignment horizontal="center" vertical="center" wrapText="1"/>
    </xf>
    <xf numFmtId="0" fontId="37" fillId="14" borderId="6" xfId="0" applyNumberFormat="1" applyFont="1" applyFill="1" applyBorder="1" applyAlignment="1">
      <alignment horizontal="center" vertical="center" wrapText="1"/>
    </xf>
    <xf numFmtId="0" fontId="37" fillId="14" borderId="3" xfId="0" applyNumberFormat="1" applyFont="1" applyFill="1" applyBorder="1" applyAlignment="1">
      <alignment horizontal="center" vertical="center"/>
    </xf>
    <xf numFmtId="0" fontId="37" fillId="14" borderId="6" xfId="0" applyNumberFormat="1" applyFont="1" applyFill="1" applyBorder="1" applyAlignment="1">
      <alignment horizontal="center" vertical="center"/>
    </xf>
    <xf numFmtId="49" fontId="37" fillId="14" borderId="3" xfId="0" applyNumberFormat="1" applyFont="1" applyFill="1" applyBorder="1" applyAlignment="1">
      <alignment horizontal="center" vertical="center" wrapText="1"/>
    </xf>
    <xf numFmtId="49" fontId="37" fillId="14" borderId="6" xfId="0" applyNumberFormat="1" applyFont="1" applyFill="1" applyBorder="1" applyAlignment="1">
      <alignment horizontal="center" vertical="center" wrapText="1"/>
    </xf>
    <xf numFmtId="0" fontId="5" fillId="0" borderId="49" xfId="0" applyFont="1" applyBorder="1" applyAlignment="1">
      <alignment horizontal="center" vertical="center" wrapText="1"/>
    </xf>
    <xf numFmtId="0" fontId="5" fillId="0" borderId="49" xfId="0" applyFont="1" applyFill="1" applyBorder="1" applyAlignment="1">
      <alignment horizontal="left" vertical="center" wrapText="1"/>
    </xf>
    <xf numFmtId="0" fontId="7" fillId="0" borderId="49" xfId="1" quotePrefix="1" applyFont="1" applyBorder="1" applyAlignment="1">
      <alignment horizontal="left" vertical="center" wrapText="1"/>
    </xf>
    <xf numFmtId="0" fontId="7" fillId="0" borderId="49" xfId="0" applyFont="1" applyBorder="1" applyAlignment="1">
      <alignment horizontal="left" vertical="center" wrapText="1"/>
    </xf>
    <xf numFmtId="0" fontId="5" fillId="0" borderId="49" xfId="1" quotePrefix="1" applyFont="1" applyFill="1" applyBorder="1" applyAlignment="1">
      <alignment horizontal="left" vertical="center" wrapText="1"/>
    </xf>
    <xf numFmtId="0" fontId="47" fillId="0" borderId="0" xfId="0" applyFont="1" applyAlignment="1">
      <alignment horizontal="left" vertical="top" wrapText="1"/>
    </xf>
    <xf numFmtId="0" fontId="47" fillId="0" borderId="0" xfId="0" applyFont="1" applyBorder="1" applyAlignment="1">
      <alignment horizontal="left" vertical="center"/>
    </xf>
    <xf numFmtId="0" fontId="7" fillId="0" borderId="0" xfId="1" applyFont="1" applyAlignment="1">
      <alignment horizontal="left" vertical="center"/>
    </xf>
    <xf numFmtId="0" fontId="7" fillId="0" borderId="0" xfId="1" applyFont="1" applyAlignment="1">
      <alignment horizontal="left" vertical="top" wrapText="1"/>
    </xf>
    <xf numFmtId="0" fontId="6" fillId="0" borderId="0" xfId="0" applyFont="1" applyFill="1" applyAlignment="1">
      <alignment horizontal="center" vertical="center"/>
    </xf>
    <xf numFmtId="0" fontId="49" fillId="0" borderId="49" xfId="0" applyFont="1" applyBorder="1" applyAlignment="1">
      <alignment horizontal="center" vertical="center" wrapText="1"/>
    </xf>
    <xf numFmtId="0" fontId="5" fillId="0" borderId="49" xfId="1" quotePrefix="1" applyFont="1" applyBorder="1" applyAlignment="1">
      <alignment horizontal="center" vertical="center" wrapText="1"/>
    </xf>
    <xf numFmtId="0" fontId="4" fillId="0" borderId="0" xfId="0" applyFont="1" applyFill="1" applyAlignment="1">
      <alignment horizontal="center" vertical="center"/>
    </xf>
    <xf numFmtId="14" fontId="6" fillId="0" borderId="0" xfId="0" applyNumberFormat="1" applyFont="1" applyFill="1" applyAlignment="1">
      <alignment horizontal="center" vertical="center"/>
    </xf>
    <xf numFmtId="0" fontId="51" fillId="0" borderId="0" xfId="0" applyFont="1" applyFill="1" applyAlignment="1">
      <alignment horizontal="center" vertical="center"/>
    </xf>
    <xf numFmtId="0" fontId="49" fillId="0" borderId="0" xfId="0" applyFont="1" applyBorder="1" applyAlignment="1">
      <alignment horizontal="left" vertical="center" wrapText="1"/>
    </xf>
    <xf numFmtId="0" fontId="51" fillId="0" borderId="0" xfId="0" applyFont="1" applyFill="1" applyAlignment="1">
      <alignment horizontal="left" vertical="center"/>
    </xf>
    <xf numFmtId="14" fontId="4" fillId="0" borderId="0" xfId="0" applyNumberFormat="1" applyFont="1" applyFill="1" applyAlignment="1">
      <alignment horizontal="center" vertical="center"/>
    </xf>
    <xf numFmtId="0" fontId="4" fillId="0" borderId="0" xfId="0" applyFont="1" applyFill="1" applyAlignment="1">
      <alignment horizontal="left" vertical="center"/>
    </xf>
    <xf numFmtId="14" fontId="31" fillId="0" borderId="0" xfId="0" applyNumberFormat="1" applyFont="1" applyFill="1" applyAlignment="1">
      <alignment horizontal="center" vertical="top" wrapText="1"/>
    </xf>
    <xf numFmtId="0" fontId="6" fillId="0" borderId="0" xfId="0" applyFont="1" applyFill="1" applyAlignment="1">
      <alignment horizontal="right" vertical="center"/>
    </xf>
    <xf numFmtId="0" fontId="30" fillId="0" borderId="0" xfId="0" applyFont="1" applyFill="1" applyBorder="1" applyAlignment="1">
      <alignment horizontal="center" vertical="center"/>
    </xf>
    <xf numFmtId="14" fontId="5" fillId="0" borderId="0" xfId="0" applyNumberFormat="1" applyFont="1" applyFill="1" applyAlignment="1">
      <alignment horizontal="left" vertical="center"/>
    </xf>
    <xf numFmtId="14" fontId="5" fillId="0" borderId="0" xfId="0" applyNumberFormat="1" applyFont="1" applyFill="1" applyAlignment="1">
      <alignment horizontal="center" vertical="center"/>
    </xf>
    <xf numFmtId="0" fontId="9" fillId="0" borderId="49" xfId="0" applyFont="1" applyBorder="1" applyAlignment="1">
      <alignment horizontal="center" vertical="center" wrapText="1"/>
    </xf>
    <xf numFmtId="0" fontId="5" fillId="0" borderId="0" xfId="0" applyFont="1" applyFill="1" applyAlignment="1">
      <alignment horizontal="left" vertical="center"/>
    </xf>
    <xf numFmtId="0" fontId="5" fillId="0" borderId="0" xfId="0" applyFont="1" applyFill="1" applyAlignment="1">
      <alignment horizontal="center" vertical="center"/>
    </xf>
    <xf numFmtId="14" fontId="5" fillId="0" borderId="0" xfId="0" quotePrefix="1" applyNumberFormat="1" applyFont="1" applyFill="1" applyAlignment="1">
      <alignment horizontal="left" vertical="center"/>
    </xf>
    <xf numFmtId="0" fontId="7" fillId="0" borderId="49" xfId="1" quotePrefix="1" applyFont="1" applyBorder="1" applyAlignment="1">
      <alignment vertical="center" shrinkToFit="1"/>
    </xf>
    <xf numFmtId="0" fontId="7" fillId="0" borderId="49" xfId="0" applyFont="1" applyBorder="1" applyAlignment="1">
      <alignment vertical="center" shrinkToFit="1"/>
    </xf>
    <xf numFmtId="49" fontId="7" fillId="0" borderId="49" xfId="1" quotePrefix="1" applyNumberFormat="1" applyFont="1" applyBorder="1" applyAlignment="1">
      <alignment horizontal="center" vertical="center"/>
    </xf>
    <xf numFmtId="49" fontId="7" fillId="0" borderId="49" xfId="0" applyNumberFormat="1" applyFont="1" applyBorder="1" applyAlignment="1">
      <alignment horizontal="center" vertical="center"/>
    </xf>
    <xf numFmtId="0" fontId="7" fillId="0" borderId="49" xfId="0" applyFont="1" applyBorder="1" applyAlignment="1">
      <alignment horizontal="center" vertical="center"/>
    </xf>
    <xf numFmtId="0" fontId="48" fillId="0" borderId="0" xfId="1" applyFont="1" applyAlignment="1">
      <alignment horizontal="left" vertical="center"/>
    </xf>
    <xf numFmtId="0" fontId="9" fillId="0" borderId="49" xfId="0" applyFont="1" applyBorder="1" applyAlignment="1">
      <alignment horizontal="center" vertical="top" wrapText="1"/>
    </xf>
    <xf numFmtId="0" fontId="4" fillId="9" borderId="49" xfId="0" applyFont="1" applyFill="1" applyBorder="1" applyAlignment="1">
      <alignment horizontal="center" vertical="center"/>
    </xf>
    <xf numFmtId="0" fontId="32" fillId="0" borderId="0" xfId="0" applyFont="1" applyFill="1" applyAlignment="1">
      <alignment horizontal="center" vertical="center" wrapText="1"/>
    </xf>
    <xf numFmtId="0" fontId="6" fillId="0" borderId="0" xfId="0" applyFont="1" applyFill="1" applyBorder="1" applyAlignment="1">
      <alignment horizontal="center" vertical="center"/>
    </xf>
    <xf numFmtId="0" fontId="6" fillId="0" borderId="0" xfId="0" applyFont="1" applyFill="1" applyBorder="1" applyAlignment="1">
      <alignment horizontal="left" vertical="center"/>
    </xf>
    <xf numFmtId="0" fontId="5" fillId="0" borderId="0" xfId="1" applyFont="1" applyFill="1" applyAlignment="1">
      <alignment horizontal="left" vertical="center"/>
    </xf>
    <xf numFmtId="14" fontId="4" fillId="9" borderId="49" xfId="0" applyNumberFormat="1" applyFont="1" applyFill="1" applyBorder="1" applyAlignment="1">
      <alignment horizontal="center" vertical="center"/>
    </xf>
    <xf numFmtId="14" fontId="5" fillId="0" borderId="0" xfId="0" quotePrefix="1" applyNumberFormat="1" applyFont="1" applyFill="1" applyAlignment="1">
      <alignment horizontal="center" vertical="center"/>
    </xf>
    <xf numFmtId="0" fontId="35" fillId="5" borderId="49" xfId="0" applyFont="1" applyFill="1" applyBorder="1" applyAlignment="1">
      <alignment horizontal="center" vertical="center"/>
    </xf>
    <xf numFmtId="0" fontId="22" fillId="0" borderId="0" xfId="0" applyFont="1" applyBorder="1" applyAlignment="1">
      <alignment horizontal="center" vertical="center"/>
    </xf>
    <xf numFmtId="0" fontId="35" fillId="4" borderId="49" xfId="0" applyFont="1" applyFill="1" applyBorder="1" applyAlignment="1">
      <alignment horizontal="left" vertical="center" indent="1"/>
    </xf>
    <xf numFmtId="0" fontId="35" fillId="16" borderId="49" xfId="0" applyFont="1" applyFill="1" applyBorder="1" applyAlignment="1">
      <alignment horizontal="left" vertical="center" indent="1"/>
    </xf>
    <xf numFmtId="0" fontId="25" fillId="14" borderId="49" xfId="0" applyFont="1" applyFill="1" applyBorder="1" applyAlignment="1">
      <alignment horizontal="center" vertical="center"/>
    </xf>
    <xf numFmtId="0" fontId="35" fillId="2" borderId="49" xfId="0" applyFont="1" applyFill="1" applyBorder="1" applyAlignment="1">
      <alignment horizontal="left" vertical="center" indent="1"/>
    </xf>
    <xf numFmtId="0" fontId="35" fillId="8" borderId="49" xfId="0" applyFont="1" applyFill="1" applyBorder="1" applyAlignment="1">
      <alignment horizontal="left" vertical="center" indent="1"/>
    </xf>
    <xf numFmtId="0" fontId="35" fillId="15" borderId="49" xfId="0" applyFont="1" applyFill="1" applyBorder="1" applyAlignment="1">
      <alignment horizontal="left" vertical="center" indent="1"/>
    </xf>
    <xf numFmtId="0" fontId="35" fillId="17" borderId="49" xfId="0" applyFont="1" applyFill="1" applyBorder="1" applyAlignment="1">
      <alignment horizontal="left" vertical="center" indent="1"/>
    </xf>
    <xf numFmtId="0" fontId="35" fillId="5" borderId="49" xfId="0" applyFont="1" applyFill="1" applyBorder="1" applyAlignment="1">
      <alignment horizontal="left" vertical="center" indent="1"/>
    </xf>
    <xf numFmtId="0" fontId="35" fillId="7" borderId="49" xfId="0" applyFont="1" applyFill="1" applyBorder="1" applyAlignment="1">
      <alignment horizontal="left" vertical="center" indent="1"/>
    </xf>
    <xf numFmtId="14" fontId="27" fillId="0" borderId="4" xfId="0" applyNumberFormat="1" applyFont="1" applyFill="1" applyBorder="1" applyAlignment="1" applyProtection="1">
      <alignment horizontal="center" vertical="center"/>
      <protection locked="0"/>
    </xf>
    <xf numFmtId="14" fontId="27" fillId="0" borderId="5" xfId="0" applyNumberFormat="1" applyFont="1" applyFill="1" applyBorder="1" applyAlignment="1" applyProtection="1">
      <alignment horizontal="center" vertical="center"/>
      <protection locked="0"/>
    </xf>
    <xf numFmtId="0" fontId="14" fillId="2" borderId="14" xfId="0" applyFont="1" applyFill="1" applyBorder="1" applyAlignment="1" applyProtection="1">
      <alignment horizontal="center" vertical="center" wrapText="1"/>
    </xf>
    <xf numFmtId="0" fontId="14" fillId="2" borderId="15" xfId="0" applyFont="1" applyFill="1" applyBorder="1" applyAlignment="1" applyProtection="1">
      <alignment horizontal="center" vertical="center" wrapText="1"/>
    </xf>
    <xf numFmtId="0" fontId="13" fillId="4" borderId="11" xfId="0" applyFont="1" applyFill="1" applyBorder="1" applyAlignment="1" applyProtection="1">
      <alignment horizontal="center" vertical="center" wrapText="1"/>
    </xf>
    <xf numFmtId="0" fontId="13" fillId="4" borderId="14" xfId="0" applyFont="1" applyFill="1" applyBorder="1" applyAlignment="1" applyProtection="1">
      <alignment horizontal="center" vertical="center" wrapText="1"/>
    </xf>
    <xf numFmtId="0" fontId="13" fillId="4" borderId="20" xfId="0" applyFont="1" applyFill="1" applyBorder="1" applyAlignment="1" applyProtection="1">
      <alignment horizontal="center" vertical="center" wrapText="1"/>
    </xf>
    <xf numFmtId="0" fontId="13" fillId="4" borderId="15"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center" vertical="center"/>
      <protection locked="0"/>
    </xf>
    <xf numFmtId="165" fontId="15" fillId="0" borderId="5"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right" vertical="center"/>
    </xf>
    <xf numFmtId="0" fontId="7" fillId="4" borderId="8" xfId="0" applyFont="1" applyFill="1" applyBorder="1" applyAlignment="1" applyProtection="1">
      <alignment horizontal="right" vertical="center"/>
    </xf>
    <xf numFmtId="49" fontId="7" fillId="0" borderId="4" xfId="0" applyNumberFormat="1" applyFont="1" applyFill="1" applyBorder="1" applyAlignment="1" applyProtection="1">
      <alignment horizontal="center" vertical="center"/>
      <protection locked="0"/>
    </xf>
    <xf numFmtId="49" fontId="7" fillId="0" borderId="5" xfId="0" applyNumberFormat="1"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5" xfId="0" applyFont="1" applyFill="1" applyBorder="1" applyAlignment="1" applyProtection="1">
      <alignment horizontal="center" vertical="center"/>
      <protection locked="0"/>
    </xf>
    <xf numFmtId="0" fontId="7" fillId="0" borderId="4" xfId="0" applyFont="1" applyFill="1" applyBorder="1" applyAlignment="1" applyProtection="1">
      <alignment horizontal="left" vertical="center"/>
      <protection locked="0"/>
    </xf>
    <xf numFmtId="0" fontId="7" fillId="0" borderId="9" xfId="0" applyFont="1" applyFill="1" applyBorder="1" applyAlignment="1" applyProtection="1">
      <alignment horizontal="left" vertical="center"/>
      <protection locked="0"/>
    </xf>
    <xf numFmtId="0" fontId="7" fillId="0" borderId="5" xfId="0" applyFont="1" applyFill="1" applyBorder="1" applyAlignment="1" applyProtection="1">
      <alignment horizontal="left" vertical="center"/>
      <protection locked="0"/>
    </xf>
    <xf numFmtId="165" fontId="15" fillId="0" borderId="9" xfId="0" applyNumberFormat="1" applyFont="1" applyFill="1" applyBorder="1" applyAlignment="1" applyProtection="1">
      <alignment horizontal="center" vertical="center"/>
      <protection locked="0"/>
    </xf>
    <xf numFmtId="0" fontId="22" fillId="12" borderId="0" xfId="0" applyFont="1" applyFill="1" applyAlignment="1" applyProtection="1">
      <alignment horizontal="center" vertical="center"/>
    </xf>
    <xf numFmtId="0" fontId="25" fillId="12" borderId="0" xfId="0" applyFont="1" applyFill="1" applyAlignment="1" applyProtection="1">
      <alignment horizontal="center" vertical="center"/>
    </xf>
    <xf numFmtId="0" fontId="10" fillId="5" borderId="11" xfId="0" applyFont="1" applyFill="1" applyBorder="1" applyAlignment="1" applyProtection="1">
      <alignment horizontal="left" vertical="center" wrapText="1"/>
    </xf>
    <xf numFmtId="0" fontId="10" fillId="5" borderId="14" xfId="0" applyFont="1" applyFill="1" applyBorder="1" applyAlignment="1" applyProtection="1">
      <alignment horizontal="left" vertical="center" wrapText="1"/>
    </xf>
    <xf numFmtId="0" fontId="10" fillId="5" borderId="15" xfId="0" applyFont="1" applyFill="1" applyBorder="1" applyAlignment="1" applyProtection="1">
      <alignment horizontal="left" vertical="center" wrapText="1"/>
    </xf>
    <xf numFmtId="0" fontId="7" fillId="0" borderId="2" xfId="0" applyFont="1" applyFill="1" applyBorder="1" applyAlignment="1" applyProtection="1">
      <alignment horizontal="left" vertical="center"/>
      <protection locked="0"/>
    </xf>
    <xf numFmtId="0" fontId="15" fillId="0" borderId="4" xfId="0" applyNumberFormat="1" applyFont="1" applyFill="1" applyBorder="1" applyAlignment="1" applyProtection="1">
      <alignment horizontal="center" vertical="center"/>
      <protection locked="0"/>
    </xf>
    <xf numFmtId="0" fontId="15" fillId="0" borderId="5" xfId="0" applyNumberFormat="1" applyFont="1" applyFill="1" applyBorder="1" applyAlignment="1" applyProtection="1">
      <alignment horizontal="center" vertical="center"/>
      <protection locked="0"/>
    </xf>
    <xf numFmtId="0" fontId="7" fillId="12" borderId="2" xfId="0" applyFont="1" applyFill="1" applyBorder="1" applyAlignment="1" applyProtection="1">
      <alignment horizontal="left" vertical="center"/>
      <protection locked="0"/>
    </xf>
    <xf numFmtId="0" fontId="43" fillId="0" borderId="3" xfId="0" applyNumberFormat="1" applyFont="1" applyFill="1" applyBorder="1" applyAlignment="1">
      <alignment horizontal="center" vertical="center" wrapText="1"/>
    </xf>
    <xf numFmtId="0" fontId="43"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2" xfId="0" applyFont="1" applyBorder="1" applyAlignment="1">
      <alignment horizontal="center" vertical="center"/>
    </xf>
    <xf numFmtId="14" fontId="2" fillId="0" borderId="2"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2" fillId="0" borderId="6"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6" xfId="0" applyFont="1" applyBorder="1" applyAlignment="1">
      <alignment horizontal="center" vertical="center"/>
    </xf>
    <xf numFmtId="0" fontId="43" fillId="0" borderId="6" xfId="0" applyNumberFormat="1" applyFont="1" applyFill="1" applyBorder="1" applyAlignment="1">
      <alignment horizontal="center" vertical="center" wrapText="1"/>
    </xf>
    <xf numFmtId="0" fontId="43" fillId="0" borderId="3" xfId="0" applyFont="1" applyFill="1" applyBorder="1" applyAlignment="1">
      <alignment horizontal="center" vertical="center" wrapText="1"/>
    </xf>
    <xf numFmtId="14" fontId="2" fillId="0" borderId="4" xfId="0" applyNumberFormat="1" applyFont="1" applyBorder="1" applyAlignment="1">
      <alignment horizontal="center" vertical="center" wrapText="1"/>
    </xf>
    <xf numFmtId="14" fontId="2" fillId="0" borderId="0" xfId="0" applyNumberFormat="1" applyFont="1" applyBorder="1" applyAlignment="1">
      <alignment horizontal="center" vertical="center" wrapText="1"/>
    </xf>
    <xf numFmtId="0" fontId="43" fillId="0" borderId="2" xfId="0" applyNumberFormat="1" applyFont="1" applyFill="1" applyBorder="1" applyAlignment="1">
      <alignment horizontal="center" vertical="center" wrapText="1"/>
    </xf>
    <xf numFmtId="0" fontId="43" fillId="0" borderId="2" xfId="0" applyFont="1" applyFill="1" applyBorder="1" applyAlignment="1">
      <alignment horizontal="center" vertical="center" wrapText="1"/>
    </xf>
    <xf numFmtId="0" fontId="43" fillId="0" borderId="4" xfId="0" applyNumberFormat="1" applyFont="1" applyBorder="1" applyAlignment="1">
      <alignment horizontal="center" vertical="center"/>
    </xf>
    <xf numFmtId="0" fontId="43" fillId="0" borderId="9" xfId="0" applyNumberFormat="1" applyFont="1" applyBorder="1" applyAlignment="1">
      <alignment horizontal="center" vertical="center"/>
    </xf>
    <xf numFmtId="0" fontId="43" fillId="0" borderId="5" xfId="0" applyNumberFormat="1" applyFont="1" applyBorder="1" applyAlignment="1">
      <alignment horizontal="center" vertical="center"/>
    </xf>
    <xf numFmtId="0" fontId="43" fillId="0" borderId="4" xfId="0" applyNumberFormat="1" applyFont="1" applyFill="1" applyBorder="1" applyAlignment="1">
      <alignment horizontal="center" vertical="center" wrapText="1"/>
    </xf>
    <xf numFmtId="0" fontId="43" fillId="0" borderId="5" xfId="0" applyNumberFormat="1" applyFont="1" applyFill="1" applyBorder="1" applyAlignment="1">
      <alignment horizontal="center" vertical="center" wrapText="1"/>
    </xf>
    <xf numFmtId="164" fontId="2" fillId="0" borderId="0" xfId="0" applyNumberFormat="1" applyFont="1" applyBorder="1" applyAlignment="1">
      <alignment horizontal="center" vertical="center" wrapText="1"/>
    </xf>
    <xf numFmtId="0" fontId="2" fillId="0" borderId="4" xfId="0" applyFont="1" applyBorder="1" applyAlignment="1">
      <alignment horizontal="center" vertical="center"/>
    </xf>
    <xf numFmtId="0" fontId="2" fillId="0" borderId="9" xfId="0" applyFont="1" applyBorder="1" applyAlignment="1">
      <alignment horizontal="center" vertical="center"/>
    </xf>
    <xf numFmtId="164" fontId="2" fillId="0" borderId="2" xfId="0" applyNumberFormat="1" applyFont="1" applyBorder="1" applyAlignment="1">
      <alignment horizontal="center" vertical="center" wrapText="1"/>
    </xf>
    <xf numFmtId="0" fontId="43" fillId="0" borderId="3" xfId="0" applyNumberFormat="1" applyFont="1" applyBorder="1" applyAlignment="1">
      <alignment horizontal="center" vertical="center"/>
    </xf>
    <xf numFmtId="0" fontId="43" fillId="0" borderId="6" xfId="0" applyNumberFormat="1" applyFont="1" applyBorder="1" applyAlignment="1">
      <alignment horizontal="center" vertical="center"/>
    </xf>
    <xf numFmtId="0" fontId="43" fillId="0" borderId="3" xfId="0" applyFont="1" applyBorder="1" applyAlignment="1">
      <alignment horizontal="center" vertical="center" wrapText="1"/>
    </xf>
    <xf numFmtId="0" fontId="43" fillId="0" borderId="6" xfId="0" applyFont="1" applyBorder="1" applyAlignment="1">
      <alignment horizontal="center" vertical="center" wrapText="1"/>
    </xf>
    <xf numFmtId="49" fontId="43" fillId="0" borderId="3" xfId="0" applyNumberFormat="1" applyFont="1" applyFill="1" applyBorder="1" applyAlignment="1">
      <alignment horizontal="center" vertical="center" wrapText="1"/>
    </xf>
    <xf numFmtId="49" fontId="43" fillId="0" borderId="6" xfId="0" applyNumberFormat="1"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7" borderId="4" xfId="0" applyFont="1" applyFill="1" applyBorder="1" applyAlignment="1">
      <alignment horizontal="center" vertical="center"/>
    </xf>
    <xf numFmtId="0" fontId="3" fillId="7" borderId="5" xfId="0" applyFont="1" applyFill="1" applyBorder="1" applyAlignment="1">
      <alignment horizontal="center" vertical="center"/>
    </xf>
    <xf numFmtId="0" fontId="1" fillId="8" borderId="1" xfId="0" applyFont="1" applyFill="1" applyBorder="1" applyAlignment="1">
      <alignment horizontal="center" vertical="center"/>
    </xf>
    <xf numFmtId="0" fontId="23" fillId="2" borderId="14"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wrapText="1"/>
    </xf>
    <xf numFmtId="0" fontId="25" fillId="11" borderId="0" xfId="0" applyFont="1" applyFill="1" applyAlignment="1" applyProtection="1">
      <alignment horizontal="center" vertical="center"/>
    </xf>
    <xf numFmtId="0" fontId="1" fillId="2" borderId="20" xfId="0" applyFont="1" applyFill="1" applyBorder="1" applyAlignment="1" applyProtection="1">
      <alignment horizontal="right" vertical="center"/>
    </xf>
    <xf numFmtId="0" fontId="1" fillId="2" borderId="8" xfId="0" applyFont="1" applyFill="1" applyBorder="1" applyAlignment="1" applyProtection="1">
      <alignment horizontal="right" vertical="center"/>
    </xf>
    <xf numFmtId="0" fontId="17" fillId="2" borderId="20" xfId="0" applyFont="1" applyFill="1" applyBorder="1" applyAlignment="1" applyProtection="1">
      <alignment horizontal="right" vertical="center"/>
    </xf>
    <xf numFmtId="0" fontId="17" fillId="2" borderId="8" xfId="0" applyFont="1" applyFill="1" applyBorder="1" applyAlignment="1" applyProtection="1">
      <alignment horizontal="right" vertical="center"/>
    </xf>
    <xf numFmtId="14" fontId="28" fillId="0" borderId="21" xfId="0" applyNumberFormat="1" applyFont="1" applyFill="1" applyBorder="1" applyAlignment="1" applyProtection="1">
      <alignment horizontal="left" vertical="center" wrapText="1"/>
      <protection locked="0"/>
    </xf>
    <xf numFmtId="14" fontId="28" fillId="0" borderId="26" xfId="0" applyNumberFormat="1" applyFont="1" applyFill="1" applyBorder="1" applyAlignment="1" applyProtection="1">
      <alignment horizontal="left" vertical="center" wrapText="1"/>
      <protection locked="0"/>
    </xf>
    <xf numFmtId="14" fontId="28" fillId="0" borderId="22" xfId="0" applyNumberFormat="1" applyFont="1" applyFill="1" applyBorder="1" applyAlignment="1" applyProtection="1">
      <alignment horizontal="left" vertical="center" wrapText="1"/>
      <protection locked="0"/>
    </xf>
    <xf numFmtId="14" fontId="28" fillId="0" borderId="7" xfId="0" applyNumberFormat="1" applyFont="1" applyFill="1" applyBorder="1" applyAlignment="1" applyProtection="1">
      <alignment horizontal="left" vertical="center" wrapText="1"/>
      <protection locked="0"/>
    </xf>
    <xf numFmtId="14" fontId="28" fillId="0" borderId="0" xfId="0" applyNumberFormat="1" applyFont="1" applyFill="1" applyBorder="1" applyAlignment="1" applyProtection="1">
      <alignment horizontal="left" vertical="center" wrapText="1"/>
      <protection locked="0"/>
    </xf>
    <xf numFmtId="14" fontId="28" fillId="0" borderId="8" xfId="0" applyNumberFormat="1" applyFont="1" applyFill="1" applyBorder="1" applyAlignment="1" applyProtection="1">
      <alignment horizontal="left" vertical="center" wrapText="1"/>
      <protection locked="0"/>
    </xf>
    <xf numFmtId="14" fontId="28" fillId="0" borderId="33" xfId="0" applyNumberFormat="1" applyFont="1" applyFill="1" applyBorder="1" applyAlignment="1" applyProtection="1">
      <alignment horizontal="left" vertical="center" wrapText="1"/>
      <protection locked="0"/>
    </xf>
    <xf numFmtId="14" fontId="28" fillId="0" borderId="1" xfId="0" applyNumberFormat="1" applyFont="1" applyFill="1" applyBorder="1" applyAlignment="1" applyProtection="1">
      <alignment horizontal="left" vertical="center" wrapText="1"/>
      <protection locked="0"/>
    </xf>
    <xf numFmtId="14" fontId="28" fillId="0" borderId="19" xfId="0" applyNumberFormat="1" applyFont="1" applyFill="1" applyBorder="1" applyAlignment="1" applyProtection="1">
      <alignment horizontal="left" vertical="center" wrapText="1"/>
      <protection locked="0"/>
    </xf>
    <xf numFmtId="0" fontId="17" fillId="2" borderId="20" xfId="0" applyFont="1" applyFill="1" applyBorder="1" applyAlignment="1" applyProtection="1">
      <alignment horizontal="center" vertical="center" wrapText="1"/>
    </xf>
    <xf numFmtId="0" fontId="17" fillId="2" borderId="8" xfId="0" applyFont="1" applyFill="1" applyBorder="1" applyAlignment="1" applyProtection="1">
      <alignment horizontal="center" vertical="center" wrapText="1"/>
    </xf>
    <xf numFmtId="0" fontId="28" fillId="0" borderId="4" xfId="0" applyNumberFormat="1" applyFont="1" applyFill="1" applyBorder="1" applyAlignment="1" applyProtection="1">
      <alignment horizontal="left" vertical="center"/>
      <protection locked="0"/>
    </xf>
    <xf numFmtId="0" fontId="28" fillId="0" borderId="5" xfId="0" applyNumberFormat="1" applyFont="1" applyFill="1" applyBorder="1" applyAlignment="1" applyProtection="1">
      <alignment horizontal="left" vertical="center"/>
      <protection locked="0"/>
    </xf>
    <xf numFmtId="0" fontId="28" fillId="2" borderId="0" xfId="0" applyFont="1" applyFill="1" applyBorder="1" applyAlignment="1" applyProtection="1">
      <alignment horizontal="center" vertical="center"/>
      <protection locked="0"/>
    </xf>
    <xf numFmtId="165" fontId="15" fillId="0" borderId="4" xfId="0" applyNumberFormat="1" applyFont="1" applyFill="1" applyBorder="1" applyAlignment="1" applyProtection="1">
      <alignment horizontal="left" vertical="center"/>
      <protection locked="0"/>
    </xf>
    <xf numFmtId="165" fontId="15" fillId="0" borderId="5" xfId="0" applyNumberFormat="1" applyFont="1" applyFill="1" applyBorder="1" applyAlignment="1" applyProtection="1">
      <alignment horizontal="left" vertical="center"/>
      <protection locked="0"/>
    </xf>
    <xf numFmtId="0" fontId="35" fillId="2" borderId="7" xfId="0" applyFont="1" applyFill="1" applyBorder="1" applyAlignment="1" applyProtection="1">
      <alignment horizontal="center" vertical="center"/>
      <protection locked="0"/>
    </xf>
    <xf numFmtId="0" fontId="35" fillId="2" borderId="0" xfId="0" applyFont="1" applyFill="1" applyBorder="1" applyAlignment="1" applyProtection="1">
      <alignment horizontal="center" vertical="center"/>
      <protection locked="0"/>
    </xf>
    <xf numFmtId="0" fontId="22" fillId="26" borderId="0" xfId="0" applyFont="1" applyFill="1" applyBorder="1" applyAlignment="1" applyProtection="1">
      <alignment horizontal="right" vertical="center"/>
    </xf>
    <xf numFmtId="0" fontId="54" fillId="28" borderId="2" xfId="0" applyFont="1" applyFill="1" applyBorder="1" applyAlignment="1" applyProtection="1">
      <alignment horizontal="left" vertical="center"/>
      <protection locked="0"/>
    </xf>
    <xf numFmtId="0" fontId="52" fillId="19" borderId="21" xfId="0" applyFont="1" applyFill="1" applyBorder="1" applyAlignment="1" applyProtection="1">
      <alignment horizontal="center" vertical="center"/>
    </xf>
    <xf numFmtId="0" fontId="52" fillId="19" borderId="26" xfId="0" applyFont="1" applyFill="1" applyBorder="1" applyAlignment="1" applyProtection="1">
      <alignment horizontal="center" vertical="center"/>
    </xf>
    <xf numFmtId="0" fontId="52" fillId="19" borderId="22" xfId="0" applyFont="1" applyFill="1" applyBorder="1" applyAlignment="1" applyProtection="1">
      <alignment horizontal="center" vertical="center"/>
    </xf>
    <xf numFmtId="0" fontId="52" fillId="19" borderId="7" xfId="0" applyFont="1" applyFill="1" applyBorder="1" applyAlignment="1" applyProtection="1">
      <alignment horizontal="center" vertical="center"/>
    </xf>
    <xf numFmtId="0" fontId="52" fillId="19" borderId="0" xfId="0" applyFont="1" applyFill="1" applyBorder="1" applyAlignment="1" applyProtection="1">
      <alignment horizontal="center" vertical="center"/>
    </xf>
    <xf numFmtId="0" fontId="5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xf>
    <xf numFmtId="0" fontId="23" fillId="26" borderId="6" xfId="0" applyFont="1" applyFill="1" applyBorder="1" applyAlignment="1" applyProtection="1">
      <alignment horizontal="center" vertical="center"/>
    </xf>
    <xf numFmtId="0" fontId="53" fillId="0" borderId="4" xfId="0" applyFont="1" applyFill="1" applyBorder="1" applyAlignment="1" applyProtection="1">
      <alignment horizontal="left" vertical="center" indent="1"/>
      <protection locked="0"/>
    </xf>
    <xf numFmtId="0" fontId="53" fillId="0" borderId="9" xfId="0" applyFont="1" applyFill="1" applyBorder="1" applyAlignment="1" applyProtection="1">
      <alignment horizontal="left" vertical="center" indent="1"/>
      <protection locked="0"/>
    </xf>
    <xf numFmtId="0" fontId="53" fillId="0" borderId="5" xfId="0" applyFont="1" applyFill="1" applyBorder="1" applyAlignment="1" applyProtection="1">
      <alignment horizontal="left" vertical="center" indent="1"/>
      <protection locked="0"/>
    </xf>
    <xf numFmtId="0" fontId="53" fillId="0" borderId="2" xfId="0" applyFont="1" applyFill="1" applyBorder="1" applyAlignment="1" applyProtection="1">
      <alignment horizontal="left" vertical="center" indent="1"/>
      <protection locked="0"/>
    </xf>
    <xf numFmtId="0" fontId="3" fillId="7" borderId="2" xfId="0" applyFont="1" applyFill="1" applyBorder="1" applyAlignment="1">
      <alignment horizontal="center" vertical="center" wrapText="1"/>
    </xf>
    <xf numFmtId="0" fontId="1" fillId="8" borderId="4" xfId="0" applyFont="1" applyFill="1" applyBorder="1" applyAlignment="1">
      <alignment horizontal="center" vertical="center"/>
    </xf>
    <xf numFmtId="0" fontId="1" fillId="8" borderId="9" xfId="0" applyFont="1" applyFill="1" applyBorder="1" applyAlignment="1">
      <alignment horizontal="center" vertical="center"/>
    </xf>
    <xf numFmtId="0" fontId="1" fillId="8" borderId="5" xfId="0" applyFont="1" applyFill="1" applyBorder="1" applyAlignment="1">
      <alignment horizontal="center" vertical="center"/>
    </xf>
    <xf numFmtId="0" fontId="3" fillId="7" borderId="2" xfId="0" applyFont="1" applyFill="1" applyBorder="1" applyAlignment="1">
      <alignment horizontal="center" vertical="center"/>
    </xf>
    <xf numFmtId="0" fontId="56" fillId="14" borderId="1" xfId="0" applyFont="1" applyFill="1" applyBorder="1" applyAlignment="1">
      <alignment horizontal="center" wrapText="1"/>
    </xf>
    <xf numFmtId="0" fontId="0" fillId="9" borderId="26" xfId="0" applyFill="1" applyBorder="1" applyAlignment="1">
      <alignment horizontal="center" wrapText="1"/>
    </xf>
    <xf numFmtId="0" fontId="57" fillId="24" borderId="21" xfId="0" applyFont="1" applyFill="1" applyBorder="1" applyAlignment="1" applyProtection="1">
      <alignment horizontal="center" vertical="center"/>
    </xf>
    <xf numFmtId="0" fontId="57" fillId="24" borderId="26" xfId="0" applyFont="1" applyFill="1" applyBorder="1" applyAlignment="1" applyProtection="1">
      <alignment horizontal="center" vertical="center"/>
    </xf>
    <xf numFmtId="0" fontId="57" fillId="24" borderId="22" xfId="0" applyFont="1" applyFill="1" applyBorder="1" applyAlignment="1" applyProtection="1">
      <alignment horizontal="center" vertical="center"/>
    </xf>
    <xf numFmtId="0" fontId="57" fillId="24" borderId="40" xfId="0" applyFont="1" applyFill="1" applyBorder="1" applyAlignment="1" applyProtection="1">
      <alignment horizontal="center" vertical="center"/>
    </xf>
    <xf numFmtId="0" fontId="57" fillId="24" borderId="41" xfId="0" applyFont="1" applyFill="1" applyBorder="1" applyAlignment="1" applyProtection="1">
      <alignment horizontal="center" vertical="center"/>
    </xf>
    <xf numFmtId="0" fontId="57" fillId="24" borderId="42" xfId="0" applyFont="1" applyFill="1" applyBorder="1" applyAlignment="1" applyProtection="1">
      <alignment horizontal="center" vertical="center"/>
    </xf>
    <xf numFmtId="0" fontId="53" fillId="21" borderId="0" xfId="0" applyFont="1" applyFill="1" applyBorder="1" applyAlignment="1" applyProtection="1">
      <alignment horizontal="center" vertical="center"/>
    </xf>
    <xf numFmtId="0" fontId="53" fillId="21" borderId="8" xfId="0" applyFont="1" applyFill="1" applyBorder="1" applyAlignment="1" applyProtection="1">
      <alignment horizontal="center" vertical="center"/>
    </xf>
    <xf numFmtId="0" fontId="58" fillId="21" borderId="18" xfId="0" applyFont="1" applyFill="1" applyBorder="1" applyAlignment="1" applyProtection="1">
      <alignment horizontal="center" vertical="center"/>
    </xf>
    <xf numFmtId="0" fontId="58" fillId="21" borderId="6" xfId="0" applyFont="1" applyFill="1" applyBorder="1" applyAlignment="1" applyProtection="1">
      <alignment horizontal="center" vertical="center"/>
    </xf>
    <xf numFmtId="0" fontId="54" fillId="22" borderId="2" xfId="0" applyFont="1" applyFill="1" applyBorder="1" applyAlignment="1" applyProtection="1">
      <alignment horizontal="left" vertical="center"/>
      <protection locked="0"/>
    </xf>
    <xf numFmtId="0" fontId="22" fillId="21" borderId="0" xfId="0" applyFont="1" applyFill="1" applyBorder="1" applyAlignment="1" applyProtection="1">
      <alignment horizontal="right" vertical="center"/>
    </xf>
    <xf numFmtId="0" fontId="53" fillId="0" borderId="2" xfId="0" applyFont="1" applyFill="1" applyBorder="1" applyAlignment="1" applyProtection="1">
      <alignment horizontal="left" vertical="top" wrapText="1" indent="1"/>
      <protection locked="0"/>
    </xf>
    <xf numFmtId="0" fontId="53" fillId="0" borderId="4" xfId="0" applyFont="1" applyFill="1" applyBorder="1" applyAlignment="1" applyProtection="1">
      <alignment horizontal="left" vertical="top" wrapText="1" indent="1"/>
      <protection locked="0"/>
    </xf>
    <xf numFmtId="0" fontId="0" fillId="9" borderId="26" xfId="0" applyFill="1" applyBorder="1" applyAlignment="1">
      <alignment horizontal="center"/>
    </xf>
    <xf numFmtId="0" fontId="47" fillId="15" borderId="4" xfId="0" applyFont="1" applyFill="1" applyBorder="1" applyAlignment="1">
      <alignment horizontal="left" vertical="center"/>
    </xf>
    <xf numFmtId="0" fontId="47" fillId="15" borderId="9" xfId="0" applyFont="1" applyFill="1" applyBorder="1" applyAlignment="1">
      <alignment horizontal="left" vertical="center"/>
    </xf>
    <xf numFmtId="0" fontId="47" fillId="15" borderId="5" xfId="0" applyFont="1" applyFill="1" applyBorder="1" applyAlignment="1">
      <alignment horizontal="left" vertical="center"/>
    </xf>
    <xf numFmtId="0" fontId="59" fillId="25" borderId="2" xfId="0" applyFont="1" applyFill="1" applyBorder="1" applyAlignment="1">
      <alignment horizontal="center" vertical="center"/>
    </xf>
    <xf numFmtId="0" fontId="59" fillId="19" borderId="4" xfId="0" applyFont="1" applyFill="1" applyBorder="1" applyAlignment="1">
      <alignment horizontal="center" vertical="center"/>
    </xf>
    <xf numFmtId="0" fontId="59" fillId="19" borderId="9" xfId="0" applyFont="1" applyFill="1" applyBorder="1" applyAlignment="1">
      <alignment horizontal="center" vertical="center"/>
    </xf>
    <xf numFmtId="0" fontId="59" fillId="19" borderId="5" xfId="0" applyFont="1" applyFill="1" applyBorder="1" applyAlignment="1">
      <alignment horizontal="center" vertical="center"/>
    </xf>
    <xf numFmtId="0" fontId="2" fillId="0" borderId="4" xfId="0" applyFont="1" applyFill="1" applyBorder="1" applyAlignment="1" applyProtection="1">
      <alignment horizontal="left" vertical="top"/>
      <protection locked="0"/>
    </xf>
    <xf numFmtId="0" fontId="2" fillId="0" borderId="9" xfId="0" applyFont="1" applyFill="1" applyBorder="1" applyAlignment="1" applyProtection="1">
      <alignment horizontal="left" vertical="top"/>
      <protection locked="0"/>
    </xf>
    <xf numFmtId="0" fontId="2" fillId="0" borderId="5" xfId="0" applyFont="1" applyFill="1" applyBorder="1" applyAlignment="1" applyProtection="1">
      <alignment horizontal="left" vertical="top"/>
      <protection locked="0"/>
    </xf>
    <xf numFmtId="0" fontId="63" fillId="11" borderId="3" xfId="0" applyFont="1" applyFill="1" applyBorder="1" applyAlignment="1">
      <alignment horizontal="left" vertical="top"/>
    </xf>
    <xf numFmtId="0" fontId="63" fillId="11" borderId="18" xfId="0" applyFont="1" applyFill="1" applyBorder="1" applyAlignment="1">
      <alignment horizontal="left" vertical="top"/>
    </xf>
    <xf numFmtId="0" fontId="63" fillId="11" borderId="7" xfId="0" applyFont="1" applyFill="1" applyBorder="1" applyAlignment="1">
      <alignment horizontal="left" vertical="top"/>
    </xf>
    <xf numFmtId="0" fontId="63" fillId="11" borderId="6" xfId="0" applyFont="1" applyFill="1" applyBorder="1" applyAlignment="1">
      <alignment horizontal="left" vertical="top"/>
    </xf>
    <xf numFmtId="0" fontId="14" fillId="6" borderId="3" xfId="0" applyFont="1" applyFill="1" applyBorder="1" applyAlignment="1">
      <alignment horizontal="center" vertical="center" wrapText="1"/>
    </xf>
    <xf numFmtId="0" fontId="14" fillId="6" borderId="6" xfId="0" applyFont="1" applyFill="1" applyBorder="1" applyAlignment="1">
      <alignment horizontal="center" vertical="center" wrapText="1"/>
    </xf>
    <xf numFmtId="0" fontId="14" fillId="6" borderId="2" xfId="0" applyFont="1" applyFill="1" applyBorder="1" applyAlignment="1">
      <alignment horizontal="center" vertical="center" wrapText="1"/>
    </xf>
    <xf numFmtId="0" fontId="21" fillId="26" borderId="46" xfId="0" applyFont="1" applyFill="1" applyBorder="1" applyAlignment="1" applyProtection="1">
      <alignment horizontal="center" vertical="center" wrapText="1" shrinkToFit="1"/>
    </xf>
    <xf numFmtId="0" fontId="21" fillId="26" borderId="18" xfId="0" applyFont="1" applyFill="1" applyBorder="1" applyAlignment="1" applyProtection="1">
      <alignment horizontal="center" vertical="center" wrapText="1" shrinkToFit="1"/>
    </xf>
    <xf numFmtId="0" fontId="21" fillId="26" borderId="6" xfId="0" applyFont="1" applyFill="1" applyBorder="1" applyAlignment="1" applyProtection="1">
      <alignment horizontal="center" vertical="center" wrapText="1" shrinkToFit="1"/>
    </xf>
    <xf numFmtId="0" fontId="54" fillId="0" borderId="2" xfId="0" applyFont="1" applyFill="1" applyBorder="1" applyAlignment="1" applyProtection="1">
      <alignment horizontal="left" vertical="center"/>
      <protection locked="0"/>
    </xf>
    <xf numFmtId="0" fontId="22" fillId="19" borderId="21" xfId="0" applyFont="1" applyFill="1" applyBorder="1" applyAlignment="1" applyProtection="1">
      <alignment horizontal="center" vertical="center"/>
    </xf>
    <xf numFmtId="0" fontId="22" fillId="19" borderId="26" xfId="0" applyFont="1" applyFill="1" applyBorder="1" applyAlignment="1" applyProtection="1">
      <alignment horizontal="center" vertical="center"/>
    </xf>
    <xf numFmtId="0" fontId="22" fillId="19" borderId="22" xfId="0" applyFont="1" applyFill="1" applyBorder="1" applyAlignment="1" applyProtection="1">
      <alignment horizontal="center" vertical="center"/>
    </xf>
    <xf numFmtId="0" fontId="22" fillId="19" borderId="7" xfId="0" applyFont="1" applyFill="1" applyBorder="1" applyAlignment="1" applyProtection="1">
      <alignment horizontal="center" vertical="center"/>
    </xf>
    <xf numFmtId="0" fontId="22" fillId="19" borderId="0" xfId="0" applyFont="1" applyFill="1" applyBorder="1" applyAlignment="1" applyProtection="1">
      <alignment horizontal="center" vertical="center"/>
    </xf>
    <xf numFmtId="0" fontId="22" fillId="19" borderId="8" xfId="0" applyFont="1" applyFill="1" applyBorder="1" applyAlignment="1" applyProtection="1">
      <alignment horizontal="center" vertical="center"/>
    </xf>
    <xf numFmtId="0" fontId="23" fillId="26" borderId="18" xfId="0" applyFont="1" applyFill="1" applyBorder="1" applyAlignment="1" applyProtection="1">
      <alignment horizontal="center" vertical="center" shrinkToFit="1"/>
    </xf>
    <xf numFmtId="0" fontId="1" fillId="26" borderId="0" xfId="0" applyFont="1" applyFill="1" applyBorder="1" applyAlignment="1" applyProtection="1">
      <alignment horizontal="right" vertical="center" shrinkToFit="1"/>
    </xf>
    <xf numFmtId="165" fontId="15" fillId="0" borderId="2" xfId="0" applyNumberFormat="1" applyFont="1" applyFill="1" applyBorder="1" applyAlignment="1" applyProtection="1">
      <alignment horizontal="center" vertical="center"/>
    </xf>
    <xf numFmtId="0" fontId="64" fillId="22" borderId="46" xfId="0" applyFont="1" applyFill="1" applyBorder="1" applyAlignment="1" applyProtection="1">
      <alignment horizontal="center" vertical="center" wrapText="1" shrinkToFit="1"/>
    </xf>
    <xf numFmtId="0" fontId="64" fillId="22" borderId="18" xfId="0" applyFont="1" applyFill="1" applyBorder="1" applyAlignment="1" applyProtection="1">
      <alignment horizontal="center" vertical="center" wrapText="1" shrinkToFit="1"/>
    </xf>
    <xf numFmtId="0" fontId="64" fillId="22" borderId="43" xfId="0" applyFont="1" applyFill="1" applyBorder="1" applyAlignment="1" applyProtection="1">
      <alignment horizontal="center" vertical="center" wrapText="1" shrinkToFit="1"/>
    </xf>
    <xf numFmtId="0" fontId="2" fillId="4" borderId="2" xfId="0" applyFont="1" applyFill="1" applyBorder="1" applyAlignment="1">
      <alignment horizontal="center"/>
    </xf>
    <xf numFmtId="0" fontId="3" fillId="5" borderId="2" xfId="0" applyFont="1" applyFill="1" applyBorder="1" applyAlignment="1">
      <alignment horizontal="center" vertical="center"/>
    </xf>
    <xf numFmtId="0" fontId="3" fillId="4" borderId="2" xfId="0" applyFont="1" applyFill="1" applyBorder="1" applyAlignment="1">
      <alignment horizontal="center" vertical="center"/>
    </xf>
    <xf numFmtId="0" fontId="3" fillId="2" borderId="2" xfId="0" applyFont="1" applyFill="1" applyBorder="1" applyAlignment="1">
      <alignment horizontal="center" vertical="center"/>
    </xf>
    <xf numFmtId="0" fontId="11" fillId="4" borderId="2"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3"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3" fillId="0" borderId="2" xfId="0" applyFont="1" applyBorder="1" applyAlignment="1">
      <alignment horizontal="center" vertical="center"/>
    </xf>
    <xf numFmtId="0" fontId="19" fillId="0" borderId="4" xfId="0" applyFont="1" applyBorder="1" applyAlignment="1">
      <alignment horizontal="left" vertical="center"/>
    </xf>
    <xf numFmtId="0" fontId="19" fillId="0" borderId="9" xfId="0" applyFont="1" applyBorder="1" applyAlignment="1">
      <alignment horizontal="left" vertical="center"/>
    </xf>
    <xf numFmtId="0" fontId="3" fillId="12" borderId="2" xfId="0" applyFont="1" applyFill="1" applyBorder="1" applyAlignment="1">
      <alignment horizontal="left"/>
    </xf>
  </cellXfs>
  <cellStyles count="5">
    <cellStyle name="Hyperlink" xfId="1" builtinId="8" customBuiltin="1"/>
    <cellStyle name="Normal" xfId="0" builtinId="0"/>
    <cellStyle name="Normal_BAO CAO 01-08" xfId="3"/>
    <cellStyle name="Normal_BT 06-03" xfId="2"/>
    <cellStyle name="Normal_GIAY BAO NHAP HANG(thanh)" xfId="4"/>
  </cellStyles>
  <dxfs count="30">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
      <fill>
        <patternFill>
          <bgColor theme="4" tint="0.59996337778862885"/>
        </patternFill>
      </fill>
    </dxf>
    <dxf>
      <fill>
        <patternFill>
          <bgColor theme="7" tint="0.79998168889431442"/>
        </patternFill>
      </fill>
    </dxf>
    <dxf>
      <fill>
        <patternFill>
          <bgColor theme="0" tint="-0.14996795556505021"/>
        </patternFill>
      </fill>
    </dxf>
  </dxfs>
  <tableStyles count="0" defaultTableStyle="TableStyleMedium2" defaultPivotStyle="PivotStyleLight16"/>
  <colors>
    <mruColors>
      <color rgb="FF1B5C7D"/>
      <color rgb="FFFF7C80"/>
      <color rgb="FF0000FF"/>
      <color rgb="FFF0AD92"/>
      <color rgb="FF5F5F5F"/>
      <color rgb="FF996633"/>
      <color rgb="FF006600"/>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10379</xdr:colOff>
      <xdr:row>8</xdr:row>
      <xdr:rowOff>0</xdr:rowOff>
    </xdr:from>
    <xdr:to>
      <xdr:col>3</xdr:col>
      <xdr:colOff>2498480</xdr:colOff>
      <xdr:row>15</xdr:row>
      <xdr:rowOff>7328</xdr:rowOff>
    </xdr:to>
    <xdr:pic>
      <xdr:nvPicPr>
        <xdr:cNvPr id="7" name="Picture 6" descr="Hình ảnh có liên qua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0821" y="2828192"/>
          <a:ext cx="2488101" cy="166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127635</xdr:colOff>
      <xdr:row>0</xdr:row>
      <xdr:rowOff>154305</xdr:rowOff>
    </xdr:from>
    <xdr:to>
      <xdr:col>3</xdr:col>
      <xdr:colOff>365760</xdr:colOff>
      <xdr:row>1</xdr:row>
      <xdr:rowOff>125730</xdr:rowOff>
    </xdr:to>
    <xdr:sp macro="[0]!ThemNV_Select" textlink="">
      <xdr:nvSpPr>
        <xdr:cNvPr id="2" name="Rounded Rectangle 1">
          <a:extLst>
            <a:ext uri="{FF2B5EF4-FFF2-40B4-BE49-F238E27FC236}">
              <a16:creationId xmlns:a16="http://schemas.microsoft.com/office/drawing/2014/main" id="{00000000-0008-0000-0100-000002000000}"/>
            </a:ext>
          </a:extLst>
        </xdr:cNvPr>
        <xdr:cNvSpPr/>
      </xdr:nvSpPr>
      <xdr:spPr>
        <a:xfrm>
          <a:off x="1175385" y="15430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editAs="absolute">
    <xdr:from>
      <xdr:col>4</xdr:col>
      <xdr:colOff>581661</xdr:colOff>
      <xdr:row>0</xdr:row>
      <xdr:rowOff>156210</xdr:rowOff>
    </xdr:from>
    <xdr:to>
      <xdr:col>5</xdr:col>
      <xdr:colOff>734061</xdr:colOff>
      <xdr:row>1</xdr:row>
      <xdr:rowOff>127635</xdr:rowOff>
    </xdr:to>
    <xdr:sp macro="[0]!QLNV_Xoa" textlink="">
      <xdr:nvSpPr>
        <xdr:cNvPr id="3" name="Rounded Rectangle 2">
          <a:extLst>
            <a:ext uri="{FF2B5EF4-FFF2-40B4-BE49-F238E27FC236}">
              <a16:creationId xmlns:a16="http://schemas.microsoft.com/office/drawing/2014/main" id="{00000000-0008-0000-0100-000003000000}"/>
            </a:ext>
          </a:extLst>
        </xdr:cNvPr>
        <xdr:cNvSpPr/>
      </xdr:nvSpPr>
      <xdr:spPr>
        <a:xfrm>
          <a:off x="3201036"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Xóa dòng</a:t>
          </a:r>
        </a:p>
      </xdr:txBody>
    </xdr:sp>
    <xdr:clientData/>
  </xdr:twoCellAnchor>
  <xdr:twoCellAnchor editAs="absolute">
    <xdr:from>
      <xdr:col>3</xdr:col>
      <xdr:colOff>490219</xdr:colOff>
      <xdr:row>0</xdr:row>
      <xdr:rowOff>156210</xdr:rowOff>
    </xdr:from>
    <xdr:to>
      <xdr:col>4</xdr:col>
      <xdr:colOff>509269</xdr:colOff>
      <xdr:row>1</xdr:row>
      <xdr:rowOff>127635</xdr:rowOff>
    </xdr:to>
    <xdr:sp macro="[0]!QLNV_SapXep" textlink="">
      <xdr:nvSpPr>
        <xdr:cNvPr id="4" name="Rounded Rectangle 3">
          <a:extLst>
            <a:ext uri="{FF2B5EF4-FFF2-40B4-BE49-F238E27FC236}">
              <a16:creationId xmlns:a16="http://schemas.microsoft.com/office/drawing/2014/main" id="{00000000-0008-0000-0100-000004000000}"/>
            </a:ext>
          </a:extLst>
        </xdr:cNvPr>
        <xdr:cNvSpPr/>
      </xdr:nvSpPr>
      <xdr:spPr>
        <a:xfrm>
          <a:off x="2214244" y="15621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twoCellAnchor editAs="absolute">
    <xdr:from>
      <xdr:col>0</xdr:col>
      <xdr:colOff>123823</xdr:colOff>
      <xdr:row>0</xdr:row>
      <xdr:rowOff>146685</xdr:rowOff>
    </xdr:from>
    <xdr:to>
      <xdr:col>1</xdr:col>
      <xdr:colOff>695323</xdr:colOff>
      <xdr:row>1</xdr:row>
      <xdr:rowOff>118110</xdr:rowOff>
    </xdr:to>
    <xdr:sp macro="[0]!Menu_Select" textlink="">
      <xdr:nvSpPr>
        <xdr:cNvPr id="5" name="Rounded Rectangle 4">
          <a:extLst>
            <a:ext uri="{FF2B5EF4-FFF2-40B4-BE49-F238E27FC236}">
              <a16:creationId xmlns:a16="http://schemas.microsoft.com/office/drawing/2014/main" id="{00000000-0008-0000-0100-000005000000}"/>
            </a:ext>
          </a:extLst>
        </xdr:cNvPr>
        <xdr:cNvSpPr/>
      </xdr:nvSpPr>
      <xdr:spPr>
        <a:xfrm>
          <a:off x="123823" y="14668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66674</xdr:colOff>
      <xdr:row>0</xdr:row>
      <xdr:rowOff>66675</xdr:rowOff>
    </xdr:from>
    <xdr:to>
      <xdr:col>5</xdr:col>
      <xdr:colOff>830035</xdr:colOff>
      <xdr:row>1</xdr:row>
      <xdr:rowOff>190500</xdr:rowOff>
    </xdr:to>
    <xdr:sp macro="" textlink="">
      <xdr:nvSpPr>
        <xdr:cNvPr id="6" name="Rounded Rectangle 5">
          <a:extLst>
            <a:ext uri="{FF2B5EF4-FFF2-40B4-BE49-F238E27FC236}">
              <a16:creationId xmlns:a16="http://schemas.microsoft.com/office/drawing/2014/main" id="{00000000-0008-0000-0100-000006000000}"/>
            </a:ext>
          </a:extLst>
        </xdr:cNvPr>
        <xdr:cNvSpPr/>
      </xdr:nvSpPr>
      <xdr:spPr>
        <a:xfrm>
          <a:off x="66674" y="66675"/>
          <a:ext cx="4151540" cy="613682"/>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20</xdr:col>
          <xdr:colOff>0</xdr:colOff>
          <xdr:row>7</xdr:row>
          <xdr:rowOff>0</xdr:rowOff>
        </xdr:from>
        <xdr:to>
          <xdr:col>21</xdr:col>
          <xdr:colOff>0</xdr:colOff>
          <xdr:row>8</xdr:row>
          <xdr:rowOff>0</xdr:rowOff>
        </xdr:to>
        <xdr:sp macro="" textlink="">
          <xdr:nvSpPr>
            <xdr:cNvPr id="2050" name="ComboBox1"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18</xdr:col>
      <xdr:colOff>534467</xdr:colOff>
      <xdr:row>0</xdr:row>
      <xdr:rowOff>95854</xdr:rowOff>
    </xdr:from>
    <xdr:to>
      <xdr:col>19</xdr:col>
      <xdr:colOff>675661</xdr:colOff>
      <xdr:row>0</xdr:row>
      <xdr:rowOff>548313</xdr:rowOff>
    </xdr:to>
    <xdr:sp macro="[0]!Menu_Select" textlink="">
      <xdr:nvSpPr>
        <xdr:cNvPr id="3" name="Rounded Rectangle 2">
          <a:extLst>
            <a:ext uri="{FF2B5EF4-FFF2-40B4-BE49-F238E27FC236}">
              <a16:creationId xmlns:a16="http://schemas.microsoft.com/office/drawing/2014/main" id="{00000000-0008-0000-0200-000003000000}"/>
            </a:ext>
          </a:extLst>
        </xdr:cNvPr>
        <xdr:cNvSpPr/>
      </xdr:nvSpPr>
      <xdr:spPr>
        <a:xfrm>
          <a:off x="7403673" y="95854"/>
          <a:ext cx="914400" cy="452459"/>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7</xdr:col>
      <xdr:colOff>177181</xdr:colOff>
      <xdr:row>6</xdr:row>
      <xdr:rowOff>83613</xdr:rowOff>
    </xdr:from>
    <xdr:to>
      <xdr:col>13</xdr:col>
      <xdr:colOff>168088</xdr:colOff>
      <xdr:row>11</xdr:row>
      <xdr:rowOff>318074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704357" y="1495554"/>
          <a:ext cx="1066672" cy="1444696"/>
        </a:xfrm>
        <a:prstGeom prst="rect">
          <a:avLst/>
        </a:prstGeom>
        <a:solidFill>
          <a:sysClr val="window" lastClr="FFFFFF"/>
        </a:solidFill>
        <a:ln w="6350"/>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050">
              <a:solidFill>
                <a:sysClr val="windowText" lastClr="000000"/>
              </a:solidFill>
              <a:latin typeface="Times New Roman" panose="02020603050405020304" pitchFamily="18" charset="0"/>
              <a:cs typeface="Times New Roman" panose="02020603050405020304" pitchFamily="18" charset="0"/>
            </a:rPr>
            <a:t>ảnh</a:t>
          </a:r>
        </a:p>
        <a:p>
          <a:pPr algn="ctr"/>
          <a:r>
            <a:rPr lang="en-US" sz="1050">
              <a:solidFill>
                <a:sysClr val="windowText" lastClr="000000"/>
              </a:solidFill>
              <a:latin typeface="Times New Roman" panose="02020603050405020304" pitchFamily="18" charset="0"/>
              <a:cs typeface="Times New Roman" panose="02020603050405020304" pitchFamily="18" charset="0"/>
            </a:rPr>
            <a:t>(3</a:t>
          </a:r>
          <a:r>
            <a:rPr lang="en-US" sz="500">
              <a:solidFill>
                <a:sysClr val="windowText" lastClr="000000"/>
              </a:solidFill>
              <a:latin typeface="Times New Roman" panose="02020603050405020304" pitchFamily="18" charset="0"/>
              <a:cs typeface="Times New Roman" panose="02020603050405020304" pitchFamily="18" charset="0"/>
            </a:rPr>
            <a:t>X</a:t>
          </a:r>
          <a:r>
            <a:rPr lang="en-US" sz="1050">
              <a:solidFill>
                <a:sysClr val="windowText" lastClr="000000"/>
              </a:solidFill>
              <a:latin typeface="Times New Roman" panose="02020603050405020304" pitchFamily="18" charset="0"/>
              <a:cs typeface="Times New Roman" panose="02020603050405020304" pitchFamily="18" charset="0"/>
            </a:rPr>
            <a:t>4)</a:t>
          </a:r>
        </a:p>
      </xdr:txBody>
    </xdr:sp>
    <xdr:clientData/>
  </xdr:twoCellAnchor>
  <mc:AlternateContent xmlns:mc="http://schemas.openxmlformats.org/markup-compatibility/2006">
    <mc:Choice xmlns:a14="http://schemas.microsoft.com/office/drawing/2010/main" Requires="a14">
      <xdr:twoCellAnchor editAs="oneCell">
        <xdr:from>
          <xdr:col>20</xdr:col>
          <xdr:colOff>847725</xdr:colOff>
          <xdr:row>0</xdr:row>
          <xdr:rowOff>190500</xdr:rowOff>
        </xdr:from>
        <xdr:to>
          <xdr:col>21</xdr:col>
          <xdr:colOff>676275</xdr:colOff>
          <xdr:row>0</xdr:row>
          <xdr:rowOff>447675</xdr:rowOff>
        </xdr:to>
        <xdr:sp macro="" textlink="">
          <xdr:nvSpPr>
            <xdr:cNvPr id="3074" name="ComboBox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895350</xdr:colOff>
          <xdr:row>0</xdr:row>
          <xdr:rowOff>57150</xdr:rowOff>
        </xdr:from>
        <xdr:to>
          <xdr:col>22</xdr:col>
          <xdr:colOff>647700</xdr:colOff>
          <xdr:row>0</xdr:row>
          <xdr:rowOff>552450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Lưu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3</xdr:col>
      <xdr:colOff>91440</xdr:colOff>
      <xdr:row>0</xdr:row>
      <xdr:rowOff>550545</xdr:rowOff>
    </xdr:from>
    <xdr:to>
      <xdr:col>3</xdr:col>
      <xdr:colOff>1005840</xdr:colOff>
      <xdr:row>2</xdr:row>
      <xdr:rowOff>226695</xdr:rowOff>
    </xdr:to>
    <xdr:sp macro="[0]!Menu_Select" textlink="">
      <xdr:nvSpPr>
        <xdr:cNvPr id="2" name="Rounded Rectangle 1">
          <a:extLst>
            <a:ext uri="{FF2B5EF4-FFF2-40B4-BE49-F238E27FC236}">
              <a16:creationId xmlns:a16="http://schemas.microsoft.com/office/drawing/2014/main" id="{00000000-0008-0000-0800-000002000000}"/>
            </a:ext>
          </a:extLst>
        </xdr:cNvPr>
        <xdr:cNvSpPr/>
      </xdr:nvSpPr>
      <xdr:spPr>
        <a:xfrm>
          <a:off x="5920740" y="55054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3</xdr:col>
      <xdr:colOff>1123949</xdr:colOff>
      <xdr:row>0</xdr:row>
      <xdr:rowOff>542925</xdr:rowOff>
    </xdr:from>
    <xdr:to>
      <xdr:col>4</xdr:col>
      <xdr:colOff>942974</xdr:colOff>
      <xdr:row>2</xdr:row>
      <xdr:rowOff>219075</xdr:rowOff>
    </xdr:to>
    <xdr:sp macro="[0]!luuPDF_BC_TH" textlink="">
      <xdr:nvSpPr>
        <xdr:cNvPr id="3" name="Rounded Rectangle 2"/>
        <xdr:cNvSpPr/>
      </xdr:nvSpPr>
      <xdr:spPr>
        <a:xfrm>
          <a:off x="6953249" y="542925"/>
          <a:ext cx="962025" cy="457200"/>
        </a:xfrm>
        <a:prstGeom prst="roundRect">
          <a:avLst/>
        </a:prstGeom>
        <a:solidFill>
          <a:srgbClr val="FFC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400" b="1">
              <a:solidFill>
                <a:schemeClr val="tx1"/>
              </a:solidFill>
              <a:latin typeface="Times New Roman" panose="02020603050405020304" pitchFamily="18" charset="0"/>
              <a:cs typeface="Times New Roman" panose="02020603050405020304" pitchFamily="18" charset="0"/>
            </a:rPr>
            <a:t>Lưu</a:t>
          </a:r>
          <a:r>
            <a:rPr lang="en-US" sz="1400" b="1" baseline="0">
              <a:solidFill>
                <a:schemeClr val="tx1"/>
              </a:solidFill>
              <a:latin typeface="Times New Roman" panose="02020603050405020304" pitchFamily="18" charset="0"/>
              <a:cs typeface="Times New Roman" panose="02020603050405020304" pitchFamily="18" charset="0"/>
            </a:rPr>
            <a:t> PDF</a:t>
          </a:r>
          <a:endParaRPr lang="en-US" sz="1400" b="1">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49742</xdr:colOff>
      <xdr:row>0</xdr:row>
      <xdr:rowOff>107947</xdr:rowOff>
    </xdr:from>
    <xdr:to>
      <xdr:col>1</xdr:col>
      <xdr:colOff>964142</xdr:colOff>
      <xdr:row>0</xdr:row>
      <xdr:rowOff>565147</xdr:rowOff>
    </xdr:to>
    <xdr:sp macro="[0]!ThemNV_Save" textlink="">
      <xdr:nvSpPr>
        <xdr:cNvPr id="2" name="Rounded Rectangle 1">
          <a:extLst>
            <a:ext uri="{FF2B5EF4-FFF2-40B4-BE49-F238E27FC236}">
              <a16:creationId xmlns:a16="http://schemas.microsoft.com/office/drawing/2014/main" id="{00000000-0008-0000-0500-000002000000}"/>
            </a:ext>
          </a:extLst>
        </xdr:cNvPr>
        <xdr:cNvSpPr/>
      </xdr:nvSpPr>
      <xdr:spPr>
        <a:xfrm>
          <a:off x="1173692"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1133097</xdr:colOff>
      <xdr:row>0</xdr:row>
      <xdr:rowOff>107947</xdr:rowOff>
    </xdr:from>
    <xdr:to>
      <xdr:col>2</xdr:col>
      <xdr:colOff>685422</xdr:colOff>
      <xdr:row>0</xdr:row>
      <xdr:rowOff>565147</xdr:rowOff>
    </xdr:to>
    <xdr:sp macro="[0]!ThemNV_New" textlink="">
      <xdr:nvSpPr>
        <xdr:cNvPr id="3" name="Rounded Rectangle 2">
          <a:extLst>
            <a:ext uri="{FF2B5EF4-FFF2-40B4-BE49-F238E27FC236}">
              <a16:creationId xmlns:a16="http://schemas.microsoft.com/office/drawing/2014/main" id="{00000000-0008-0000-0500-000003000000}"/>
            </a:ext>
          </a:extLst>
        </xdr:cNvPr>
        <xdr:cNvSpPr/>
      </xdr:nvSpPr>
      <xdr:spPr>
        <a:xfrm>
          <a:off x="2257047" y="107947"/>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editAs="absolute">
    <xdr:from>
      <xdr:col>0</xdr:col>
      <xdr:colOff>188383</xdr:colOff>
      <xdr:row>0</xdr:row>
      <xdr:rowOff>101597</xdr:rowOff>
    </xdr:from>
    <xdr:to>
      <xdr:col>0</xdr:col>
      <xdr:colOff>1099608</xdr:colOff>
      <xdr:row>0</xdr:row>
      <xdr:rowOff>558797</xdr:rowOff>
    </xdr:to>
    <xdr:sp macro="[0]!ThemNV_Close" textlink="">
      <xdr:nvSpPr>
        <xdr:cNvPr id="5" name="Rounded Rectangle 4">
          <a:extLst>
            <a:ext uri="{FF2B5EF4-FFF2-40B4-BE49-F238E27FC236}">
              <a16:creationId xmlns:a16="http://schemas.microsoft.com/office/drawing/2014/main" id="{00000000-0008-0000-0500-000005000000}"/>
            </a:ext>
          </a:extLst>
        </xdr:cNvPr>
        <xdr:cNvSpPr/>
      </xdr:nvSpPr>
      <xdr:spPr>
        <a:xfrm>
          <a:off x="188383" y="101597"/>
          <a:ext cx="911225"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55033</xdr:colOff>
      <xdr:row>0</xdr:row>
      <xdr:rowOff>33863</xdr:rowOff>
    </xdr:from>
    <xdr:to>
      <xdr:col>2</xdr:col>
      <xdr:colOff>730250</xdr:colOff>
      <xdr:row>0</xdr:row>
      <xdr:rowOff>643463</xdr:rowOff>
    </xdr:to>
    <xdr:sp macro="" textlink="">
      <xdr:nvSpPr>
        <xdr:cNvPr id="6" name="Rounded Rectangle 5">
          <a:extLst>
            <a:ext uri="{FF2B5EF4-FFF2-40B4-BE49-F238E27FC236}">
              <a16:creationId xmlns:a16="http://schemas.microsoft.com/office/drawing/2014/main" id="{00000000-0008-0000-0500-000006000000}"/>
            </a:ext>
          </a:extLst>
        </xdr:cNvPr>
        <xdr:cNvSpPr/>
      </xdr:nvSpPr>
      <xdr:spPr>
        <a:xfrm>
          <a:off x="55033" y="33863"/>
          <a:ext cx="316230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xdr:col>
          <xdr:colOff>9525</xdr:colOff>
          <xdr:row>5</xdr:row>
          <xdr:rowOff>66675</xdr:rowOff>
        </xdr:from>
        <xdr:to>
          <xdr:col>2</xdr:col>
          <xdr:colOff>1200150</xdr:colOff>
          <xdr:row>7</xdr:row>
          <xdr:rowOff>0</xdr:rowOff>
        </xdr:to>
        <xdr:sp macro="" textlink="">
          <xdr:nvSpPr>
            <xdr:cNvPr id="5122" name="ComboBox1"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0</xdr:col>
      <xdr:colOff>76200</xdr:colOff>
      <xdr:row>0</xdr:row>
      <xdr:rowOff>154305</xdr:rowOff>
    </xdr:from>
    <xdr:to>
      <xdr:col>0</xdr:col>
      <xdr:colOff>990600</xdr:colOff>
      <xdr:row>0</xdr:row>
      <xdr:rowOff>611505</xdr:rowOff>
    </xdr:to>
    <xdr:sp macro="[0]!Menu_Select" textlink="">
      <xdr:nvSpPr>
        <xdr:cNvPr id="2" name="Rounded Rectangle 1">
          <a:extLst>
            <a:ext uri="{FF2B5EF4-FFF2-40B4-BE49-F238E27FC236}">
              <a16:creationId xmlns:a16="http://schemas.microsoft.com/office/drawing/2014/main" id="{00000000-0008-0000-0700-000002000000}"/>
            </a:ext>
          </a:extLst>
        </xdr:cNvPr>
        <xdr:cNvSpPr/>
      </xdr:nvSpPr>
      <xdr:spPr>
        <a:xfrm>
          <a:off x="76200" y="154305"/>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1076325</xdr:colOff>
      <xdr:row>0</xdr:row>
      <xdr:rowOff>161925</xdr:rowOff>
    </xdr:from>
    <xdr:to>
      <xdr:col>1</xdr:col>
      <xdr:colOff>314325</xdr:colOff>
      <xdr:row>0</xdr:row>
      <xdr:rowOff>619125</xdr:rowOff>
    </xdr:to>
    <xdr:sp macro="[0]!ThemQTCT_Select" textlink="">
      <xdr:nvSpPr>
        <xdr:cNvPr id="3" name="Rounded Rectangle 2">
          <a:extLst>
            <a:ext uri="{FF2B5EF4-FFF2-40B4-BE49-F238E27FC236}">
              <a16:creationId xmlns:a16="http://schemas.microsoft.com/office/drawing/2014/main" id="{00000000-0008-0000-0700-000003000000}"/>
            </a:ext>
          </a:extLst>
        </xdr:cNvPr>
        <xdr:cNvSpPr/>
      </xdr:nvSpPr>
      <xdr:spPr>
        <a:xfrm>
          <a:off x="1076325" y="161925"/>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Thêm mới</a:t>
          </a:r>
        </a:p>
      </xdr:txBody>
    </xdr:sp>
    <xdr:clientData/>
  </xdr:twoCellAnchor>
  <xdr:twoCellAnchor>
    <xdr:from>
      <xdr:col>0</xdr:col>
      <xdr:colOff>38101</xdr:colOff>
      <xdr:row>0</xdr:row>
      <xdr:rowOff>76200</xdr:rowOff>
    </xdr:from>
    <xdr:to>
      <xdr:col>2</xdr:col>
      <xdr:colOff>200026</xdr:colOff>
      <xdr:row>0</xdr:row>
      <xdr:rowOff>685800</xdr:rowOff>
    </xdr:to>
    <xdr:sp macro="" textlink="">
      <xdr:nvSpPr>
        <xdr:cNvPr id="5" name="Rounded Rectangle 4">
          <a:extLst>
            <a:ext uri="{FF2B5EF4-FFF2-40B4-BE49-F238E27FC236}">
              <a16:creationId xmlns:a16="http://schemas.microsoft.com/office/drawing/2014/main" id="{00000000-0008-0000-0700-000005000000}"/>
            </a:ext>
          </a:extLst>
        </xdr:cNvPr>
        <xdr:cNvSpPr/>
      </xdr:nvSpPr>
      <xdr:spPr>
        <a:xfrm>
          <a:off x="38101" y="76200"/>
          <a:ext cx="3067050"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xdr:twoCellAnchor editAs="absolute">
    <xdr:from>
      <xdr:col>1</xdr:col>
      <xdr:colOff>428625</xdr:colOff>
      <xdr:row>0</xdr:row>
      <xdr:rowOff>171450</xdr:rowOff>
    </xdr:from>
    <xdr:to>
      <xdr:col>2</xdr:col>
      <xdr:colOff>114300</xdr:colOff>
      <xdr:row>0</xdr:row>
      <xdr:rowOff>628650</xdr:rowOff>
    </xdr:to>
    <xdr:sp macro="[0]!QTCT_SapXep" textlink="">
      <xdr:nvSpPr>
        <xdr:cNvPr id="6" name="Rounded Rectangle 5">
          <a:extLst>
            <a:ext uri="{FF2B5EF4-FFF2-40B4-BE49-F238E27FC236}">
              <a16:creationId xmlns:a16="http://schemas.microsoft.com/office/drawing/2014/main" id="{00000000-0008-0000-0700-000006000000}"/>
            </a:ext>
          </a:extLst>
        </xdr:cNvPr>
        <xdr:cNvSpPr/>
      </xdr:nvSpPr>
      <xdr:spPr>
        <a:xfrm>
          <a:off x="2105025" y="1714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Sắp xếp</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78317</xdr:colOff>
      <xdr:row>0</xdr:row>
      <xdr:rowOff>107950</xdr:rowOff>
    </xdr:from>
    <xdr:to>
      <xdr:col>1</xdr:col>
      <xdr:colOff>992717</xdr:colOff>
      <xdr:row>0</xdr:row>
      <xdr:rowOff>565150</xdr:rowOff>
    </xdr:to>
    <xdr:sp macro="[0]!ThemQTCT_Save" textlink="">
      <xdr:nvSpPr>
        <xdr:cNvPr id="2" name="Rounded Rectangle 1">
          <a:extLst>
            <a:ext uri="{FF2B5EF4-FFF2-40B4-BE49-F238E27FC236}">
              <a16:creationId xmlns:a16="http://schemas.microsoft.com/office/drawing/2014/main" id="{00000000-0008-0000-0300-000002000000}"/>
            </a:ext>
          </a:extLst>
        </xdr:cNvPr>
        <xdr:cNvSpPr/>
      </xdr:nvSpPr>
      <xdr:spPr>
        <a:xfrm>
          <a:off x="1202267"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L</a:t>
          </a:r>
          <a:r>
            <a:rPr lang="vi-VN" sz="1100">
              <a:solidFill>
                <a:schemeClr val="bg1"/>
              </a:solidFill>
              <a:latin typeface="Times New Roman" panose="02020603050405020304" pitchFamily="18" charset="0"/>
              <a:cs typeface="Times New Roman" panose="02020603050405020304" pitchFamily="18" charset="0"/>
            </a:rPr>
            <a:t>ư</a:t>
          </a:r>
          <a:r>
            <a:rPr lang="en-US" sz="1100">
              <a:solidFill>
                <a:schemeClr val="bg1"/>
              </a:solidFill>
              <a:latin typeface="Times New Roman" panose="02020603050405020304" pitchFamily="18" charset="0"/>
              <a:cs typeface="Times New Roman" panose="02020603050405020304" pitchFamily="18" charset="0"/>
            </a:rPr>
            <a:t>u</a:t>
          </a:r>
        </a:p>
      </xdr:txBody>
    </xdr:sp>
    <xdr:clientData/>
  </xdr:twoCellAnchor>
  <xdr:twoCellAnchor editAs="absolute">
    <xdr:from>
      <xdr:col>1</xdr:col>
      <xdr:colOff>1099225</xdr:colOff>
      <xdr:row>0</xdr:row>
      <xdr:rowOff>107950</xdr:rowOff>
    </xdr:from>
    <xdr:to>
      <xdr:col>2</xdr:col>
      <xdr:colOff>889675</xdr:colOff>
      <xdr:row>0</xdr:row>
      <xdr:rowOff>565150</xdr:rowOff>
    </xdr:to>
    <xdr:sp macro="[0]!ThemQTCT_New" textlink="">
      <xdr:nvSpPr>
        <xdr:cNvPr id="3" name="Rounded Rectangle 2">
          <a:extLst>
            <a:ext uri="{FF2B5EF4-FFF2-40B4-BE49-F238E27FC236}">
              <a16:creationId xmlns:a16="http://schemas.microsoft.com/office/drawing/2014/main" id="{00000000-0008-0000-0300-000003000000}"/>
            </a:ext>
          </a:extLst>
        </xdr:cNvPr>
        <xdr:cNvSpPr/>
      </xdr:nvSpPr>
      <xdr:spPr>
        <a:xfrm>
          <a:off x="2223175" y="107950"/>
          <a:ext cx="914400" cy="457200"/>
        </a:xfrm>
        <a:prstGeom prst="roundRect">
          <a:avLst/>
        </a:prstGeom>
        <a:solidFill>
          <a:schemeClr val="accent5">
            <a:lumMod val="75000"/>
          </a:schemeClr>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Nhập lại</a:t>
          </a:r>
        </a:p>
      </xdr:txBody>
    </xdr:sp>
    <xdr:clientData/>
  </xdr:twoCellAnchor>
  <xdr:twoCellAnchor>
    <xdr:from>
      <xdr:col>0</xdr:col>
      <xdr:colOff>152399</xdr:colOff>
      <xdr:row>0</xdr:row>
      <xdr:rowOff>28575</xdr:rowOff>
    </xdr:from>
    <xdr:to>
      <xdr:col>2</xdr:col>
      <xdr:colOff>942975</xdr:colOff>
      <xdr:row>0</xdr:row>
      <xdr:rowOff>638175</xdr:rowOff>
    </xdr:to>
    <xdr:sp macro="" textlink="">
      <xdr:nvSpPr>
        <xdr:cNvPr id="6" name="Rounded Rectangle 5">
          <a:extLst>
            <a:ext uri="{FF2B5EF4-FFF2-40B4-BE49-F238E27FC236}">
              <a16:creationId xmlns:a16="http://schemas.microsoft.com/office/drawing/2014/main" id="{00000000-0008-0000-0300-000006000000}"/>
            </a:ext>
          </a:extLst>
        </xdr:cNvPr>
        <xdr:cNvSpPr/>
      </xdr:nvSpPr>
      <xdr:spPr>
        <a:xfrm>
          <a:off x="152399" y="28575"/>
          <a:ext cx="3038476" cy="609600"/>
        </a:xfrm>
        <a:prstGeom prst="roundRect">
          <a:avLst/>
        </a:prstGeom>
        <a:noFill/>
        <a:ln w="12700">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000">
            <a:solidFill>
              <a:srgbClr val="0000FF"/>
            </a:solidFill>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762000</xdr:colOff>
          <xdr:row>4</xdr:row>
          <xdr:rowOff>19050</xdr:rowOff>
        </xdr:from>
        <xdr:to>
          <xdr:col>7</xdr:col>
          <xdr:colOff>876300</xdr:colOff>
          <xdr:row>5</xdr:row>
          <xdr:rowOff>28575</xdr:rowOff>
        </xdr:to>
        <xdr:sp macro="" textlink="">
          <xdr:nvSpPr>
            <xdr:cNvPr id="4098" name="ComboBox1"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202142</xdr:colOff>
      <xdr:row>0</xdr:row>
      <xdr:rowOff>110067</xdr:rowOff>
    </xdr:from>
    <xdr:to>
      <xdr:col>0</xdr:col>
      <xdr:colOff>1116542</xdr:colOff>
      <xdr:row>0</xdr:row>
      <xdr:rowOff>567267</xdr:rowOff>
    </xdr:to>
    <xdr:sp macro="[0]!ThemQTCT_Close" textlink="">
      <xdr:nvSpPr>
        <xdr:cNvPr id="7" name="Rounded Rectangle 6">
          <a:extLst>
            <a:ext uri="{FF2B5EF4-FFF2-40B4-BE49-F238E27FC236}">
              <a16:creationId xmlns:a16="http://schemas.microsoft.com/office/drawing/2014/main" id="{00000000-0008-0000-0300-000005000000}"/>
            </a:ext>
          </a:extLst>
        </xdr:cNvPr>
        <xdr:cNvSpPr/>
      </xdr:nvSpPr>
      <xdr:spPr>
        <a:xfrm>
          <a:off x="202142" y="110067"/>
          <a:ext cx="914400" cy="457200"/>
        </a:xfrm>
        <a:prstGeom prst="roundRect">
          <a:avLst/>
        </a:prstGeom>
        <a:solidFill>
          <a:srgbClr val="FF0000"/>
        </a:solidFill>
        <a:ln w="63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6</xdr:row>
          <xdr:rowOff>38100</xdr:rowOff>
        </xdr:from>
        <xdr:to>
          <xdr:col>11</xdr:col>
          <xdr:colOff>200025</xdr:colOff>
          <xdr:row>6</xdr:row>
          <xdr:rowOff>285750</xdr:rowOff>
        </xdr:to>
        <xdr:sp macro="" textlink="">
          <xdr:nvSpPr>
            <xdr:cNvPr id="13322" name="ComboBox2" hidden="1">
              <a:extLst>
                <a:ext uri="{63B3BB69-23CF-44E3-9099-C40C66FF867C}">
                  <a14:compatExt spid="_x0000_s13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228600</xdr:colOff>
      <xdr:row>0</xdr:row>
      <xdr:rowOff>114301</xdr:rowOff>
    </xdr:from>
    <xdr:to>
      <xdr:col>1</xdr:col>
      <xdr:colOff>19049</xdr:colOff>
      <xdr:row>1</xdr:row>
      <xdr:rowOff>200025</xdr:rowOff>
    </xdr:to>
    <xdr:sp macro="[0]!qtdt_dong" textlink="">
      <xdr:nvSpPr>
        <xdr:cNvPr id="3" name="Rounded Rectangle 2"/>
        <xdr:cNvSpPr>
          <a:spLocks noChangeAspect="1"/>
        </xdr:cNvSpPr>
      </xdr:nvSpPr>
      <xdr:spPr>
        <a:xfrm>
          <a:off x="228600" y="114301"/>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1</xdr:col>
      <xdr:colOff>85725</xdr:colOff>
      <xdr:row>0</xdr:row>
      <xdr:rowOff>114301</xdr:rowOff>
    </xdr:from>
    <xdr:to>
      <xdr:col>2</xdr:col>
      <xdr:colOff>238124</xdr:colOff>
      <xdr:row>1</xdr:row>
      <xdr:rowOff>200025</xdr:rowOff>
    </xdr:to>
    <xdr:sp macro="[0]!qtdt_them" textlink="">
      <xdr:nvSpPr>
        <xdr:cNvPr id="7" name="Rounded Rectangle 6"/>
        <xdr:cNvSpPr>
          <a:spLocks noChangeAspect="1"/>
        </xdr:cNvSpPr>
      </xdr:nvSpPr>
      <xdr:spPr>
        <a:xfrm>
          <a:off x="12858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314325</xdr:colOff>
      <xdr:row>0</xdr:row>
      <xdr:rowOff>114301</xdr:rowOff>
    </xdr:from>
    <xdr:to>
      <xdr:col>3</xdr:col>
      <xdr:colOff>104774</xdr:colOff>
      <xdr:row>1</xdr:row>
      <xdr:rowOff>200025</xdr:rowOff>
    </xdr:to>
    <xdr:sp macro="[0]!qtdt_nhaplai" textlink="">
      <xdr:nvSpPr>
        <xdr:cNvPr id="11" name="Rounded Rectangle 10"/>
        <xdr:cNvSpPr>
          <a:spLocks noChangeAspect="1"/>
        </xdr:cNvSpPr>
      </xdr:nvSpPr>
      <xdr:spPr>
        <a:xfrm>
          <a:off x="2352675" y="114301"/>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28575</xdr:colOff>
          <xdr:row>4</xdr:row>
          <xdr:rowOff>19050</xdr:rowOff>
        </xdr:from>
        <xdr:to>
          <xdr:col>10</xdr:col>
          <xdr:colOff>390525</xdr:colOff>
          <xdr:row>5</xdr:row>
          <xdr:rowOff>0</xdr:rowOff>
        </xdr:to>
        <xdr:sp macro="" textlink="">
          <xdr:nvSpPr>
            <xdr:cNvPr id="19457" name="Combo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238125</xdr:colOff>
      <xdr:row>0</xdr:row>
      <xdr:rowOff>95250</xdr:rowOff>
    </xdr:from>
    <xdr:to>
      <xdr:col>0</xdr:col>
      <xdr:colOff>1219200</xdr:colOff>
      <xdr:row>0</xdr:row>
      <xdr:rowOff>495300</xdr:rowOff>
    </xdr:to>
    <xdr:sp macro="[0]!kl_dong" textlink="">
      <xdr:nvSpPr>
        <xdr:cNvPr id="6" name="Rounded Rectangle 5"/>
        <xdr:cNvSpPr/>
      </xdr:nvSpPr>
      <xdr:spPr>
        <a:xfrm>
          <a:off x="238125" y="95250"/>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1362075</xdr:colOff>
      <xdr:row>0</xdr:row>
      <xdr:rowOff>95250</xdr:rowOff>
    </xdr:from>
    <xdr:to>
      <xdr:col>1</xdr:col>
      <xdr:colOff>771525</xdr:colOff>
      <xdr:row>0</xdr:row>
      <xdr:rowOff>495300</xdr:rowOff>
    </xdr:to>
    <xdr:sp macro="[0]!kl_update" textlink="">
      <xdr:nvSpPr>
        <xdr:cNvPr id="8" name="Rounded Rectangle 7"/>
        <xdr:cNvSpPr/>
      </xdr:nvSpPr>
      <xdr:spPr>
        <a:xfrm>
          <a:off x="1362075"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1</xdr:col>
      <xdr:colOff>942975</xdr:colOff>
      <xdr:row>0</xdr:row>
      <xdr:rowOff>95250</xdr:rowOff>
    </xdr:from>
    <xdr:to>
      <xdr:col>2</xdr:col>
      <xdr:colOff>952500</xdr:colOff>
      <xdr:row>0</xdr:row>
      <xdr:rowOff>495300</xdr:rowOff>
    </xdr:to>
    <xdr:sp macro="[0]!kl_nhaplai" textlink="">
      <xdr:nvSpPr>
        <xdr:cNvPr id="9" name="Rounded Rectangle 8"/>
        <xdr:cNvSpPr/>
      </xdr:nvSpPr>
      <xdr:spPr>
        <a:xfrm>
          <a:off x="2514600" y="95250"/>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171450</xdr:rowOff>
        </xdr:from>
        <xdr:to>
          <xdr:col>6</xdr:col>
          <xdr:colOff>9525</xdr:colOff>
          <xdr:row>3</xdr:row>
          <xdr:rowOff>219075</xdr:rowOff>
        </xdr:to>
        <xdr:sp macro="" textlink="">
          <xdr:nvSpPr>
            <xdr:cNvPr id="26625" name="ComboBox1"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87923</xdr:colOff>
      <xdr:row>0</xdr:row>
      <xdr:rowOff>65944</xdr:rowOff>
    </xdr:from>
    <xdr:to>
      <xdr:col>0</xdr:col>
      <xdr:colOff>1068998</xdr:colOff>
      <xdr:row>0</xdr:row>
      <xdr:rowOff>465994</xdr:rowOff>
    </xdr:to>
    <xdr:sp macro="[0]!qhgd_dong" textlink="">
      <xdr:nvSpPr>
        <xdr:cNvPr id="6" name="Rounded Rectangle 5"/>
        <xdr:cNvSpPr/>
      </xdr:nvSpPr>
      <xdr:spPr>
        <a:xfrm>
          <a:off x="87923" y="65944"/>
          <a:ext cx="981075" cy="400050"/>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xdr:from>
      <xdr:col>0</xdr:col>
      <xdr:colOff>1211873</xdr:colOff>
      <xdr:row>0</xdr:row>
      <xdr:rowOff>65944</xdr:rowOff>
    </xdr:from>
    <xdr:to>
      <xdr:col>1</xdr:col>
      <xdr:colOff>727563</xdr:colOff>
      <xdr:row>0</xdr:row>
      <xdr:rowOff>465994</xdr:rowOff>
    </xdr:to>
    <xdr:sp macro="[0]!qhgd_them" textlink="">
      <xdr:nvSpPr>
        <xdr:cNvPr id="7" name="Rounded Rectangle 6"/>
        <xdr:cNvSpPr/>
      </xdr:nvSpPr>
      <xdr:spPr>
        <a:xfrm>
          <a:off x="1211873" y="65944"/>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Lưu</a:t>
          </a:r>
        </a:p>
      </xdr:txBody>
    </xdr:sp>
    <xdr:clientData/>
  </xdr:twoCellAnchor>
  <xdr:twoCellAnchor>
    <xdr:from>
      <xdr:col>2</xdr:col>
      <xdr:colOff>78398</xdr:colOff>
      <xdr:row>0</xdr:row>
      <xdr:rowOff>73271</xdr:rowOff>
    </xdr:from>
    <xdr:to>
      <xdr:col>2</xdr:col>
      <xdr:colOff>1059473</xdr:colOff>
      <xdr:row>0</xdr:row>
      <xdr:rowOff>473321</xdr:rowOff>
    </xdr:to>
    <xdr:sp macro="[0]!qhgd_nhaplai" textlink="">
      <xdr:nvSpPr>
        <xdr:cNvPr id="8" name="Rounded Rectangle 7"/>
        <xdr:cNvSpPr/>
      </xdr:nvSpPr>
      <xdr:spPr>
        <a:xfrm>
          <a:off x="2364398" y="73271"/>
          <a:ext cx="981075" cy="400050"/>
        </a:xfrm>
        <a:prstGeom prst="roundRect">
          <a:avLst/>
        </a:prstGeom>
        <a:solidFill>
          <a:schemeClr val="accent1">
            <a:lumMod val="7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marL="0" indent="0" algn="ctr"/>
          <a:r>
            <a:rPr lang="en-US" sz="1600">
              <a:solidFill>
                <a:schemeClr val="bg1"/>
              </a:solidFill>
              <a:latin typeface="Times New Roman" panose="02020603050405020304" pitchFamily="18" charset="0"/>
              <a:ea typeface="+mn-ea"/>
              <a:cs typeface="Times New Roman" panose="02020603050405020304" pitchFamily="18" charset="0"/>
            </a:rPr>
            <a:t>Nhập lại</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11</xdr:col>
          <xdr:colOff>0</xdr:colOff>
          <xdr:row>4</xdr:row>
          <xdr:rowOff>257175</xdr:rowOff>
        </xdr:to>
        <xdr:sp macro="" textlink="">
          <xdr:nvSpPr>
            <xdr:cNvPr id="35843" name="ComboBox1" hidden="1">
              <a:extLst>
                <a:ext uri="{63B3BB69-23CF-44E3-9099-C40C66FF867C}">
                  <a14:compatExt spid="_x0000_s358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142875</xdr:colOff>
      <xdr:row>0</xdr:row>
      <xdr:rowOff>57150</xdr:rowOff>
    </xdr:from>
    <xdr:to>
      <xdr:col>0</xdr:col>
      <xdr:colOff>1133474</xdr:colOff>
      <xdr:row>0</xdr:row>
      <xdr:rowOff>466724</xdr:rowOff>
    </xdr:to>
    <xdr:sp macro="[0]!backToMenu" textlink="">
      <xdr:nvSpPr>
        <xdr:cNvPr id="6" name="Rounded Rectangle 5"/>
        <xdr:cNvSpPr>
          <a:spLocks noChangeAspect="1"/>
        </xdr:cNvSpPr>
      </xdr:nvSpPr>
      <xdr:spPr>
        <a:xfrm>
          <a:off x="142875" y="57150"/>
          <a:ext cx="990599" cy="409574"/>
        </a:xfrm>
        <a:prstGeom prst="roundRect">
          <a:avLst/>
        </a:prstGeom>
        <a:solidFill>
          <a:srgbClr val="FF000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MENU</a:t>
          </a:r>
        </a:p>
      </xdr:txBody>
    </xdr:sp>
    <xdr:clientData/>
  </xdr:twoCellAnchor>
  <xdr:twoCellAnchor editAs="absolute">
    <xdr:from>
      <xdr:col>0</xdr:col>
      <xdr:colOff>1200150</xdr:colOff>
      <xdr:row>0</xdr:row>
      <xdr:rowOff>57150</xdr:rowOff>
    </xdr:from>
    <xdr:to>
      <xdr:col>2</xdr:col>
      <xdr:colOff>19049</xdr:colOff>
      <xdr:row>0</xdr:row>
      <xdr:rowOff>466724</xdr:rowOff>
    </xdr:to>
    <xdr:sp macro="[0]!kqxl_luu" textlink="">
      <xdr:nvSpPr>
        <xdr:cNvPr id="7" name="Rounded Rectangle 6"/>
        <xdr:cNvSpPr>
          <a:spLocks noChangeAspect="1"/>
        </xdr:cNvSpPr>
      </xdr:nvSpPr>
      <xdr:spPr>
        <a:xfrm>
          <a:off x="12001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Lưu</a:t>
          </a:r>
        </a:p>
      </xdr:txBody>
    </xdr:sp>
    <xdr:clientData/>
  </xdr:twoCellAnchor>
  <xdr:twoCellAnchor editAs="absolute">
    <xdr:from>
      <xdr:col>2</xdr:col>
      <xdr:colOff>95250</xdr:colOff>
      <xdr:row>0</xdr:row>
      <xdr:rowOff>57150</xdr:rowOff>
    </xdr:from>
    <xdr:to>
      <xdr:col>3</xdr:col>
      <xdr:colOff>476249</xdr:colOff>
      <xdr:row>0</xdr:row>
      <xdr:rowOff>466724</xdr:rowOff>
    </xdr:to>
    <xdr:sp macro="[0]!kqxl_nhaplai" textlink="">
      <xdr:nvSpPr>
        <xdr:cNvPr id="8" name="Rounded Rectangle 7"/>
        <xdr:cNvSpPr>
          <a:spLocks noChangeAspect="1"/>
        </xdr:cNvSpPr>
      </xdr:nvSpPr>
      <xdr:spPr>
        <a:xfrm>
          <a:off x="2266950" y="57150"/>
          <a:ext cx="990599" cy="409574"/>
        </a:xfrm>
        <a:prstGeom prst="roundRect">
          <a:avLst/>
        </a:prstGeom>
        <a:solidFill>
          <a:srgbClr val="0070C0"/>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600">
              <a:solidFill>
                <a:schemeClr val="bg1"/>
              </a:solidFill>
              <a:latin typeface="Times New Roman" panose="02020603050405020304" pitchFamily="18" charset="0"/>
              <a:cs typeface="Times New Roman" panose="02020603050405020304" pitchFamily="18" charset="0"/>
            </a:rPr>
            <a:t>Nhập</a:t>
          </a:r>
          <a:r>
            <a:rPr lang="en-US" sz="1600" baseline="0">
              <a:solidFill>
                <a:schemeClr val="bg1"/>
              </a:solidFill>
              <a:latin typeface="Times New Roman" panose="02020603050405020304" pitchFamily="18" charset="0"/>
              <a:cs typeface="Times New Roman" panose="02020603050405020304" pitchFamily="18" charset="0"/>
            </a:rPr>
            <a:t> lại</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53340</xdr:colOff>
      <xdr:row>0</xdr:row>
      <xdr:rowOff>22860</xdr:rowOff>
    </xdr:from>
    <xdr:to>
      <xdr:col>3</xdr:col>
      <xdr:colOff>81915</xdr:colOff>
      <xdr:row>1</xdr:row>
      <xdr:rowOff>213360</xdr:rowOff>
    </xdr:to>
    <xdr:sp macro="[0]!Menu_Select" textlink="">
      <xdr:nvSpPr>
        <xdr:cNvPr id="2" name="Rounded Rectangle 1">
          <a:extLst>
            <a:ext uri="{FF2B5EF4-FFF2-40B4-BE49-F238E27FC236}">
              <a16:creationId xmlns:a16="http://schemas.microsoft.com/office/drawing/2014/main" id="{00000000-0008-0000-0A00-000002000000}"/>
            </a:ext>
          </a:extLst>
        </xdr:cNvPr>
        <xdr:cNvSpPr/>
      </xdr:nvSpPr>
      <xdr:spPr>
        <a:xfrm>
          <a:off x="53340" y="22860"/>
          <a:ext cx="914400" cy="457200"/>
        </a:xfrm>
        <a:prstGeom prst="roundRect">
          <a:avLst/>
        </a:prstGeom>
        <a:solidFill>
          <a:srgbClr val="FF0000"/>
        </a:solidFill>
        <a:ln w="6350">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en-US" sz="1100" b="1">
              <a:solidFill>
                <a:schemeClr val="bg1"/>
              </a:solidFill>
              <a:latin typeface="Times New Roman" panose="02020603050405020304" pitchFamily="18" charset="0"/>
              <a:cs typeface="Times New Roman" panose="02020603050405020304" pitchFamily="18" charset="0"/>
            </a:rPr>
            <a:t>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Qu&#7843;n%20l&#253;%20&#272;&#7843;ng%20vi&#234;n\Quan_ly_D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Quan_ly_DV.xls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K"/>
      <sheetName val="KetChuyen"/>
      <sheetName val="DSDV"/>
      <sheetName val="Them_NV"/>
      <sheetName val="Qua_Trinh"/>
      <sheetName val="QD_NangLuong"/>
      <sheetName val="BC_TH"/>
      <sheetName val="BC_CT"/>
      <sheetName val="Ngay_Phep"/>
      <sheetName val="Sinh_nhat"/>
      <sheetName val="ThietLa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SDV"/>
      <sheetName val="Them_DV"/>
      <sheetName val="Them_QTDT"/>
      <sheetName val="Them_QTCT"/>
      <sheetName val="Trich_Yeu"/>
      <sheetName val="BC_TH"/>
      <sheetName val="DANHMUCDV"/>
      <sheetName val="Danh muc Chi bo"/>
      <sheetName val="ThietLap"/>
      <sheetName val="DK"/>
      <sheetName val="QTCT"/>
      <sheetName val="QTDT"/>
      <sheetName val="Quan_ly_DV.xlsm"/>
    </sheetNames>
    <sheetDataSet>
      <sheetData sheetId="0" refreshError="1"/>
      <sheetData sheetId="1">
        <row r="7">
          <cell r="B7">
            <v>918108</v>
          </cell>
        </row>
      </sheetData>
      <sheetData sheetId="2" refreshError="1"/>
      <sheetData sheetId="3" refreshError="1"/>
      <sheetData sheetId="4" refreshError="1"/>
      <sheetData sheetId="5" refreshError="1"/>
      <sheetData sheetId="6" refreshError="1"/>
      <sheetData sheetId="7" refreshError="1"/>
      <sheetData sheetId="8"/>
      <sheetData sheetId="9">
        <row r="2">
          <cell r="S2" t="str">
            <v>Kinh</v>
          </cell>
        </row>
      </sheetData>
      <sheetData sheetId="10"/>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6">
            <a:lumMod val="20000"/>
            <a:lumOff val="80000"/>
          </a:schemeClr>
        </a:solidFill>
      </a:spPr>
      <a:bodyPr vertOverflow="clip" horzOverflow="clip" rtlCol="0" anchor="ctr"/>
      <a:lstStyle>
        <a:defPPr algn="ctr">
          <a:defRPr sz="1000">
            <a:solidFill>
              <a:srgbClr val="0000FF"/>
            </a:solidFill>
            <a:latin typeface="Times New Roman" panose="02020603050405020304" pitchFamily="18" charset="0"/>
            <a:cs typeface="Times New Roman" panose="02020603050405020304" pitchFamily="18" charset="0"/>
          </a:defRPr>
        </a:defPPr>
      </a:lstStyle>
      <a:style>
        <a:lnRef idx="2">
          <a:schemeClr val="dk1"/>
        </a:lnRef>
        <a:fillRef idx="1">
          <a:schemeClr val="lt1"/>
        </a:fillRef>
        <a:effectRef idx="0">
          <a:schemeClr val="dk1"/>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6.xml"/><Relationship Id="rId2" Type="http://schemas.openxmlformats.org/officeDocument/2006/relationships/vmlDrawing" Target="../drawings/vmlDrawing6.vml"/><Relationship Id="rId1" Type="http://schemas.openxmlformats.org/officeDocument/2006/relationships/drawing" Target="../drawings/drawing9.xml"/><Relationship Id="rId4" Type="http://schemas.openxmlformats.org/officeDocument/2006/relationships/image" Target="../media/image7.emf"/></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21"/>
  <sheetViews>
    <sheetView showGridLines="0" zoomScale="130" zoomScaleNormal="130" workbookViewId="0">
      <selection activeCell="B4" sqref="B4"/>
    </sheetView>
  </sheetViews>
  <sheetFormatPr defaultColWidth="9.140625" defaultRowHeight="15"/>
  <cols>
    <col min="1" max="1" width="13.85546875" style="1" customWidth="1"/>
    <col min="2" max="2" width="37.28515625" style="1" customWidth="1"/>
    <col min="3" max="3" width="32.7109375" style="1" customWidth="1"/>
    <col min="4" max="4" width="37.42578125" style="1" customWidth="1"/>
    <col min="5" max="5" width="16.28515625" style="1" customWidth="1"/>
    <col min="6" max="16384" width="9.140625" style="1"/>
  </cols>
  <sheetData>
    <row r="1" spans="1:5" ht="15.75" thickBot="1">
      <c r="A1" s="16"/>
      <c r="B1" s="16"/>
      <c r="C1" s="16"/>
      <c r="D1" s="16"/>
      <c r="E1" s="16"/>
    </row>
    <row r="2" spans="1:5" ht="40.5" customHeight="1" thickTop="1" thickBot="1">
      <c r="A2" s="117"/>
      <c r="B2" s="419" t="s">
        <v>88</v>
      </c>
      <c r="C2" s="420"/>
      <c r="D2" s="421"/>
      <c r="E2" s="85"/>
    </row>
    <row r="3" spans="1:5" ht="27.75" customHeight="1" thickTop="1">
      <c r="A3" s="146"/>
      <c r="B3" s="274" t="s">
        <v>89</v>
      </c>
      <c r="C3" s="151" t="s">
        <v>215</v>
      </c>
      <c r="D3" s="152" t="s">
        <v>248</v>
      </c>
      <c r="E3" s="16"/>
    </row>
    <row r="4" spans="1:5" ht="27.75" customHeight="1">
      <c r="A4" s="146"/>
      <c r="B4" s="311" t="s">
        <v>91</v>
      </c>
      <c r="C4" s="422" t="s">
        <v>176</v>
      </c>
      <c r="D4" s="425" t="s">
        <v>216</v>
      </c>
      <c r="E4" s="16"/>
    </row>
    <row r="5" spans="1:5" ht="27.75" customHeight="1">
      <c r="A5" s="146"/>
      <c r="B5" s="312" t="s">
        <v>164</v>
      </c>
      <c r="C5" s="423"/>
      <c r="D5" s="426"/>
      <c r="E5" s="16"/>
    </row>
    <row r="6" spans="1:5" ht="27.75" customHeight="1">
      <c r="A6" s="146"/>
      <c r="B6" s="312" t="s">
        <v>693</v>
      </c>
      <c r="C6" s="423"/>
      <c r="D6" s="426"/>
      <c r="E6" s="16"/>
    </row>
    <row r="7" spans="1:5" ht="26.25" customHeight="1">
      <c r="A7" s="147"/>
      <c r="B7" s="312" t="s">
        <v>694</v>
      </c>
      <c r="C7" s="423"/>
      <c r="D7" s="426"/>
      <c r="E7" s="16"/>
    </row>
    <row r="8" spans="1:5" ht="29.25" customHeight="1">
      <c r="A8" s="147"/>
      <c r="B8" s="313" t="s">
        <v>695</v>
      </c>
      <c r="C8" s="424"/>
      <c r="D8" s="427"/>
      <c r="E8" s="16"/>
    </row>
    <row r="9" spans="1:5" ht="18" customHeight="1">
      <c r="A9" s="16"/>
      <c r="B9" s="431" t="s">
        <v>692</v>
      </c>
      <c r="C9" s="432"/>
      <c r="D9" s="428"/>
      <c r="E9" s="16"/>
    </row>
    <row r="10" spans="1:5" ht="18" customHeight="1">
      <c r="A10" s="16"/>
      <c r="B10" s="431"/>
      <c r="C10" s="433"/>
      <c r="D10" s="429"/>
      <c r="E10" s="16"/>
    </row>
    <row r="11" spans="1:5" ht="18" customHeight="1">
      <c r="A11" s="16"/>
      <c r="B11" s="431"/>
      <c r="C11" s="433"/>
      <c r="D11" s="429"/>
      <c r="E11" s="16"/>
    </row>
    <row r="12" spans="1:5" ht="18" customHeight="1">
      <c r="A12" s="16"/>
      <c r="B12" s="431"/>
      <c r="C12" s="433"/>
      <c r="D12" s="429"/>
      <c r="E12" s="16"/>
    </row>
    <row r="13" spans="1:5" ht="18" customHeight="1">
      <c r="A13" s="16"/>
      <c r="B13" s="431"/>
      <c r="C13" s="433"/>
      <c r="D13" s="429"/>
      <c r="E13" s="16"/>
    </row>
    <row r="14" spans="1:5" ht="18" customHeight="1">
      <c r="A14" s="16"/>
      <c r="B14" s="431"/>
      <c r="C14" s="433"/>
      <c r="D14" s="429"/>
      <c r="E14" s="16"/>
    </row>
    <row r="15" spans="1:5" ht="23.25" customHeight="1">
      <c r="A15" s="16"/>
      <c r="B15" s="434"/>
      <c r="C15" s="435"/>
      <c r="D15" s="430"/>
      <c r="E15" s="16"/>
    </row>
    <row r="16" spans="1:5" ht="32.450000000000003" customHeight="1">
      <c r="A16" s="16"/>
      <c r="B16" s="16"/>
      <c r="C16" s="16"/>
      <c r="D16" s="16"/>
      <c r="E16" s="16"/>
    </row>
    <row r="17" spans="1:1" ht="18" customHeight="1">
      <c r="A17" s="307"/>
    </row>
    <row r="18" spans="1:1" ht="18" customHeight="1"/>
    <row r="19" spans="1:1" ht="18" customHeight="1"/>
    <row r="20" spans="1:1" ht="18" customHeight="1">
      <c r="A20"/>
    </row>
    <row r="21" spans="1:1" ht="18" customHeight="1"/>
  </sheetData>
  <sheetProtection selectLockedCells="1"/>
  <mergeCells count="5">
    <mergeCell ref="B2:D2"/>
    <mergeCell ref="C4:C8"/>
    <mergeCell ref="D4:D8"/>
    <mergeCell ref="D9:D15"/>
    <mergeCell ref="B9:C15"/>
  </mergeCells>
  <hyperlinks>
    <hyperlink ref="B4" location="DSDV!A1" display="Danh sách Đảng viên"/>
    <hyperlink ref="B5" location="Them_QTCT!A1" display="Quá trình hoạt động và công tác"/>
    <hyperlink ref="B6" location="Them_QTDT!A1" display="Quá trình đào tạo"/>
    <hyperlink ref="B7" location="Them_QHGD!A1" display="Quan hệ gia đình"/>
    <hyperlink ref="C4:C8" location="Trich_Yeu!A1" display="Trích yếu Đảng viên"/>
    <hyperlink ref="D4:D8" location="BC_TH!A1" display="Tính toán thống kê"/>
    <hyperlink ref="B8" location="Them_KQXL!A1" display="Kết quả đánh giá, xếp loại"/>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X255"/>
  <sheetViews>
    <sheetView showGridLines="0" showZeros="0" tabSelected="1" zoomScale="70" zoomScaleNormal="70" workbookViewId="0">
      <selection activeCell="L14" sqref="L14"/>
    </sheetView>
  </sheetViews>
  <sheetFormatPr defaultColWidth="9.140625" defaultRowHeight="15"/>
  <cols>
    <col min="1" max="1" width="5.140625" style="114" customWidth="1"/>
    <col min="2" max="2" width="10.5703125" style="114" customWidth="1"/>
    <col min="3" max="3" width="10.140625" style="114" customWidth="1"/>
    <col min="4" max="4" width="13.42578125" style="113" customWidth="1"/>
    <col min="5" max="5" width="11.42578125" style="163" customWidth="1"/>
    <col min="6" max="6" width="23.28515625" style="114" customWidth="1"/>
    <col min="7" max="7" width="21" style="114" customWidth="1"/>
    <col min="8" max="8" width="8.140625" style="113" customWidth="1"/>
    <col min="9" max="9" width="11.5703125" style="113" customWidth="1"/>
    <col min="10" max="10" width="10.42578125" style="113" customWidth="1"/>
    <col min="11" max="11" width="11.42578125" style="113" customWidth="1"/>
    <col min="12" max="12" width="10.140625" style="113" customWidth="1"/>
    <col min="13" max="13" width="13.140625" style="164" customWidth="1"/>
    <col min="14" max="14" width="13.42578125" style="158" customWidth="1"/>
    <col min="15" max="15" width="17" style="163" customWidth="1"/>
    <col min="16" max="16" width="11.7109375" style="114" customWidth="1"/>
    <col min="17" max="17" width="15.140625" style="114" customWidth="1"/>
    <col min="18" max="18" width="12.42578125" style="155" customWidth="1"/>
    <col min="19" max="19" width="15" style="229" customWidth="1"/>
    <col min="20" max="20" width="11.140625" style="229" customWidth="1"/>
    <col min="21" max="21" width="12" style="156" customWidth="1"/>
    <col min="22" max="22" width="20.5703125" style="230" customWidth="1"/>
    <col min="23" max="23" width="17.7109375" style="163" customWidth="1"/>
    <col min="24" max="24" width="7.28515625" style="163" customWidth="1"/>
    <col min="25" max="25" width="10.42578125" style="113" customWidth="1"/>
    <col min="26" max="26" width="14" style="113" customWidth="1"/>
    <col min="27" max="27" width="11" style="158" customWidth="1"/>
    <col min="28" max="28" width="16" style="229" customWidth="1"/>
    <col min="29" max="29" width="14.42578125" style="157" customWidth="1"/>
    <col min="30" max="30" width="10.140625" style="157" customWidth="1"/>
    <col min="31" max="31" width="15.7109375" style="157" customWidth="1"/>
    <col min="32" max="32" width="14.42578125" style="157" customWidth="1"/>
    <col min="33" max="33" width="44.140625" style="158" customWidth="1"/>
    <col min="34" max="34" width="57.5703125" style="15" customWidth="1"/>
    <col min="35" max="35" width="8.7109375" style="1" hidden="1" customWidth="1"/>
    <col min="36" max="36" width="17.28515625" style="1" hidden="1" customWidth="1"/>
    <col min="37" max="37" width="15" style="1" hidden="1" customWidth="1"/>
    <col min="38" max="38" width="17.28515625" style="113" customWidth="1"/>
    <col min="39" max="16384" width="9.140625" style="113"/>
  </cols>
  <sheetData>
    <row r="1" spans="1:76" ht="38.25" customHeight="1">
      <c r="B1" s="154"/>
      <c r="C1" s="154"/>
      <c r="D1" s="153"/>
      <c r="E1" s="153"/>
      <c r="F1" s="154"/>
      <c r="G1" s="154"/>
      <c r="H1" s="153"/>
      <c r="I1" s="153"/>
      <c r="J1" s="153"/>
      <c r="K1" s="153"/>
      <c r="L1" s="153"/>
      <c r="M1" s="153"/>
      <c r="N1" s="154"/>
      <c r="O1" s="154"/>
      <c r="V1" s="232"/>
      <c r="W1" s="157"/>
      <c r="X1" s="157"/>
    </row>
    <row r="2" spans="1:76" ht="29.25" customHeight="1">
      <c r="A2" s="443" t="s">
        <v>90</v>
      </c>
      <c r="B2" s="443"/>
      <c r="C2" s="443"/>
      <c r="D2" s="443"/>
      <c r="E2" s="443"/>
      <c r="F2" s="443"/>
      <c r="G2" s="443"/>
      <c r="H2" s="443"/>
      <c r="I2" s="443"/>
      <c r="J2" s="443"/>
      <c r="K2" s="443"/>
      <c r="L2" s="443"/>
      <c r="M2" s="443"/>
      <c r="N2" s="443"/>
      <c r="O2" s="443"/>
      <c r="V2" s="233"/>
      <c r="W2" s="159"/>
      <c r="X2" s="159"/>
      <c r="Y2" s="160"/>
      <c r="Z2" s="160"/>
      <c r="AA2" s="244"/>
    </row>
    <row r="3" spans="1:76" ht="19.149999999999999" customHeight="1">
      <c r="A3" s="437" t="s">
        <v>0</v>
      </c>
      <c r="B3" s="444" t="s">
        <v>463</v>
      </c>
      <c r="C3" s="444" t="s">
        <v>464</v>
      </c>
      <c r="D3" s="444" t="s">
        <v>155</v>
      </c>
      <c r="E3" s="444" t="s">
        <v>482</v>
      </c>
      <c r="F3" s="446" t="s">
        <v>480</v>
      </c>
      <c r="G3" s="446" t="s">
        <v>481</v>
      </c>
      <c r="H3" s="446" t="s">
        <v>10</v>
      </c>
      <c r="I3" s="436" t="s">
        <v>112</v>
      </c>
      <c r="J3" s="446" t="s">
        <v>465</v>
      </c>
      <c r="K3" s="448" t="s">
        <v>1</v>
      </c>
      <c r="L3" s="438" t="s">
        <v>466</v>
      </c>
      <c r="M3" s="439"/>
      <c r="N3" s="439"/>
      <c r="O3" s="439"/>
      <c r="P3" s="439"/>
      <c r="Q3" s="439"/>
      <c r="R3" s="440"/>
      <c r="S3" s="441" t="s">
        <v>3</v>
      </c>
      <c r="T3" s="442"/>
      <c r="U3" s="436" t="s">
        <v>487</v>
      </c>
      <c r="V3" s="436" t="s">
        <v>467</v>
      </c>
      <c r="W3" s="446" t="s">
        <v>468</v>
      </c>
      <c r="X3" s="446" t="s">
        <v>95</v>
      </c>
      <c r="Y3" s="446" t="s">
        <v>111</v>
      </c>
      <c r="Z3" s="450" t="s">
        <v>469</v>
      </c>
      <c r="AA3" s="446" t="s">
        <v>160</v>
      </c>
      <c r="AB3" s="446" t="s">
        <v>470</v>
      </c>
      <c r="AC3" s="446" t="s">
        <v>472</v>
      </c>
      <c r="AD3" s="446" t="s">
        <v>488</v>
      </c>
      <c r="AE3" s="446" t="s">
        <v>471</v>
      </c>
      <c r="AF3" s="444" t="s">
        <v>489</v>
      </c>
      <c r="AG3" s="446" t="s">
        <v>116</v>
      </c>
      <c r="AH3" s="446" t="s">
        <v>474</v>
      </c>
    </row>
    <row r="4" spans="1:76" ht="46.5" customHeight="1">
      <c r="A4" s="437"/>
      <c r="B4" s="445"/>
      <c r="C4" s="445"/>
      <c r="D4" s="445"/>
      <c r="E4" s="445"/>
      <c r="F4" s="445"/>
      <c r="G4" s="445"/>
      <c r="H4" s="447"/>
      <c r="I4" s="437"/>
      <c r="J4" s="447"/>
      <c r="K4" s="449"/>
      <c r="L4" s="195" t="s">
        <v>475</v>
      </c>
      <c r="M4" s="195" t="s">
        <v>483</v>
      </c>
      <c r="N4" s="240" t="s">
        <v>476</v>
      </c>
      <c r="O4" s="195" t="s">
        <v>484</v>
      </c>
      <c r="P4" s="241" t="s">
        <v>477</v>
      </c>
      <c r="Q4" s="196" t="s">
        <v>485</v>
      </c>
      <c r="R4" s="196" t="s">
        <v>486</v>
      </c>
      <c r="S4" s="224" t="s">
        <v>478</v>
      </c>
      <c r="T4" s="224" t="s">
        <v>479</v>
      </c>
      <c r="U4" s="437"/>
      <c r="V4" s="437"/>
      <c r="W4" s="447"/>
      <c r="X4" s="447"/>
      <c r="Y4" s="447"/>
      <c r="Z4" s="451"/>
      <c r="AA4" s="447"/>
      <c r="AB4" s="447"/>
      <c r="AC4" s="447"/>
      <c r="AD4" s="445"/>
      <c r="AE4" s="447"/>
      <c r="AF4" s="445"/>
      <c r="AG4" s="445"/>
      <c r="AH4" s="445"/>
    </row>
    <row r="5" spans="1:76" ht="15.75" hidden="1" customHeight="1">
      <c r="A5" s="161" t="s">
        <v>22</v>
      </c>
      <c r="B5" s="161">
        <v>1</v>
      </c>
      <c r="C5" s="161">
        <v>1</v>
      </c>
      <c r="D5" s="161">
        <v>2</v>
      </c>
      <c r="E5" s="161">
        <v>3</v>
      </c>
      <c r="F5" s="161">
        <v>1</v>
      </c>
      <c r="G5" s="161">
        <v>1</v>
      </c>
      <c r="H5" s="161">
        <v>1</v>
      </c>
      <c r="I5" s="161">
        <v>1</v>
      </c>
      <c r="J5" s="161">
        <v>1</v>
      </c>
      <c r="K5" s="161">
        <v>1</v>
      </c>
      <c r="L5" s="161">
        <v>1</v>
      </c>
      <c r="M5" s="161">
        <v>4</v>
      </c>
      <c r="N5" s="161">
        <v>5</v>
      </c>
      <c r="O5" s="161">
        <v>6</v>
      </c>
      <c r="P5" s="161">
        <f t="shared" ref="P5:AG5" si="0">COLUMN()-1</f>
        <v>15</v>
      </c>
      <c r="Q5" s="161">
        <f t="shared" si="0"/>
        <v>16</v>
      </c>
      <c r="R5" s="161">
        <f t="shared" si="0"/>
        <v>17</v>
      </c>
      <c r="S5" s="225">
        <f t="shared" si="0"/>
        <v>18</v>
      </c>
      <c r="T5" s="225">
        <f t="shared" si="0"/>
        <v>19</v>
      </c>
      <c r="U5" s="161">
        <f t="shared" si="0"/>
        <v>20</v>
      </c>
      <c r="V5" s="225">
        <v>7</v>
      </c>
      <c r="W5" s="161">
        <v>8</v>
      </c>
      <c r="X5" s="161"/>
      <c r="Y5" s="161">
        <v>9</v>
      </c>
      <c r="Z5" s="161"/>
      <c r="AA5" s="161">
        <f>COLUMN()-1</f>
        <v>26</v>
      </c>
      <c r="AB5" s="225">
        <f t="shared" si="0"/>
        <v>27</v>
      </c>
      <c r="AC5" s="225">
        <f t="shared" si="0"/>
        <v>28</v>
      </c>
      <c r="AD5" s="225">
        <f t="shared" si="0"/>
        <v>29</v>
      </c>
      <c r="AE5" s="225">
        <f t="shared" si="0"/>
        <v>30</v>
      </c>
      <c r="AF5" s="225">
        <f t="shared" si="0"/>
        <v>31</v>
      </c>
      <c r="AG5" s="161">
        <f t="shared" si="0"/>
        <v>32</v>
      </c>
      <c r="AH5" s="214"/>
    </row>
    <row r="6" spans="1:76" s="114" customFormat="1" ht="17.45" customHeight="1">
      <c r="A6" s="162">
        <f>COLUMN()</f>
        <v>1</v>
      </c>
      <c r="B6" s="162">
        <v>2</v>
      </c>
      <c r="C6" s="162">
        <v>3</v>
      </c>
      <c r="D6" s="162">
        <v>4</v>
      </c>
      <c r="E6" s="162">
        <v>5</v>
      </c>
      <c r="F6" s="162">
        <v>6</v>
      </c>
      <c r="G6" s="162">
        <v>7</v>
      </c>
      <c r="H6" s="162">
        <v>8</v>
      </c>
      <c r="I6" s="162">
        <v>9</v>
      </c>
      <c r="J6" s="162">
        <v>10</v>
      </c>
      <c r="K6" s="162">
        <v>11</v>
      </c>
      <c r="L6" s="162">
        <v>12</v>
      </c>
      <c r="M6" s="162">
        <v>13</v>
      </c>
      <c r="N6" s="162">
        <v>14</v>
      </c>
      <c r="O6" s="162">
        <v>15</v>
      </c>
      <c r="P6" s="162">
        <v>16</v>
      </c>
      <c r="Q6" s="162">
        <v>17</v>
      </c>
      <c r="R6" s="162">
        <v>18</v>
      </c>
      <c r="S6" s="162">
        <v>19</v>
      </c>
      <c r="T6" s="162">
        <v>20</v>
      </c>
      <c r="U6" s="162">
        <v>21</v>
      </c>
      <c r="V6" s="162">
        <v>22</v>
      </c>
      <c r="W6" s="162">
        <v>23</v>
      </c>
      <c r="X6" s="162">
        <v>24</v>
      </c>
      <c r="Y6" s="162">
        <v>25</v>
      </c>
      <c r="Z6" s="162">
        <v>26</v>
      </c>
      <c r="AA6" s="162">
        <v>27</v>
      </c>
      <c r="AB6" s="162">
        <v>28</v>
      </c>
      <c r="AC6" s="162">
        <v>29</v>
      </c>
      <c r="AD6" s="162">
        <v>30</v>
      </c>
      <c r="AE6" s="162">
        <v>31</v>
      </c>
      <c r="AF6" s="162">
        <v>32</v>
      </c>
      <c r="AG6" s="162">
        <v>33</v>
      </c>
      <c r="AH6" s="162">
        <v>34</v>
      </c>
      <c r="AI6" s="211"/>
      <c r="AJ6" s="211" t="s">
        <v>239</v>
      </c>
      <c r="AK6" s="211" t="s">
        <v>236</v>
      </c>
      <c r="AL6" s="212"/>
      <c r="AM6" s="212"/>
      <c r="AN6" s="212"/>
      <c r="AO6" s="212"/>
      <c r="AP6" s="212"/>
      <c r="AQ6" s="212"/>
      <c r="AR6" s="212"/>
      <c r="AS6" s="212"/>
      <c r="AT6" s="212"/>
      <c r="AU6" s="212"/>
      <c r="AV6" s="212"/>
      <c r="AW6" s="212"/>
      <c r="AX6" s="212"/>
      <c r="AY6" s="212"/>
      <c r="AZ6" s="212"/>
      <c r="BA6" s="212"/>
      <c r="BB6" s="212"/>
      <c r="BC6" s="212"/>
      <c r="BD6" s="212"/>
      <c r="BE6" s="212"/>
      <c r="BF6" s="212"/>
      <c r="BG6" s="212"/>
      <c r="BH6" s="212"/>
      <c r="BI6" s="212"/>
      <c r="BJ6" s="212"/>
      <c r="BK6" s="212"/>
      <c r="BL6" s="212"/>
      <c r="BM6" s="212"/>
      <c r="BN6" s="212"/>
      <c r="BO6" s="212"/>
      <c r="BP6" s="212"/>
      <c r="BQ6" s="212"/>
      <c r="BR6" s="212"/>
      <c r="BS6" s="212"/>
      <c r="BT6" s="212"/>
      <c r="BU6" s="212"/>
      <c r="BV6" s="212"/>
      <c r="BW6" s="212"/>
      <c r="BX6" s="212"/>
    </row>
    <row r="7" spans="1:76" s="243" customFormat="1" ht="22.5" customHeight="1">
      <c r="A7" s="235">
        <v>2</v>
      </c>
      <c r="B7" s="235">
        <v>123456</v>
      </c>
      <c r="C7" s="235">
        <v>321312</v>
      </c>
      <c r="D7" s="415">
        <v>456498</v>
      </c>
      <c r="E7" s="416">
        <v>123213</v>
      </c>
      <c r="F7" s="235" t="s">
        <v>736</v>
      </c>
      <c r="G7" s="235" t="s">
        <v>736</v>
      </c>
      <c r="H7" s="235" t="s">
        <v>6</v>
      </c>
      <c r="I7" s="235" t="s">
        <v>533</v>
      </c>
      <c r="J7" s="235" t="s">
        <v>120</v>
      </c>
      <c r="K7" s="207">
        <v>34700</v>
      </c>
      <c r="L7" s="207">
        <v>34700</v>
      </c>
      <c r="M7" s="235" t="s">
        <v>686</v>
      </c>
      <c r="N7" s="207">
        <v>34700</v>
      </c>
      <c r="O7" s="418">
        <v>0</v>
      </c>
      <c r="P7" s="207">
        <v>34700</v>
      </c>
      <c r="Q7" s="207">
        <v>34700</v>
      </c>
      <c r="R7" s="207">
        <v>34700</v>
      </c>
      <c r="S7" s="207" t="s">
        <v>737</v>
      </c>
      <c r="T7" s="207" t="s">
        <v>492</v>
      </c>
      <c r="U7" s="207" t="s">
        <v>338</v>
      </c>
      <c r="V7" s="208" t="s">
        <v>258</v>
      </c>
      <c r="W7" s="208" t="s">
        <v>510</v>
      </c>
      <c r="X7" s="208" t="s">
        <v>219</v>
      </c>
      <c r="Y7" s="208" t="s">
        <v>110</v>
      </c>
      <c r="Z7" s="208" t="s">
        <v>738</v>
      </c>
      <c r="AA7" s="208" t="s">
        <v>152</v>
      </c>
      <c r="AB7" s="204">
        <v>0</v>
      </c>
      <c r="AC7" s="204" t="s">
        <v>739</v>
      </c>
      <c r="AD7" s="204" t="s">
        <v>148</v>
      </c>
      <c r="AE7" s="204" t="s">
        <v>128</v>
      </c>
      <c r="AF7" s="204" t="s">
        <v>152</v>
      </c>
      <c r="AG7" s="204" t="s">
        <v>686</v>
      </c>
      <c r="AH7" s="204" t="s">
        <v>686</v>
      </c>
      <c r="AI7" s="211"/>
      <c r="AJ7" s="211">
        <f t="shared" ref="AJ7:AJ45" ca="1" si="1">IF(TRIM(K7)&lt;&gt;"",DATEDIF(K7,TODAY(),"y"),0)</f>
        <v>26</v>
      </c>
      <c r="AK7" s="211">
        <f t="shared" ref="AK7:AK45" ca="1" si="2">IF(TRIM(P7)&lt;&gt;"",DATEDIF(P7,TODAY(),"m"),0)</f>
        <v>318</v>
      </c>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2"/>
      <c r="BT7" s="212"/>
      <c r="BU7" s="212"/>
      <c r="BV7" s="212"/>
      <c r="BW7" s="212"/>
      <c r="BX7" s="212"/>
    </row>
    <row r="8" spans="1:76" s="243" customFormat="1" ht="22.5" customHeight="1">
      <c r="A8" s="235">
        <v>3</v>
      </c>
      <c r="B8" s="235">
        <v>170608</v>
      </c>
      <c r="C8" s="235">
        <v>79461356</v>
      </c>
      <c r="D8" s="415">
        <v>142678615</v>
      </c>
      <c r="E8" s="416">
        <v>13265478</v>
      </c>
      <c r="F8" s="235" t="s">
        <v>732</v>
      </c>
      <c r="G8" s="235" t="s">
        <v>732</v>
      </c>
      <c r="H8" s="235" t="s">
        <v>6</v>
      </c>
      <c r="I8" s="235" t="s">
        <v>532</v>
      </c>
      <c r="J8" s="235" t="s">
        <v>120</v>
      </c>
      <c r="K8" s="207">
        <v>35001</v>
      </c>
      <c r="L8" s="207">
        <v>36892</v>
      </c>
      <c r="M8" s="235" t="s">
        <v>683</v>
      </c>
      <c r="N8" s="207">
        <v>36893</v>
      </c>
      <c r="O8" s="207" t="s">
        <v>683</v>
      </c>
      <c r="P8" s="207">
        <v>36894</v>
      </c>
      <c r="Q8" s="207">
        <v>36895</v>
      </c>
      <c r="R8" s="207">
        <v>36896</v>
      </c>
      <c r="S8" s="207" t="s">
        <v>734</v>
      </c>
      <c r="T8" s="207" t="s">
        <v>492</v>
      </c>
      <c r="U8" s="207" t="s">
        <v>337</v>
      </c>
      <c r="V8" s="208" t="s">
        <v>257</v>
      </c>
      <c r="W8" s="208" t="s">
        <v>510</v>
      </c>
      <c r="X8" s="208" t="s">
        <v>219</v>
      </c>
      <c r="Y8" s="208" t="s">
        <v>110</v>
      </c>
      <c r="Z8" s="208" t="s">
        <v>548</v>
      </c>
      <c r="AA8" s="208" t="s">
        <v>4</v>
      </c>
      <c r="AB8" s="204">
        <v>0</v>
      </c>
      <c r="AC8" s="204" t="s">
        <v>735</v>
      </c>
      <c r="AD8" s="204" t="s">
        <v>148</v>
      </c>
      <c r="AE8" s="204" t="s">
        <v>127</v>
      </c>
      <c r="AF8" s="204" t="s">
        <v>151</v>
      </c>
      <c r="AG8" s="204" t="s">
        <v>686</v>
      </c>
      <c r="AH8" s="204" t="s">
        <v>686</v>
      </c>
      <c r="AI8" s="211"/>
      <c r="AJ8" s="211"/>
      <c r="AK8" s="211"/>
      <c r="AL8" s="212"/>
      <c r="AM8" s="212"/>
      <c r="AN8" s="212"/>
      <c r="AO8" s="212"/>
      <c r="AP8" s="212"/>
      <c r="AQ8" s="212"/>
      <c r="AR8" s="212"/>
      <c r="AS8" s="212"/>
      <c r="AT8" s="212"/>
      <c r="AU8" s="212"/>
      <c r="AV8" s="212"/>
      <c r="AW8" s="212"/>
      <c r="AX8" s="212"/>
      <c r="AY8" s="212"/>
      <c r="AZ8" s="212"/>
      <c r="BA8" s="212"/>
      <c r="BB8" s="212"/>
      <c r="BC8" s="212"/>
      <c r="BD8" s="212"/>
      <c r="BE8" s="212"/>
      <c r="BF8" s="212"/>
      <c r="BG8" s="212"/>
      <c r="BH8" s="212"/>
      <c r="BI8" s="212"/>
      <c r="BJ8" s="212"/>
      <c r="BK8" s="212"/>
      <c r="BL8" s="212"/>
      <c r="BM8" s="212"/>
      <c r="BN8" s="212"/>
      <c r="BO8" s="212"/>
      <c r="BP8" s="212"/>
      <c r="BQ8" s="212"/>
      <c r="BR8" s="212"/>
      <c r="BS8" s="212"/>
      <c r="BT8" s="212"/>
      <c r="BU8" s="212"/>
      <c r="BV8" s="212"/>
      <c r="BW8" s="212"/>
      <c r="BX8" s="212"/>
    </row>
    <row r="9" spans="1:76" s="209" customFormat="1" ht="22.5" customHeight="1">
      <c r="A9" s="235">
        <v>4</v>
      </c>
      <c r="B9" s="235">
        <v>920016</v>
      </c>
      <c r="C9" s="235">
        <v>77194808</v>
      </c>
      <c r="D9" s="235">
        <v>111111</v>
      </c>
      <c r="E9" s="204">
        <v>22222</v>
      </c>
      <c r="F9" s="235" t="s">
        <v>549</v>
      </c>
      <c r="G9" s="235" t="s">
        <v>549</v>
      </c>
      <c r="H9" s="235" t="s">
        <v>6</v>
      </c>
      <c r="I9" s="235" t="s">
        <v>545</v>
      </c>
      <c r="J9" s="235" t="s">
        <v>121</v>
      </c>
      <c r="K9" s="207">
        <v>30339</v>
      </c>
      <c r="L9" s="207">
        <v>38236</v>
      </c>
      <c r="M9" s="235" t="s">
        <v>565</v>
      </c>
      <c r="N9" s="207">
        <v>38601</v>
      </c>
      <c r="O9" s="207" t="s">
        <v>566</v>
      </c>
      <c r="P9" s="207">
        <v>37531</v>
      </c>
      <c r="Q9" s="207">
        <v>39083</v>
      </c>
      <c r="R9" s="207"/>
      <c r="S9" s="207" t="s">
        <v>550</v>
      </c>
      <c r="T9" s="207" t="s">
        <v>135</v>
      </c>
      <c r="U9" s="207" t="s">
        <v>348</v>
      </c>
      <c r="V9" s="208" t="s">
        <v>266</v>
      </c>
      <c r="W9" s="208" t="s">
        <v>511</v>
      </c>
      <c r="X9" s="208" t="s">
        <v>219</v>
      </c>
      <c r="Y9" s="208" t="s">
        <v>110</v>
      </c>
      <c r="Z9" s="208" t="s">
        <v>548</v>
      </c>
      <c r="AA9" s="208" t="s">
        <v>15</v>
      </c>
      <c r="AB9" s="204" t="s">
        <v>15</v>
      </c>
      <c r="AC9" s="204" t="s">
        <v>149</v>
      </c>
      <c r="AD9" s="204" t="s">
        <v>15</v>
      </c>
      <c r="AE9" s="204" t="s">
        <v>551</v>
      </c>
      <c r="AF9" s="204"/>
      <c r="AG9" s="204" t="s">
        <v>552</v>
      </c>
      <c r="AH9" s="204" t="s">
        <v>553</v>
      </c>
      <c r="AI9" s="211"/>
      <c r="AJ9" s="93">
        <f t="shared" ca="1" si="1"/>
        <v>38</v>
      </c>
      <c r="AK9" s="93">
        <f t="shared" ca="1" si="2"/>
        <v>225</v>
      </c>
      <c r="AL9" s="213"/>
      <c r="AM9" s="213"/>
      <c r="AN9" s="213"/>
      <c r="AO9" s="213"/>
      <c r="AP9" s="213"/>
      <c r="AQ9" s="213"/>
      <c r="AR9" s="213"/>
      <c r="AS9" s="213"/>
      <c r="AT9" s="213"/>
      <c r="AU9" s="213"/>
      <c r="AV9" s="213"/>
      <c r="AW9" s="213"/>
      <c r="AX9" s="213"/>
      <c r="AY9" s="213"/>
      <c r="AZ9" s="213"/>
      <c r="BA9" s="213"/>
      <c r="BB9" s="213"/>
      <c r="BC9" s="213"/>
      <c r="BD9" s="213"/>
      <c r="BE9" s="213"/>
      <c r="BF9" s="213"/>
      <c r="BG9" s="213"/>
      <c r="BH9" s="213"/>
      <c r="BI9" s="213"/>
      <c r="BJ9" s="213"/>
      <c r="BK9" s="213"/>
      <c r="BL9" s="213"/>
      <c r="BM9" s="213"/>
      <c r="BN9" s="213"/>
      <c r="BO9" s="213"/>
      <c r="BP9" s="213"/>
      <c r="BQ9" s="213"/>
      <c r="BR9" s="213"/>
      <c r="BS9" s="213"/>
      <c r="BT9" s="213"/>
      <c r="BU9" s="213"/>
      <c r="BV9" s="213"/>
      <c r="BW9" s="213"/>
      <c r="BX9" s="213"/>
    </row>
    <row r="10" spans="1:76" s="209" customFormat="1" ht="22.5" customHeight="1">
      <c r="A10" s="235">
        <v>5</v>
      </c>
      <c r="B10" s="235"/>
      <c r="C10" s="235"/>
      <c r="D10" s="203"/>
      <c r="E10" s="204"/>
      <c r="F10" s="235"/>
      <c r="G10" s="235"/>
      <c r="H10" s="203"/>
      <c r="I10" s="203"/>
      <c r="J10" s="203"/>
      <c r="K10" s="205"/>
      <c r="L10" s="206"/>
      <c r="M10" s="203"/>
      <c r="N10" s="207"/>
      <c r="O10" s="207"/>
      <c r="P10" s="207"/>
      <c r="Q10" s="207"/>
      <c r="R10" s="206"/>
      <c r="S10" s="205"/>
      <c r="T10" s="205"/>
      <c r="U10" s="207"/>
      <c r="V10" s="226"/>
      <c r="W10" s="208"/>
      <c r="X10" s="208"/>
      <c r="Y10" s="208"/>
      <c r="Z10" s="208"/>
      <c r="AA10" s="208"/>
      <c r="AB10" s="210"/>
      <c r="AC10" s="210"/>
      <c r="AD10" s="210"/>
      <c r="AE10" s="210"/>
      <c r="AF10" s="210"/>
      <c r="AG10" s="210"/>
      <c r="AH10" s="210"/>
      <c r="AI10" s="93"/>
      <c r="AJ10" s="93">
        <f t="shared" ca="1" si="1"/>
        <v>0</v>
      </c>
      <c r="AK10" s="93">
        <f t="shared" ca="1" si="2"/>
        <v>0</v>
      </c>
      <c r="AL10" s="213"/>
      <c r="AM10" s="213"/>
      <c r="AN10" s="213"/>
      <c r="AO10" s="213"/>
      <c r="AP10" s="213"/>
      <c r="AQ10" s="213"/>
      <c r="AR10" s="213"/>
      <c r="AS10" s="213"/>
      <c r="AT10" s="213"/>
      <c r="AU10" s="213"/>
      <c r="AV10" s="213"/>
      <c r="AW10" s="213"/>
      <c r="AX10" s="213"/>
      <c r="AY10" s="213"/>
      <c r="AZ10" s="213"/>
      <c r="BA10" s="213"/>
      <c r="BB10" s="213"/>
      <c r="BC10" s="213"/>
      <c r="BD10" s="213"/>
      <c r="BE10" s="213"/>
      <c r="BF10" s="213"/>
      <c r="BG10" s="213"/>
      <c r="BH10" s="213"/>
      <c r="BI10" s="213"/>
      <c r="BJ10" s="213"/>
      <c r="BK10" s="213"/>
      <c r="BL10" s="213"/>
      <c r="BM10" s="213"/>
      <c r="BN10" s="213"/>
      <c r="BO10" s="213"/>
      <c r="BP10" s="213"/>
      <c r="BQ10" s="213"/>
      <c r="BR10" s="213"/>
      <c r="BS10" s="213"/>
      <c r="BT10" s="213"/>
      <c r="BU10" s="213"/>
      <c r="BV10" s="213"/>
      <c r="BW10" s="213"/>
      <c r="BX10" s="213"/>
    </row>
    <row r="11" spans="1:76" s="209" customFormat="1" ht="22.5" customHeight="1">
      <c r="A11" s="235">
        <v>6</v>
      </c>
      <c r="B11" s="235"/>
      <c r="C11" s="235"/>
      <c r="D11" s="203"/>
      <c r="E11" s="204"/>
      <c r="F11" s="235"/>
      <c r="G11" s="235"/>
      <c r="H11" s="203"/>
      <c r="I11" s="203"/>
      <c r="J11" s="203"/>
      <c r="K11" s="205"/>
      <c r="L11" s="206"/>
      <c r="M11" s="203"/>
      <c r="N11" s="207"/>
      <c r="O11" s="207"/>
      <c r="P11" s="207"/>
      <c r="Q11" s="207"/>
      <c r="R11" s="206"/>
      <c r="S11" s="205"/>
      <c r="T11" s="205"/>
      <c r="U11" s="207"/>
      <c r="V11" s="226"/>
      <c r="W11" s="208"/>
      <c r="X11" s="208"/>
      <c r="Y11" s="208"/>
      <c r="Z11" s="208"/>
      <c r="AA11" s="208"/>
      <c r="AB11" s="210"/>
      <c r="AC11" s="210"/>
      <c r="AD11" s="210"/>
      <c r="AE11" s="210"/>
      <c r="AF11" s="210"/>
      <c r="AG11" s="210"/>
      <c r="AH11" s="210"/>
      <c r="AI11" s="93"/>
      <c r="AJ11" s="93">
        <f t="shared" ca="1" si="1"/>
        <v>0</v>
      </c>
      <c r="AK11" s="93">
        <f t="shared" ca="1" si="2"/>
        <v>0</v>
      </c>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row>
    <row r="12" spans="1:76" s="209" customFormat="1" ht="22.5" customHeight="1">
      <c r="A12" s="235">
        <v>7</v>
      </c>
      <c r="B12" s="235"/>
      <c r="C12" s="235"/>
      <c r="D12" s="203"/>
      <c r="E12" s="204"/>
      <c r="F12" s="235"/>
      <c r="G12" s="235"/>
      <c r="H12" s="203"/>
      <c r="I12" s="203"/>
      <c r="J12" s="203"/>
      <c r="K12" s="205"/>
      <c r="L12" s="206"/>
      <c r="M12" s="203"/>
      <c r="N12" s="207"/>
      <c r="O12" s="207"/>
      <c r="P12" s="207"/>
      <c r="Q12" s="207"/>
      <c r="R12" s="206"/>
      <c r="S12" s="205"/>
      <c r="T12" s="205"/>
      <c r="U12" s="207"/>
      <c r="V12" s="226"/>
      <c r="W12" s="208"/>
      <c r="X12" s="208"/>
      <c r="Y12" s="208"/>
      <c r="Z12" s="208"/>
      <c r="AA12" s="208"/>
      <c r="AB12" s="210"/>
      <c r="AC12" s="210"/>
      <c r="AD12" s="210"/>
      <c r="AE12" s="210"/>
      <c r="AF12" s="210"/>
      <c r="AG12" s="210"/>
      <c r="AH12" s="210"/>
      <c r="AI12" s="93"/>
      <c r="AJ12" s="93">
        <f t="shared" ca="1" si="1"/>
        <v>0</v>
      </c>
      <c r="AK12" s="93">
        <f t="shared" ca="1" si="2"/>
        <v>0</v>
      </c>
      <c r="AL12" s="213"/>
      <c r="AM12" s="213"/>
      <c r="AN12" s="213"/>
      <c r="AO12" s="213"/>
      <c r="AP12" s="213"/>
      <c r="AQ12" s="213"/>
      <c r="AR12" s="213"/>
      <c r="AS12" s="213"/>
      <c r="AT12" s="213"/>
      <c r="AU12" s="213"/>
      <c r="AV12" s="213"/>
      <c r="AW12" s="213"/>
      <c r="AX12" s="213"/>
      <c r="AY12" s="213"/>
      <c r="AZ12" s="213"/>
      <c r="BA12" s="213"/>
      <c r="BB12" s="213"/>
      <c r="BC12" s="213"/>
      <c r="BD12" s="213"/>
      <c r="BE12" s="213"/>
      <c r="BF12" s="213"/>
      <c r="BG12" s="213"/>
      <c r="BH12" s="213"/>
      <c r="BI12" s="213"/>
      <c r="BJ12" s="213"/>
      <c r="BK12" s="213"/>
      <c r="BL12" s="213"/>
      <c r="BM12" s="213"/>
      <c r="BN12" s="213"/>
      <c r="BO12" s="213"/>
      <c r="BP12" s="213"/>
      <c r="BQ12" s="213"/>
      <c r="BR12" s="213"/>
      <c r="BS12" s="213"/>
      <c r="BT12" s="213"/>
      <c r="BU12" s="213"/>
      <c r="BV12" s="213"/>
      <c r="BW12" s="213"/>
      <c r="BX12" s="213"/>
    </row>
    <row r="13" spans="1:76" s="209" customFormat="1" ht="22.5" customHeight="1">
      <c r="A13" s="235">
        <v>8</v>
      </c>
      <c r="B13" s="235"/>
      <c r="C13" s="235"/>
      <c r="D13" s="203"/>
      <c r="E13" s="204"/>
      <c r="F13" s="235"/>
      <c r="G13" s="235"/>
      <c r="H13" s="203"/>
      <c r="I13" s="203"/>
      <c r="J13" s="203"/>
      <c r="K13" s="205"/>
      <c r="L13" s="206"/>
      <c r="M13" s="203"/>
      <c r="N13" s="207"/>
      <c r="O13" s="207"/>
      <c r="P13" s="207"/>
      <c r="Q13" s="207"/>
      <c r="R13" s="206"/>
      <c r="S13" s="205"/>
      <c r="T13" s="205"/>
      <c r="U13" s="207"/>
      <c r="V13" s="226"/>
      <c r="W13" s="208"/>
      <c r="X13" s="208"/>
      <c r="Y13" s="208"/>
      <c r="Z13" s="208"/>
      <c r="AA13" s="208"/>
      <c r="AB13" s="210"/>
      <c r="AC13" s="210"/>
      <c r="AD13" s="210"/>
      <c r="AE13" s="210"/>
      <c r="AF13" s="210"/>
      <c r="AG13" s="210"/>
      <c r="AH13" s="210"/>
      <c r="AI13" s="93"/>
      <c r="AJ13" s="93">
        <f t="shared" ca="1" si="1"/>
        <v>0</v>
      </c>
      <c r="AK13" s="93">
        <f t="shared" ca="1" si="2"/>
        <v>0</v>
      </c>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3"/>
      <c r="BN13" s="213"/>
      <c r="BO13" s="213"/>
      <c r="BP13" s="213"/>
      <c r="BQ13" s="213"/>
      <c r="BR13" s="213"/>
      <c r="BS13" s="213"/>
      <c r="BT13" s="213"/>
      <c r="BU13" s="213"/>
      <c r="BV13" s="213"/>
      <c r="BW13" s="213"/>
      <c r="BX13" s="213"/>
    </row>
    <row r="14" spans="1:76" s="209" customFormat="1" ht="22.5" customHeight="1">
      <c r="A14" s="235">
        <v>9</v>
      </c>
      <c r="B14" s="235"/>
      <c r="C14" s="235"/>
      <c r="D14" s="203"/>
      <c r="E14" s="204"/>
      <c r="F14" s="235"/>
      <c r="G14" s="235"/>
      <c r="H14" s="203"/>
      <c r="I14" s="203"/>
      <c r="J14" s="203"/>
      <c r="K14" s="205"/>
      <c r="L14" s="206"/>
      <c r="M14" s="203"/>
      <c r="N14" s="207"/>
      <c r="O14" s="207"/>
      <c r="P14" s="207"/>
      <c r="Q14" s="207"/>
      <c r="R14" s="206"/>
      <c r="S14" s="205"/>
      <c r="T14" s="205"/>
      <c r="U14" s="207"/>
      <c r="V14" s="226"/>
      <c r="W14" s="208"/>
      <c r="X14" s="208"/>
      <c r="Y14" s="208"/>
      <c r="Z14" s="208"/>
      <c r="AA14" s="208"/>
      <c r="AB14" s="210"/>
      <c r="AC14" s="210"/>
      <c r="AD14" s="210"/>
      <c r="AE14" s="210"/>
      <c r="AF14" s="210"/>
      <c r="AG14" s="210"/>
      <c r="AH14" s="210"/>
      <c r="AI14" s="93"/>
      <c r="AJ14" s="93">
        <f t="shared" ca="1" si="1"/>
        <v>0</v>
      </c>
      <c r="AK14" s="93">
        <f t="shared" ca="1" si="2"/>
        <v>0</v>
      </c>
      <c r="AL14" s="213"/>
      <c r="AM14" s="213"/>
      <c r="AN14" s="213"/>
      <c r="AO14" s="213"/>
      <c r="AP14" s="213"/>
      <c r="AQ14" s="213"/>
      <c r="AR14" s="213"/>
      <c r="AS14" s="213"/>
      <c r="AT14" s="213"/>
      <c r="AU14" s="213"/>
      <c r="AV14" s="213"/>
      <c r="AW14" s="213"/>
      <c r="AX14" s="213"/>
      <c r="AY14" s="213"/>
      <c r="AZ14" s="213"/>
      <c r="BA14" s="213"/>
      <c r="BB14" s="213"/>
      <c r="BC14" s="213"/>
      <c r="BD14" s="213"/>
      <c r="BE14" s="213"/>
      <c r="BF14" s="213"/>
      <c r="BG14" s="213"/>
      <c r="BH14" s="213"/>
      <c r="BI14" s="213"/>
      <c r="BJ14" s="213"/>
      <c r="BK14" s="213"/>
      <c r="BL14" s="213"/>
      <c r="BM14" s="213"/>
      <c r="BN14" s="213"/>
      <c r="BO14" s="213"/>
      <c r="BP14" s="213"/>
      <c r="BQ14" s="213"/>
      <c r="BR14" s="213"/>
      <c r="BS14" s="213"/>
      <c r="BT14" s="213"/>
      <c r="BU14" s="213"/>
      <c r="BV14" s="213"/>
      <c r="BW14" s="213"/>
      <c r="BX14" s="213"/>
    </row>
    <row r="15" spans="1:76" s="209" customFormat="1" ht="22.5" customHeight="1">
      <c r="A15" s="235">
        <v>10</v>
      </c>
      <c r="B15" s="235"/>
      <c r="C15" s="235"/>
      <c r="D15" s="203"/>
      <c r="E15" s="204"/>
      <c r="F15" s="235"/>
      <c r="G15" s="235"/>
      <c r="H15" s="203"/>
      <c r="I15" s="203"/>
      <c r="J15" s="203"/>
      <c r="K15" s="205"/>
      <c r="L15" s="206"/>
      <c r="M15" s="203"/>
      <c r="N15" s="207"/>
      <c r="O15" s="207"/>
      <c r="P15" s="207"/>
      <c r="Q15" s="207"/>
      <c r="R15" s="206"/>
      <c r="S15" s="205"/>
      <c r="T15" s="205"/>
      <c r="U15" s="207"/>
      <c r="V15" s="226"/>
      <c r="W15" s="208"/>
      <c r="X15" s="208"/>
      <c r="Y15" s="208"/>
      <c r="Z15" s="208"/>
      <c r="AA15" s="208"/>
      <c r="AB15" s="210"/>
      <c r="AC15" s="210"/>
      <c r="AD15" s="210"/>
      <c r="AE15" s="210"/>
      <c r="AF15" s="210"/>
      <c r="AG15" s="210"/>
      <c r="AH15" s="210"/>
      <c r="AI15" s="93"/>
      <c r="AJ15" s="93">
        <f t="shared" ca="1" si="1"/>
        <v>0</v>
      </c>
      <c r="AK15" s="93">
        <f t="shared" ca="1" si="2"/>
        <v>0</v>
      </c>
      <c r="AL15" s="213"/>
      <c r="AM15" s="213"/>
      <c r="AN15" s="213"/>
      <c r="AO15" s="213"/>
      <c r="AP15" s="213"/>
      <c r="AQ15" s="213"/>
      <c r="AR15" s="213"/>
      <c r="AS15" s="213"/>
      <c r="AT15" s="213"/>
      <c r="AU15" s="213"/>
      <c r="AV15" s="213"/>
      <c r="AW15" s="213"/>
      <c r="AX15" s="213"/>
      <c r="AY15" s="213"/>
      <c r="AZ15" s="213"/>
      <c r="BA15" s="213"/>
      <c r="BB15" s="213"/>
      <c r="BC15" s="213"/>
      <c r="BD15" s="213"/>
      <c r="BE15" s="213"/>
      <c r="BF15" s="213"/>
      <c r="BG15" s="213"/>
      <c r="BH15" s="213"/>
      <c r="BI15" s="213"/>
      <c r="BJ15" s="213"/>
      <c r="BK15" s="213"/>
      <c r="BL15" s="213"/>
      <c r="BM15" s="213"/>
      <c r="BN15" s="213"/>
      <c r="BO15" s="213"/>
      <c r="BP15" s="213"/>
      <c r="BQ15" s="213"/>
      <c r="BR15" s="213"/>
      <c r="BS15" s="213"/>
      <c r="BT15" s="213"/>
      <c r="BU15" s="213"/>
      <c r="BV15" s="213"/>
      <c r="BW15" s="213"/>
      <c r="BX15" s="213"/>
    </row>
    <row r="16" spans="1:76" s="209" customFormat="1" ht="22.5" customHeight="1">
      <c r="A16" s="235">
        <v>11</v>
      </c>
      <c r="B16" s="235"/>
      <c r="C16" s="235"/>
      <c r="D16" s="203"/>
      <c r="E16" s="204"/>
      <c r="F16" s="235"/>
      <c r="G16" s="235"/>
      <c r="H16" s="203"/>
      <c r="I16" s="203"/>
      <c r="J16" s="203"/>
      <c r="K16" s="205"/>
      <c r="L16" s="206"/>
      <c r="M16" s="203"/>
      <c r="N16" s="207"/>
      <c r="O16" s="207"/>
      <c r="P16" s="207"/>
      <c r="Q16" s="207"/>
      <c r="R16" s="206"/>
      <c r="S16" s="205"/>
      <c r="T16" s="205"/>
      <c r="U16" s="207"/>
      <c r="V16" s="226"/>
      <c r="W16" s="208"/>
      <c r="X16" s="208"/>
      <c r="Y16" s="208"/>
      <c r="Z16" s="208"/>
      <c r="AA16" s="208"/>
      <c r="AB16" s="210"/>
      <c r="AC16" s="210"/>
      <c r="AD16" s="210"/>
      <c r="AE16" s="210"/>
      <c r="AF16" s="210"/>
      <c r="AG16" s="210"/>
      <c r="AH16" s="210"/>
      <c r="AI16" s="93"/>
      <c r="AJ16" s="93">
        <f t="shared" ca="1" si="1"/>
        <v>0</v>
      </c>
      <c r="AK16" s="93">
        <f t="shared" ca="1" si="2"/>
        <v>0</v>
      </c>
      <c r="AL16" s="213"/>
      <c r="AM16" s="213"/>
      <c r="AN16" s="213"/>
      <c r="AO16" s="213"/>
      <c r="AP16" s="213"/>
      <c r="AQ16" s="213"/>
      <c r="AR16" s="213"/>
      <c r="AS16" s="213"/>
      <c r="AT16" s="213"/>
      <c r="AU16" s="213"/>
      <c r="AV16" s="213"/>
      <c r="AW16" s="213"/>
      <c r="AX16" s="213"/>
      <c r="AY16" s="213"/>
      <c r="AZ16" s="213"/>
      <c r="BA16" s="213"/>
      <c r="BB16" s="213"/>
      <c r="BC16" s="213"/>
      <c r="BD16" s="213"/>
      <c r="BE16" s="213"/>
      <c r="BF16" s="213"/>
      <c r="BG16" s="213"/>
      <c r="BH16" s="213"/>
      <c r="BI16" s="213"/>
      <c r="BJ16" s="213"/>
      <c r="BK16" s="213"/>
      <c r="BL16" s="213"/>
      <c r="BM16" s="213"/>
      <c r="BN16" s="213"/>
      <c r="BO16" s="213"/>
      <c r="BP16" s="213"/>
      <c r="BQ16" s="213"/>
      <c r="BR16" s="213"/>
      <c r="BS16" s="213"/>
      <c r="BT16" s="213"/>
      <c r="BU16" s="213"/>
      <c r="BV16" s="213"/>
      <c r="BW16" s="213"/>
      <c r="BX16" s="213"/>
    </row>
    <row r="17" spans="1:76" s="209" customFormat="1" ht="22.5" customHeight="1">
      <c r="A17" s="235">
        <v>12</v>
      </c>
      <c r="B17" s="235"/>
      <c r="C17" s="235"/>
      <c r="D17" s="203"/>
      <c r="E17" s="204"/>
      <c r="F17" s="235"/>
      <c r="G17" s="235"/>
      <c r="H17" s="203"/>
      <c r="I17" s="203"/>
      <c r="J17" s="203"/>
      <c r="K17" s="205"/>
      <c r="L17" s="206"/>
      <c r="M17" s="203"/>
      <c r="N17" s="207"/>
      <c r="O17" s="207"/>
      <c r="P17" s="207"/>
      <c r="Q17" s="207"/>
      <c r="R17" s="206"/>
      <c r="S17" s="205"/>
      <c r="T17" s="205"/>
      <c r="U17" s="207"/>
      <c r="V17" s="226"/>
      <c r="W17" s="208"/>
      <c r="X17" s="208"/>
      <c r="Y17" s="208"/>
      <c r="Z17" s="208"/>
      <c r="AA17" s="208"/>
      <c r="AB17" s="210"/>
      <c r="AC17" s="210"/>
      <c r="AD17" s="210"/>
      <c r="AE17" s="210"/>
      <c r="AF17" s="210"/>
      <c r="AG17" s="210"/>
      <c r="AH17" s="210"/>
      <c r="AI17" s="93"/>
      <c r="AJ17" s="93">
        <f t="shared" ca="1" si="1"/>
        <v>0</v>
      </c>
      <c r="AK17" s="93">
        <f t="shared" ca="1" si="2"/>
        <v>0</v>
      </c>
      <c r="AL17" s="213"/>
      <c r="AM17" s="213"/>
      <c r="AN17" s="213"/>
      <c r="AO17" s="213"/>
      <c r="AP17" s="213"/>
      <c r="AQ17" s="213"/>
      <c r="AR17" s="213"/>
      <c r="AS17" s="213"/>
      <c r="AT17" s="213"/>
      <c r="AU17" s="213"/>
      <c r="AV17" s="213"/>
      <c r="AW17" s="213"/>
      <c r="AX17" s="213"/>
      <c r="AY17" s="213"/>
      <c r="AZ17" s="213"/>
      <c r="BA17" s="213"/>
      <c r="BB17" s="213"/>
      <c r="BC17" s="213"/>
      <c r="BD17" s="213"/>
      <c r="BE17" s="213"/>
      <c r="BF17" s="213"/>
      <c r="BG17" s="213"/>
      <c r="BH17" s="213"/>
      <c r="BI17" s="213"/>
      <c r="BJ17" s="213"/>
      <c r="BK17" s="213"/>
      <c r="BL17" s="213"/>
      <c r="BM17" s="213"/>
      <c r="BN17" s="213"/>
      <c r="BO17" s="213"/>
      <c r="BP17" s="213"/>
      <c r="BQ17" s="213"/>
      <c r="BR17" s="213"/>
      <c r="BS17" s="213"/>
      <c r="BT17" s="213"/>
      <c r="BU17" s="213"/>
      <c r="BV17" s="213"/>
      <c r="BW17" s="213"/>
      <c r="BX17" s="213"/>
    </row>
    <row r="18" spans="1:76" s="209" customFormat="1" ht="22.5" customHeight="1">
      <c r="A18" s="235">
        <v>13</v>
      </c>
      <c r="B18" s="235"/>
      <c r="C18" s="235"/>
      <c r="D18" s="203"/>
      <c r="E18" s="204"/>
      <c r="F18" s="235"/>
      <c r="G18" s="235"/>
      <c r="H18" s="203"/>
      <c r="I18" s="203"/>
      <c r="J18" s="203"/>
      <c r="K18" s="205"/>
      <c r="L18" s="206"/>
      <c r="M18" s="203"/>
      <c r="N18" s="207"/>
      <c r="O18" s="207"/>
      <c r="P18" s="207"/>
      <c r="Q18" s="207"/>
      <c r="R18" s="206"/>
      <c r="S18" s="205"/>
      <c r="T18" s="205"/>
      <c r="U18" s="207"/>
      <c r="V18" s="226"/>
      <c r="W18" s="208"/>
      <c r="X18" s="208"/>
      <c r="Y18" s="208"/>
      <c r="Z18" s="208"/>
      <c r="AA18" s="208"/>
      <c r="AB18" s="210"/>
      <c r="AC18" s="210"/>
      <c r="AD18" s="210"/>
      <c r="AE18" s="210"/>
      <c r="AF18" s="210"/>
      <c r="AG18" s="210"/>
      <c r="AH18" s="210"/>
      <c r="AI18" s="93"/>
      <c r="AJ18" s="93">
        <f t="shared" ca="1" si="1"/>
        <v>0</v>
      </c>
      <c r="AK18" s="93">
        <f t="shared" ca="1" si="2"/>
        <v>0</v>
      </c>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3"/>
      <c r="BH18" s="213"/>
      <c r="BI18" s="213"/>
      <c r="BJ18" s="213"/>
      <c r="BK18" s="213"/>
      <c r="BL18" s="213"/>
      <c r="BM18" s="213"/>
      <c r="BN18" s="213"/>
      <c r="BO18" s="213"/>
      <c r="BP18" s="213"/>
      <c r="BQ18" s="213"/>
      <c r="BR18" s="213"/>
      <c r="BS18" s="213"/>
      <c r="BT18" s="213"/>
      <c r="BU18" s="213"/>
      <c r="BV18" s="213"/>
      <c r="BW18" s="213"/>
      <c r="BX18" s="213"/>
    </row>
    <row r="19" spans="1:76" s="209" customFormat="1" ht="22.5" customHeight="1">
      <c r="A19" s="235">
        <v>14</v>
      </c>
      <c r="B19" s="235"/>
      <c r="C19" s="235"/>
      <c r="D19" s="203"/>
      <c r="E19" s="204"/>
      <c r="F19" s="235"/>
      <c r="G19" s="235"/>
      <c r="H19" s="203"/>
      <c r="I19" s="203"/>
      <c r="J19" s="203"/>
      <c r="K19" s="205"/>
      <c r="L19" s="206"/>
      <c r="M19" s="203"/>
      <c r="N19" s="207"/>
      <c r="O19" s="207"/>
      <c r="P19" s="207"/>
      <c r="Q19" s="207"/>
      <c r="R19" s="206"/>
      <c r="S19" s="205"/>
      <c r="T19" s="205"/>
      <c r="U19" s="207"/>
      <c r="V19" s="226"/>
      <c r="W19" s="208"/>
      <c r="X19" s="208"/>
      <c r="Y19" s="208"/>
      <c r="Z19" s="208"/>
      <c r="AA19" s="208"/>
      <c r="AB19" s="210"/>
      <c r="AC19" s="210"/>
      <c r="AD19" s="210"/>
      <c r="AE19" s="210"/>
      <c r="AF19" s="210"/>
      <c r="AG19" s="210"/>
      <c r="AH19" s="210"/>
      <c r="AI19" s="93"/>
      <c r="AJ19" s="93">
        <f t="shared" ca="1" si="1"/>
        <v>0</v>
      </c>
      <c r="AK19" s="93">
        <f t="shared" ca="1" si="2"/>
        <v>0</v>
      </c>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3"/>
      <c r="BH19" s="213"/>
      <c r="BI19" s="213"/>
      <c r="BJ19" s="213"/>
      <c r="BK19" s="213"/>
      <c r="BL19" s="213"/>
      <c r="BM19" s="213"/>
      <c r="BN19" s="213"/>
      <c r="BO19" s="213"/>
      <c r="BP19" s="213"/>
      <c r="BQ19" s="213"/>
      <c r="BR19" s="213"/>
      <c r="BS19" s="213"/>
      <c r="BT19" s="213"/>
      <c r="BU19" s="213"/>
      <c r="BV19" s="213"/>
      <c r="BW19" s="213"/>
      <c r="BX19" s="213"/>
    </row>
    <row r="20" spans="1:76" s="209" customFormat="1" ht="22.5" customHeight="1">
      <c r="A20" s="235">
        <v>15</v>
      </c>
      <c r="B20" s="235"/>
      <c r="C20" s="235"/>
      <c r="D20" s="203"/>
      <c r="E20" s="204"/>
      <c r="F20" s="235"/>
      <c r="G20" s="235"/>
      <c r="H20" s="203"/>
      <c r="I20" s="203"/>
      <c r="J20" s="203"/>
      <c r="K20" s="205"/>
      <c r="L20" s="206"/>
      <c r="M20" s="203"/>
      <c r="N20" s="207"/>
      <c r="O20" s="207"/>
      <c r="P20" s="207"/>
      <c r="Q20" s="207"/>
      <c r="R20" s="206"/>
      <c r="S20" s="205"/>
      <c r="T20" s="205"/>
      <c r="U20" s="207"/>
      <c r="V20" s="226"/>
      <c r="W20" s="208"/>
      <c r="X20" s="208"/>
      <c r="Y20" s="208"/>
      <c r="Z20" s="208"/>
      <c r="AA20" s="208"/>
      <c r="AB20" s="210"/>
      <c r="AC20" s="210"/>
      <c r="AD20" s="210"/>
      <c r="AE20" s="210"/>
      <c r="AF20" s="210"/>
      <c r="AG20" s="210"/>
      <c r="AH20" s="210"/>
      <c r="AI20" s="93"/>
      <c r="AJ20" s="93">
        <f t="shared" ca="1" si="1"/>
        <v>0</v>
      </c>
      <c r="AK20" s="93">
        <f t="shared" ca="1" si="2"/>
        <v>0</v>
      </c>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3"/>
      <c r="BH20" s="213"/>
      <c r="BI20" s="213"/>
      <c r="BJ20" s="213"/>
      <c r="BK20" s="213"/>
      <c r="BL20" s="213"/>
      <c r="BM20" s="213"/>
      <c r="BN20" s="213"/>
      <c r="BO20" s="213"/>
      <c r="BP20" s="213"/>
      <c r="BQ20" s="213"/>
      <c r="BR20" s="213"/>
      <c r="BS20" s="213"/>
      <c r="BT20" s="213"/>
      <c r="BU20" s="213"/>
      <c r="BV20" s="213"/>
      <c r="BW20" s="213"/>
      <c r="BX20" s="213"/>
    </row>
    <row r="21" spans="1:76" s="209" customFormat="1" ht="22.5" customHeight="1">
      <c r="A21" s="235">
        <v>16</v>
      </c>
      <c r="B21" s="235"/>
      <c r="C21" s="235"/>
      <c r="D21" s="203"/>
      <c r="E21" s="204"/>
      <c r="F21" s="235"/>
      <c r="G21" s="235"/>
      <c r="H21" s="203"/>
      <c r="I21" s="203"/>
      <c r="J21" s="203"/>
      <c r="K21" s="205"/>
      <c r="L21" s="206"/>
      <c r="M21" s="203"/>
      <c r="N21" s="207"/>
      <c r="O21" s="207"/>
      <c r="P21" s="207"/>
      <c r="Q21" s="207"/>
      <c r="R21" s="206"/>
      <c r="S21" s="205"/>
      <c r="T21" s="205"/>
      <c r="U21" s="207"/>
      <c r="V21" s="226"/>
      <c r="W21" s="208"/>
      <c r="X21" s="208"/>
      <c r="Y21" s="208"/>
      <c r="Z21" s="208"/>
      <c r="AA21" s="208"/>
      <c r="AB21" s="210"/>
      <c r="AC21" s="210"/>
      <c r="AD21" s="210"/>
      <c r="AE21" s="210"/>
      <c r="AF21" s="210"/>
      <c r="AG21" s="210"/>
      <c r="AH21" s="210"/>
      <c r="AI21" s="93"/>
      <c r="AJ21" s="93">
        <f t="shared" ca="1" si="1"/>
        <v>0</v>
      </c>
      <c r="AK21" s="93">
        <f t="shared" ca="1" si="2"/>
        <v>0</v>
      </c>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3"/>
      <c r="BH21" s="213"/>
      <c r="BI21" s="213"/>
      <c r="BJ21" s="213"/>
      <c r="BK21" s="213"/>
      <c r="BL21" s="213"/>
      <c r="BM21" s="213"/>
      <c r="BN21" s="213"/>
      <c r="BO21" s="213"/>
      <c r="BP21" s="213"/>
      <c r="BQ21" s="213"/>
      <c r="BR21" s="213"/>
      <c r="BS21" s="213"/>
      <c r="BT21" s="213"/>
      <c r="BU21" s="213"/>
      <c r="BV21" s="213"/>
      <c r="BW21" s="213"/>
      <c r="BX21" s="213"/>
    </row>
    <row r="22" spans="1:76" s="209" customFormat="1" ht="22.5" customHeight="1">
      <c r="A22" s="235">
        <v>17</v>
      </c>
      <c r="B22" s="235"/>
      <c r="C22" s="235"/>
      <c r="D22" s="203"/>
      <c r="E22" s="204"/>
      <c r="F22" s="235"/>
      <c r="G22" s="235"/>
      <c r="H22" s="203"/>
      <c r="I22" s="203"/>
      <c r="J22" s="203"/>
      <c r="K22" s="205"/>
      <c r="L22" s="206"/>
      <c r="M22" s="203"/>
      <c r="N22" s="207"/>
      <c r="O22" s="207"/>
      <c r="P22" s="207"/>
      <c r="Q22" s="207"/>
      <c r="R22" s="206"/>
      <c r="S22" s="205"/>
      <c r="T22" s="205"/>
      <c r="U22" s="207"/>
      <c r="V22" s="226"/>
      <c r="W22" s="208"/>
      <c r="X22" s="208"/>
      <c r="Y22" s="208"/>
      <c r="Z22" s="208"/>
      <c r="AA22" s="208"/>
      <c r="AB22" s="210"/>
      <c r="AC22" s="210"/>
      <c r="AD22" s="210"/>
      <c r="AE22" s="210"/>
      <c r="AF22" s="210"/>
      <c r="AG22" s="210"/>
      <c r="AH22" s="210"/>
      <c r="AI22" s="93"/>
      <c r="AJ22" s="93">
        <f t="shared" ca="1" si="1"/>
        <v>0</v>
      </c>
      <c r="AK22" s="93">
        <f t="shared" ca="1" si="2"/>
        <v>0</v>
      </c>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3"/>
      <c r="BH22" s="213"/>
      <c r="BI22" s="213"/>
      <c r="BJ22" s="213"/>
      <c r="BK22" s="213"/>
      <c r="BL22" s="213"/>
      <c r="BM22" s="213"/>
      <c r="BN22" s="213"/>
      <c r="BO22" s="213"/>
      <c r="BP22" s="213"/>
      <c r="BQ22" s="213"/>
      <c r="BR22" s="213"/>
      <c r="BS22" s="213"/>
      <c r="BT22" s="213"/>
      <c r="BU22" s="213"/>
      <c r="BV22" s="213"/>
      <c r="BW22" s="213"/>
      <c r="BX22" s="213"/>
    </row>
    <row r="23" spans="1:76" s="209" customFormat="1" ht="22.5" customHeight="1">
      <c r="A23" s="235">
        <v>18</v>
      </c>
      <c r="B23" s="235"/>
      <c r="C23" s="235"/>
      <c r="D23" s="203"/>
      <c r="E23" s="204"/>
      <c r="F23" s="235"/>
      <c r="G23" s="235"/>
      <c r="H23" s="203"/>
      <c r="I23" s="203"/>
      <c r="J23" s="203"/>
      <c r="K23" s="205"/>
      <c r="L23" s="206"/>
      <c r="M23" s="203"/>
      <c r="N23" s="207"/>
      <c r="O23" s="207"/>
      <c r="P23" s="207"/>
      <c r="Q23" s="207"/>
      <c r="R23" s="206"/>
      <c r="S23" s="205"/>
      <c r="T23" s="205"/>
      <c r="U23" s="207"/>
      <c r="V23" s="226"/>
      <c r="W23" s="208"/>
      <c r="X23" s="208"/>
      <c r="Y23" s="208"/>
      <c r="Z23" s="208"/>
      <c r="AA23" s="208"/>
      <c r="AB23" s="210"/>
      <c r="AC23" s="210"/>
      <c r="AD23" s="210"/>
      <c r="AE23" s="210"/>
      <c r="AF23" s="210"/>
      <c r="AG23" s="210"/>
      <c r="AH23" s="210"/>
      <c r="AI23" s="93"/>
      <c r="AJ23" s="93">
        <f t="shared" ca="1" si="1"/>
        <v>0</v>
      </c>
      <c r="AK23" s="93">
        <f t="shared" ca="1" si="2"/>
        <v>0</v>
      </c>
      <c r="AL23" s="213"/>
      <c r="AM23" s="213"/>
      <c r="AN23" s="213"/>
      <c r="AO23" s="213"/>
      <c r="AP23" s="213"/>
      <c r="AQ23" s="213"/>
      <c r="AR23" s="213"/>
      <c r="AS23" s="213"/>
      <c r="AT23" s="213"/>
      <c r="AU23" s="213"/>
      <c r="AV23" s="213"/>
      <c r="AW23" s="213"/>
      <c r="AX23" s="213"/>
      <c r="AY23" s="213"/>
      <c r="AZ23" s="213"/>
      <c r="BA23" s="213"/>
      <c r="BB23" s="213"/>
      <c r="BC23" s="213"/>
      <c r="BD23" s="213"/>
      <c r="BE23" s="213"/>
      <c r="BF23" s="213"/>
      <c r="BG23" s="213"/>
      <c r="BH23" s="213"/>
      <c r="BI23" s="213"/>
      <c r="BJ23" s="213"/>
      <c r="BK23" s="213"/>
      <c r="BL23" s="213"/>
      <c r="BM23" s="213"/>
      <c r="BN23" s="213"/>
      <c r="BO23" s="213"/>
      <c r="BP23" s="213"/>
      <c r="BQ23" s="213"/>
      <c r="BR23" s="213"/>
      <c r="BS23" s="213"/>
      <c r="BT23" s="213"/>
      <c r="BU23" s="213"/>
      <c r="BV23" s="213"/>
      <c r="BW23" s="213"/>
      <c r="BX23" s="213"/>
    </row>
    <row r="24" spans="1:76" s="209" customFormat="1" ht="22.5" customHeight="1">
      <c r="A24" s="235">
        <v>19</v>
      </c>
      <c r="B24" s="235"/>
      <c r="C24" s="235"/>
      <c r="D24" s="203"/>
      <c r="E24" s="204"/>
      <c r="F24" s="235"/>
      <c r="G24" s="235"/>
      <c r="H24" s="203"/>
      <c r="I24" s="203"/>
      <c r="J24" s="203"/>
      <c r="K24" s="205"/>
      <c r="L24" s="206"/>
      <c r="M24" s="203"/>
      <c r="N24" s="207"/>
      <c r="O24" s="207"/>
      <c r="P24" s="207"/>
      <c r="Q24" s="207"/>
      <c r="R24" s="206"/>
      <c r="S24" s="205"/>
      <c r="T24" s="205"/>
      <c r="U24" s="207"/>
      <c r="V24" s="226"/>
      <c r="W24" s="208"/>
      <c r="X24" s="208"/>
      <c r="Y24" s="208"/>
      <c r="Z24" s="208"/>
      <c r="AA24" s="208"/>
      <c r="AB24" s="210"/>
      <c r="AC24" s="210"/>
      <c r="AD24" s="210"/>
      <c r="AE24" s="210"/>
      <c r="AF24" s="210"/>
      <c r="AG24" s="210"/>
      <c r="AH24" s="210"/>
      <c r="AI24" s="93"/>
      <c r="AJ24" s="93">
        <f t="shared" ca="1" si="1"/>
        <v>0</v>
      </c>
      <c r="AK24" s="93">
        <f t="shared" ca="1" si="2"/>
        <v>0</v>
      </c>
      <c r="AL24" s="213"/>
      <c r="AM24" s="213"/>
      <c r="AN24" s="213"/>
      <c r="AO24" s="213"/>
      <c r="AP24" s="213"/>
      <c r="AQ24" s="213"/>
      <c r="AR24" s="213"/>
      <c r="AS24" s="213"/>
      <c r="AT24" s="213"/>
      <c r="AU24" s="213"/>
      <c r="AV24" s="213"/>
      <c r="AW24" s="213"/>
      <c r="AX24" s="213"/>
      <c r="AY24" s="213"/>
      <c r="AZ24" s="213"/>
      <c r="BA24" s="213"/>
      <c r="BB24" s="213"/>
      <c r="BC24" s="213"/>
      <c r="BD24" s="213"/>
      <c r="BE24" s="213"/>
      <c r="BF24" s="213"/>
      <c r="BG24" s="213"/>
      <c r="BH24" s="213"/>
      <c r="BI24" s="213"/>
      <c r="BJ24" s="213"/>
      <c r="BK24" s="213"/>
      <c r="BL24" s="213"/>
      <c r="BM24" s="213"/>
      <c r="BN24" s="213"/>
      <c r="BO24" s="213"/>
      <c r="BP24" s="213"/>
      <c r="BQ24" s="213"/>
      <c r="BR24" s="213"/>
      <c r="BS24" s="213"/>
      <c r="BT24" s="213"/>
      <c r="BU24" s="213"/>
      <c r="BV24" s="213"/>
      <c r="BW24" s="213"/>
      <c r="BX24" s="213"/>
    </row>
    <row r="25" spans="1:76" s="209" customFormat="1" ht="22.5" customHeight="1">
      <c r="A25" s="235">
        <v>20</v>
      </c>
      <c r="B25" s="235"/>
      <c r="C25" s="235"/>
      <c r="D25" s="203"/>
      <c r="E25" s="204"/>
      <c r="F25" s="235"/>
      <c r="G25" s="235"/>
      <c r="H25" s="203"/>
      <c r="I25" s="203"/>
      <c r="J25" s="203"/>
      <c r="K25" s="205"/>
      <c r="L25" s="206"/>
      <c r="M25" s="203"/>
      <c r="N25" s="207"/>
      <c r="O25" s="207"/>
      <c r="P25" s="207"/>
      <c r="Q25" s="207"/>
      <c r="R25" s="206"/>
      <c r="S25" s="205"/>
      <c r="T25" s="205"/>
      <c r="U25" s="207"/>
      <c r="V25" s="226"/>
      <c r="W25" s="208"/>
      <c r="X25" s="208"/>
      <c r="Y25" s="208"/>
      <c r="Z25" s="208"/>
      <c r="AA25" s="208"/>
      <c r="AB25" s="210"/>
      <c r="AC25" s="210"/>
      <c r="AD25" s="210"/>
      <c r="AE25" s="210"/>
      <c r="AF25" s="210"/>
      <c r="AG25" s="210"/>
      <c r="AH25" s="210"/>
      <c r="AI25" s="93"/>
      <c r="AJ25" s="93">
        <f t="shared" ca="1" si="1"/>
        <v>0</v>
      </c>
      <c r="AK25" s="93">
        <f t="shared" ca="1" si="2"/>
        <v>0</v>
      </c>
      <c r="AL25" s="213"/>
      <c r="AM25" s="213"/>
      <c r="AN25" s="213"/>
      <c r="AO25" s="213"/>
      <c r="AP25" s="213"/>
      <c r="AQ25" s="213"/>
      <c r="AR25" s="213"/>
      <c r="AS25" s="213"/>
      <c r="AT25" s="213"/>
      <c r="AU25" s="213"/>
      <c r="AV25" s="213"/>
      <c r="AW25" s="213"/>
      <c r="AX25" s="213"/>
      <c r="AY25" s="213"/>
      <c r="AZ25" s="213"/>
      <c r="BA25" s="213"/>
      <c r="BB25" s="213"/>
      <c r="BC25" s="213"/>
      <c r="BD25" s="213"/>
      <c r="BE25" s="213"/>
      <c r="BF25" s="213"/>
      <c r="BG25" s="213"/>
      <c r="BH25" s="213"/>
      <c r="BI25" s="213"/>
      <c r="BJ25" s="213"/>
      <c r="BK25" s="213"/>
      <c r="BL25" s="213"/>
      <c r="BM25" s="213"/>
      <c r="BN25" s="213"/>
      <c r="BO25" s="213"/>
      <c r="BP25" s="213"/>
      <c r="BQ25" s="213"/>
      <c r="BR25" s="213"/>
      <c r="BS25" s="213"/>
      <c r="BT25" s="213"/>
      <c r="BU25" s="213"/>
      <c r="BV25" s="213"/>
      <c r="BW25" s="213"/>
      <c r="BX25" s="213"/>
    </row>
    <row r="26" spans="1:76" s="209" customFormat="1" ht="22.5" customHeight="1">
      <c r="A26" s="235">
        <v>21</v>
      </c>
      <c r="B26" s="235"/>
      <c r="C26" s="235"/>
      <c r="D26" s="203"/>
      <c r="E26" s="204"/>
      <c r="F26" s="235"/>
      <c r="G26" s="235"/>
      <c r="H26" s="203"/>
      <c r="I26" s="203"/>
      <c r="J26" s="203"/>
      <c r="K26" s="205"/>
      <c r="L26" s="206"/>
      <c r="M26" s="203"/>
      <c r="N26" s="207"/>
      <c r="O26" s="207"/>
      <c r="P26" s="207"/>
      <c r="Q26" s="207"/>
      <c r="R26" s="206"/>
      <c r="S26" s="205"/>
      <c r="T26" s="205"/>
      <c r="U26" s="207"/>
      <c r="V26" s="226"/>
      <c r="W26" s="208"/>
      <c r="X26" s="208"/>
      <c r="Y26" s="208"/>
      <c r="Z26" s="208"/>
      <c r="AA26" s="208"/>
      <c r="AB26" s="210"/>
      <c r="AC26" s="210"/>
      <c r="AD26" s="210"/>
      <c r="AE26" s="210"/>
      <c r="AF26" s="210"/>
      <c r="AG26" s="210"/>
      <c r="AH26" s="210"/>
      <c r="AI26" s="93"/>
      <c r="AJ26" s="93">
        <f t="shared" ca="1" si="1"/>
        <v>0</v>
      </c>
      <c r="AK26" s="93">
        <f t="shared" ca="1" si="2"/>
        <v>0</v>
      </c>
      <c r="AL26" s="213"/>
      <c r="AM26" s="213"/>
      <c r="AN26" s="213"/>
      <c r="AO26" s="213"/>
      <c r="AP26" s="213"/>
      <c r="AQ26" s="213"/>
      <c r="AR26" s="213"/>
      <c r="AS26" s="213"/>
      <c r="AT26" s="213"/>
      <c r="AU26" s="213"/>
      <c r="AV26" s="213"/>
      <c r="AW26" s="213"/>
      <c r="AX26" s="213"/>
      <c r="AY26" s="213"/>
      <c r="AZ26" s="213"/>
      <c r="BA26" s="213"/>
      <c r="BB26" s="213"/>
      <c r="BC26" s="213"/>
      <c r="BD26" s="213"/>
      <c r="BE26" s="213"/>
      <c r="BF26" s="213"/>
      <c r="BG26" s="213"/>
      <c r="BH26" s="213"/>
      <c r="BI26" s="213"/>
      <c r="BJ26" s="213"/>
      <c r="BK26" s="213"/>
      <c r="BL26" s="213"/>
      <c r="BM26" s="213"/>
      <c r="BN26" s="213"/>
      <c r="BO26" s="213"/>
      <c r="BP26" s="213"/>
      <c r="BQ26" s="213"/>
      <c r="BR26" s="213"/>
      <c r="BS26" s="213"/>
      <c r="BT26" s="213"/>
      <c r="BU26" s="213"/>
      <c r="BV26" s="213"/>
      <c r="BW26" s="213"/>
      <c r="BX26" s="213"/>
    </row>
    <row r="27" spans="1:76" s="209" customFormat="1" ht="22.5" customHeight="1">
      <c r="A27" s="235">
        <v>22</v>
      </c>
      <c r="B27" s="235"/>
      <c r="C27" s="235"/>
      <c r="D27" s="203"/>
      <c r="E27" s="204"/>
      <c r="F27" s="235"/>
      <c r="G27" s="235"/>
      <c r="H27" s="203"/>
      <c r="I27" s="203"/>
      <c r="J27" s="203"/>
      <c r="K27" s="205"/>
      <c r="L27" s="206"/>
      <c r="M27" s="203"/>
      <c r="N27" s="207"/>
      <c r="O27" s="207"/>
      <c r="P27" s="207"/>
      <c r="Q27" s="207"/>
      <c r="R27" s="206"/>
      <c r="S27" s="205"/>
      <c r="T27" s="205"/>
      <c r="U27" s="207"/>
      <c r="V27" s="226"/>
      <c r="W27" s="208"/>
      <c r="X27" s="208"/>
      <c r="Y27" s="208"/>
      <c r="Z27" s="208"/>
      <c r="AA27" s="208"/>
      <c r="AB27" s="210"/>
      <c r="AC27" s="210"/>
      <c r="AD27" s="210"/>
      <c r="AE27" s="210"/>
      <c r="AF27" s="210"/>
      <c r="AG27" s="210"/>
      <c r="AH27" s="210"/>
      <c r="AI27" s="93"/>
      <c r="AJ27" s="93">
        <f t="shared" ca="1" si="1"/>
        <v>0</v>
      </c>
      <c r="AK27" s="93">
        <f t="shared" ca="1" si="2"/>
        <v>0</v>
      </c>
      <c r="AL27" s="213"/>
      <c r="AM27" s="213"/>
      <c r="AN27" s="213"/>
      <c r="AO27" s="213"/>
      <c r="AP27" s="213"/>
      <c r="AQ27" s="213"/>
      <c r="AR27" s="213"/>
      <c r="AS27" s="213"/>
      <c r="AT27" s="213"/>
      <c r="AU27" s="213"/>
      <c r="AV27" s="213"/>
      <c r="AW27" s="213"/>
      <c r="AX27" s="213"/>
      <c r="AY27" s="213"/>
      <c r="AZ27" s="213"/>
      <c r="BA27" s="213"/>
      <c r="BB27" s="213"/>
      <c r="BC27" s="213"/>
      <c r="BD27" s="213"/>
      <c r="BE27" s="213"/>
      <c r="BF27" s="213"/>
      <c r="BG27" s="213"/>
      <c r="BH27" s="213"/>
      <c r="BI27" s="213"/>
      <c r="BJ27" s="213"/>
      <c r="BK27" s="213"/>
      <c r="BL27" s="213"/>
      <c r="BM27" s="213"/>
      <c r="BN27" s="213"/>
      <c r="BO27" s="213"/>
      <c r="BP27" s="213"/>
      <c r="BQ27" s="213"/>
      <c r="BR27" s="213"/>
      <c r="BS27" s="213"/>
      <c r="BT27" s="213"/>
      <c r="BU27" s="213"/>
      <c r="BV27" s="213"/>
      <c r="BW27" s="213"/>
      <c r="BX27" s="213"/>
    </row>
    <row r="28" spans="1:76" s="209" customFormat="1" ht="22.5" customHeight="1">
      <c r="A28" s="235">
        <v>23</v>
      </c>
      <c r="B28" s="235"/>
      <c r="C28" s="235"/>
      <c r="D28" s="203"/>
      <c r="E28" s="204"/>
      <c r="F28" s="235"/>
      <c r="G28" s="235"/>
      <c r="H28" s="203"/>
      <c r="I28" s="203"/>
      <c r="J28" s="203"/>
      <c r="K28" s="205"/>
      <c r="L28" s="206"/>
      <c r="M28" s="203"/>
      <c r="N28" s="207"/>
      <c r="O28" s="207"/>
      <c r="P28" s="207"/>
      <c r="Q28" s="207"/>
      <c r="R28" s="206"/>
      <c r="S28" s="205"/>
      <c r="T28" s="205"/>
      <c r="U28" s="207"/>
      <c r="V28" s="226"/>
      <c r="W28" s="208"/>
      <c r="X28" s="208"/>
      <c r="Y28" s="208"/>
      <c r="Z28" s="208"/>
      <c r="AA28" s="208"/>
      <c r="AB28" s="210"/>
      <c r="AC28" s="210"/>
      <c r="AD28" s="210"/>
      <c r="AE28" s="210"/>
      <c r="AF28" s="210"/>
      <c r="AG28" s="210"/>
      <c r="AH28" s="210"/>
      <c r="AI28" s="93"/>
      <c r="AJ28" s="93">
        <f t="shared" ca="1" si="1"/>
        <v>0</v>
      </c>
      <c r="AK28" s="93">
        <f t="shared" ca="1" si="2"/>
        <v>0</v>
      </c>
      <c r="AL28" s="213"/>
      <c r="AM28" s="213"/>
      <c r="AN28" s="213"/>
      <c r="AO28" s="213"/>
      <c r="AP28" s="213"/>
      <c r="AQ28" s="213"/>
      <c r="AR28" s="213"/>
      <c r="AS28" s="213"/>
      <c r="AT28" s="213"/>
      <c r="AU28" s="213"/>
      <c r="AV28" s="213"/>
      <c r="AW28" s="213"/>
      <c r="AX28" s="213"/>
      <c r="AY28" s="213"/>
      <c r="AZ28" s="213"/>
      <c r="BA28" s="213"/>
      <c r="BB28" s="213"/>
      <c r="BC28" s="213"/>
      <c r="BD28" s="213"/>
      <c r="BE28" s="213"/>
      <c r="BF28" s="213"/>
      <c r="BG28" s="213"/>
      <c r="BH28" s="213"/>
      <c r="BI28" s="213"/>
      <c r="BJ28" s="213"/>
      <c r="BK28" s="213"/>
      <c r="BL28" s="213"/>
      <c r="BM28" s="213"/>
      <c r="BN28" s="213"/>
      <c r="BO28" s="213"/>
      <c r="BP28" s="213"/>
      <c r="BQ28" s="213"/>
      <c r="BR28" s="213"/>
      <c r="BS28" s="213"/>
      <c r="BT28" s="213"/>
      <c r="BU28" s="213"/>
      <c r="BV28" s="213"/>
      <c r="BW28" s="213"/>
      <c r="BX28" s="213"/>
    </row>
    <row r="29" spans="1:76" s="209" customFormat="1" ht="22.5" customHeight="1">
      <c r="A29" s="235">
        <v>24</v>
      </c>
      <c r="B29" s="235"/>
      <c r="C29" s="235"/>
      <c r="D29" s="203"/>
      <c r="E29" s="204"/>
      <c r="F29" s="235"/>
      <c r="G29" s="235"/>
      <c r="H29" s="203"/>
      <c r="I29" s="203"/>
      <c r="J29" s="203"/>
      <c r="K29" s="205"/>
      <c r="L29" s="206"/>
      <c r="M29" s="203"/>
      <c r="N29" s="207"/>
      <c r="O29" s="207"/>
      <c r="P29" s="207"/>
      <c r="Q29" s="207"/>
      <c r="R29" s="206"/>
      <c r="S29" s="205"/>
      <c r="T29" s="205"/>
      <c r="U29" s="207"/>
      <c r="V29" s="226"/>
      <c r="W29" s="208"/>
      <c r="X29" s="208"/>
      <c r="Y29" s="208"/>
      <c r="Z29" s="208"/>
      <c r="AA29" s="208"/>
      <c r="AB29" s="210"/>
      <c r="AC29" s="210"/>
      <c r="AD29" s="210"/>
      <c r="AE29" s="210"/>
      <c r="AF29" s="210"/>
      <c r="AG29" s="210"/>
      <c r="AH29" s="210"/>
      <c r="AI29" s="93"/>
      <c r="AJ29" s="93">
        <f t="shared" ca="1" si="1"/>
        <v>0</v>
      </c>
      <c r="AK29" s="93">
        <f t="shared" ca="1" si="2"/>
        <v>0</v>
      </c>
      <c r="AL29" s="213"/>
      <c r="AM29" s="213"/>
      <c r="AN29" s="213"/>
      <c r="AO29" s="213"/>
      <c r="AP29" s="213"/>
      <c r="AQ29" s="213"/>
      <c r="AR29" s="213"/>
      <c r="AS29" s="213"/>
      <c r="AT29" s="213"/>
      <c r="AU29" s="213"/>
      <c r="AV29" s="213"/>
      <c r="AW29" s="213"/>
      <c r="AX29" s="213"/>
      <c r="AY29" s="213"/>
      <c r="AZ29" s="213"/>
      <c r="BA29" s="213"/>
      <c r="BB29" s="213"/>
      <c r="BC29" s="213"/>
      <c r="BD29" s="213"/>
      <c r="BE29" s="213"/>
      <c r="BF29" s="213"/>
      <c r="BG29" s="213"/>
      <c r="BH29" s="213"/>
      <c r="BI29" s="213"/>
      <c r="BJ29" s="213"/>
      <c r="BK29" s="213"/>
      <c r="BL29" s="213"/>
      <c r="BM29" s="213"/>
      <c r="BN29" s="213"/>
      <c r="BO29" s="213"/>
      <c r="BP29" s="213"/>
      <c r="BQ29" s="213"/>
      <c r="BR29" s="213"/>
      <c r="BS29" s="213"/>
      <c r="BT29" s="213"/>
      <c r="BU29" s="213"/>
      <c r="BV29" s="213"/>
      <c r="BW29" s="213"/>
      <c r="BX29" s="213"/>
    </row>
    <row r="30" spans="1:76" s="209" customFormat="1" ht="22.5" customHeight="1">
      <c r="A30" s="235">
        <v>25</v>
      </c>
      <c r="B30" s="235"/>
      <c r="C30" s="235"/>
      <c r="D30" s="203"/>
      <c r="E30" s="204"/>
      <c r="F30" s="235"/>
      <c r="G30" s="235"/>
      <c r="H30" s="203"/>
      <c r="I30" s="203"/>
      <c r="J30" s="203"/>
      <c r="K30" s="205"/>
      <c r="L30" s="206"/>
      <c r="M30" s="203"/>
      <c r="N30" s="207"/>
      <c r="O30" s="207"/>
      <c r="P30" s="207"/>
      <c r="Q30" s="207"/>
      <c r="R30" s="206"/>
      <c r="S30" s="205"/>
      <c r="T30" s="205"/>
      <c r="U30" s="207"/>
      <c r="V30" s="226"/>
      <c r="W30" s="208"/>
      <c r="X30" s="208"/>
      <c r="Y30" s="208"/>
      <c r="Z30" s="208"/>
      <c r="AA30" s="208"/>
      <c r="AB30" s="210"/>
      <c r="AC30" s="210"/>
      <c r="AD30" s="210"/>
      <c r="AE30" s="210"/>
      <c r="AF30" s="210"/>
      <c r="AG30" s="210"/>
      <c r="AH30" s="210"/>
      <c r="AI30" s="93"/>
      <c r="AJ30" s="93">
        <f t="shared" ca="1" si="1"/>
        <v>0</v>
      </c>
      <c r="AK30" s="93">
        <f t="shared" ca="1" si="2"/>
        <v>0</v>
      </c>
      <c r="AL30" s="213"/>
      <c r="AM30" s="213"/>
      <c r="AN30" s="213"/>
      <c r="AO30" s="213"/>
      <c r="AP30" s="213"/>
      <c r="AQ30" s="213"/>
      <c r="AR30" s="213"/>
      <c r="AS30" s="213"/>
      <c r="AT30" s="213"/>
      <c r="AU30" s="213"/>
      <c r="AV30" s="213"/>
      <c r="AW30" s="213"/>
      <c r="AX30" s="213"/>
      <c r="AY30" s="213"/>
      <c r="AZ30" s="213"/>
      <c r="BA30" s="213"/>
      <c r="BB30" s="213"/>
      <c r="BC30" s="213"/>
      <c r="BD30" s="213"/>
      <c r="BE30" s="213"/>
      <c r="BF30" s="213"/>
      <c r="BG30" s="213"/>
      <c r="BH30" s="213"/>
      <c r="BI30" s="213"/>
      <c r="BJ30" s="213"/>
      <c r="BK30" s="213"/>
      <c r="BL30" s="213"/>
      <c r="BM30" s="213"/>
      <c r="BN30" s="213"/>
      <c r="BO30" s="213"/>
      <c r="BP30" s="213"/>
      <c r="BQ30" s="213"/>
      <c r="BR30" s="213"/>
      <c r="BS30" s="213"/>
      <c r="BT30" s="213"/>
      <c r="BU30" s="213"/>
      <c r="BV30" s="213"/>
      <c r="BW30" s="213"/>
      <c r="BX30" s="213"/>
    </row>
    <row r="31" spans="1:76" s="209" customFormat="1" ht="22.5" customHeight="1">
      <c r="A31" s="235">
        <v>26</v>
      </c>
      <c r="B31" s="235"/>
      <c r="C31" s="235"/>
      <c r="D31" s="203"/>
      <c r="E31" s="204"/>
      <c r="F31" s="235"/>
      <c r="G31" s="235"/>
      <c r="H31" s="203"/>
      <c r="I31" s="203"/>
      <c r="J31" s="203"/>
      <c r="K31" s="205"/>
      <c r="L31" s="206"/>
      <c r="M31" s="203"/>
      <c r="N31" s="207"/>
      <c r="O31" s="207"/>
      <c r="P31" s="207"/>
      <c r="Q31" s="207"/>
      <c r="R31" s="206"/>
      <c r="S31" s="205"/>
      <c r="T31" s="205"/>
      <c r="U31" s="207"/>
      <c r="V31" s="226"/>
      <c r="W31" s="208"/>
      <c r="X31" s="208"/>
      <c r="Y31" s="208"/>
      <c r="Z31" s="208"/>
      <c r="AA31" s="208"/>
      <c r="AB31" s="210"/>
      <c r="AC31" s="210"/>
      <c r="AD31" s="210"/>
      <c r="AE31" s="210"/>
      <c r="AF31" s="210"/>
      <c r="AG31" s="210"/>
      <c r="AH31" s="210"/>
      <c r="AI31" s="93"/>
      <c r="AJ31" s="93">
        <f t="shared" ca="1" si="1"/>
        <v>0</v>
      </c>
      <c r="AK31" s="93">
        <f t="shared" ca="1" si="2"/>
        <v>0</v>
      </c>
      <c r="AL31" s="213"/>
      <c r="AM31" s="213"/>
      <c r="AN31" s="213"/>
      <c r="AO31" s="213"/>
      <c r="AP31" s="213"/>
      <c r="AQ31" s="213"/>
      <c r="AR31" s="213"/>
      <c r="AS31" s="213"/>
      <c r="AT31" s="213"/>
      <c r="AU31" s="213"/>
      <c r="AV31" s="213"/>
      <c r="AW31" s="213"/>
      <c r="AX31" s="213"/>
      <c r="AY31" s="213"/>
      <c r="AZ31" s="213"/>
      <c r="BA31" s="213"/>
      <c r="BB31" s="213"/>
      <c r="BC31" s="213"/>
      <c r="BD31" s="213"/>
      <c r="BE31" s="213"/>
      <c r="BF31" s="213"/>
      <c r="BG31" s="213"/>
      <c r="BH31" s="213"/>
      <c r="BI31" s="213"/>
      <c r="BJ31" s="213"/>
      <c r="BK31" s="213"/>
      <c r="BL31" s="213"/>
      <c r="BM31" s="213"/>
      <c r="BN31" s="213"/>
      <c r="BO31" s="213"/>
      <c r="BP31" s="213"/>
      <c r="BQ31" s="213"/>
      <c r="BR31" s="213"/>
      <c r="BS31" s="213"/>
      <c r="BT31" s="213"/>
      <c r="BU31" s="213"/>
      <c r="BV31" s="213"/>
      <c r="BW31" s="213"/>
      <c r="BX31" s="213"/>
    </row>
    <row r="32" spans="1:76" s="209" customFormat="1" ht="22.5" customHeight="1">
      <c r="A32" s="235">
        <v>27</v>
      </c>
      <c r="B32" s="235"/>
      <c r="C32" s="235"/>
      <c r="D32" s="203"/>
      <c r="E32" s="204"/>
      <c r="F32" s="235"/>
      <c r="G32" s="235"/>
      <c r="H32" s="203"/>
      <c r="I32" s="203"/>
      <c r="J32" s="203"/>
      <c r="K32" s="205"/>
      <c r="L32" s="206"/>
      <c r="M32" s="203"/>
      <c r="N32" s="207"/>
      <c r="O32" s="207"/>
      <c r="P32" s="207"/>
      <c r="Q32" s="207"/>
      <c r="R32" s="206"/>
      <c r="S32" s="205"/>
      <c r="T32" s="205"/>
      <c r="U32" s="207"/>
      <c r="V32" s="226"/>
      <c r="W32" s="208"/>
      <c r="X32" s="208"/>
      <c r="Y32" s="208"/>
      <c r="Z32" s="208"/>
      <c r="AA32" s="208"/>
      <c r="AB32" s="210"/>
      <c r="AC32" s="210"/>
      <c r="AD32" s="210"/>
      <c r="AE32" s="210"/>
      <c r="AF32" s="210"/>
      <c r="AG32" s="210"/>
      <c r="AH32" s="210"/>
      <c r="AI32" s="93"/>
      <c r="AJ32" s="93">
        <f t="shared" ca="1" si="1"/>
        <v>0</v>
      </c>
      <c r="AK32" s="93">
        <f t="shared" ca="1" si="2"/>
        <v>0</v>
      </c>
      <c r="AL32" s="213"/>
      <c r="AM32" s="213"/>
      <c r="AN32" s="213"/>
      <c r="AO32" s="213"/>
      <c r="AP32" s="213"/>
      <c r="AQ32" s="213"/>
      <c r="AR32" s="213"/>
      <c r="AS32" s="213"/>
      <c r="AT32" s="213"/>
      <c r="AU32" s="213"/>
      <c r="AV32" s="213"/>
      <c r="AW32" s="213"/>
      <c r="AX32" s="213"/>
      <c r="AY32" s="213"/>
      <c r="AZ32" s="213"/>
      <c r="BA32" s="213"/>
      <c r="BB32" s="213"/>
      <c r="BC32" s="213"/>
      <c r="BD32" s="213"/>
      <c r="BE32" s="213"/>
      <c r="BF32" s="213"/>
      <c r="BG32" s="213"/>
      <c r="BH32" s="213"/>
      <c r="BI32" s="213"/>
      <c r="BJ32" s="213"/>
      <c r="BK32" s="213"/>
      <c r="BL32" s="213"/>
      <c r="BM32" s="213"/>
      <c r="BN32" s="213"/>
      <c r="BO32" s="213"/>
      <c r="BP32" s="213"/>
      <c r="BQ32" s="213"/>
      <c r="BR32" s="213"/>
      <c r="BS32" s="213"/>
      <c r="BT32" s="213"/>
      <c r="BU32" s="213"/>
      <c r="BV32" s="213"/>
      <c r="BW32" s="213"/>
      <c r="BX32" s="213"/>
    </row>
    <row r="33" spans="1:76" s="209" customFormat="1" ht="22.5" customHeight="1">
      <c r="A33" s="235">
        <v>28</v>
      </c>
      <c r="B33" s="235"/>
      <c r="C33" s="235"/>
      <c r="D33" s="203"/>
      <c r="E33" s="204"/>
      <c r="F33" s="235"/>
      <c r="G33" s="235"/>
      <c r="H33" s="203"/>
      <c r="I33" s="203"/>
      <c r="J33" s="203"/>
      <c r="K33" s="205"/>
      <c r="L33" s="206"/>
      <c r="M33" s="203"/>
      <c r="N33" s="207"/>
      <c r="O33" s="207"/>
      <c r="P33" s="207"/>
      <c r="Q33" s="207"/>
      <c r="R33" s="206"/>
      <c r="S33" s="205"/>
      <c r="T33" s="205"/>
      <c r="U33" s="207"/>
      <c r="V33" s="226"/>
      <c r="W33" s="208"/>
      <c r="X33" s="208"/>
      <c r="Y33" s="208"/>
      <c r="Z33" s="208"/>
      <c r="AA33" s="208"/>
      <c r="AB33" s="210"/>
      <c r="AC33" s="210"/>
      <c r="AD33" s="210"/>
      <c r="AE33" s="210"/>
      <c r="AF33" s="210"/>
      <c r="AG33" s="210"/>
      <c r="AH33" s="210"/>
      <c r="AI33" s="93"/>
      <c r="AJ33" s="93">
        <f t="shared" ca="1" si="1"/>
        <v>0</v>
      </c>
      <c r="AK33" s="93">
        <f t="shared" ca="1" si="2"/>
        <v>0</v>
      </c>
      <c r="AL33" s="213"/>
      <c r="AM33" s="213"/>
      <c r="AN33" s="213"/>
      <c r="AO33" s="213"/>
      <c r="AP33" s="213"/>
      <c r="AQ33" s="213"/>
      <c r="AR33" s="213"/>
      <c r="AS33" s="213"/>
      <c r="AT33" s="213"/>
      <c r="AU33" s="213"/>
      <c r="AV33" s="213"/>
      <c r="AW33" s="213"/>
      <c r="AX33" s="213"/>
      <c r="AY33" s="213"/>
      <c r="AZ33" s="213"/>
      <c r="BA33" s="213"/>
      <c r="BB33" s="213"/>
      <c r="BC33" s="213"/>
      <c r="BD33" s="213"/>
      <c r="BE33" s="213"/>
      <c r="BF33" s="213"/>
      <c r="BG33" s="213"/>
      <c r="BH33" s="213"/>
      <c r="BI33" s="213"/>
      <c r="BJ33" s="213"/>
      <c r="BK33" s="213"/>
      <c r="BL33" s="213"/>
      <c r="BM33" s="213"/>
      <c r="BN33" s="213"/>
      <c r="BO33" s="213"/>
      <c r="BP33" s="213"/>
      <c r="BQ33" s="213"/>
      <c r="BR33" s="213"/>
      <c r="BS33" s="213"/>
      <c r="BT33" s="213"/>
      <c r="BU33" s="213"/>
      <c r="BV33" s="213"/>
      <c r="BW33" s="213"/>
      <c r="BX33" s="213"/>
    </row>
    <row r="34" spans="1:76" s="209" customFormat="1" ht="22.5" customHeight="1">
      <c r="A34" s="235">
        <v>29</v>
      </c>
      <c r="B34" s="235"/>
      <c r="C34" s="235"/>
      <c r="D34" s="203"/>
      <c r="E34" s="204"/>
      <c r="F34" s="235"/>
      <c r="G34" s="235"/>
      <c r="H34" s="203"/>
      <c r="I34" s="203"/>
      <c r="J34" s="203"/>
      <c r="K34" s="205"/>
      <c r="L34" s="206"/>
      <c r="M34" s="203"/>
      <c r="N34" s="207"/>
      <c r="O34" s="207"/>
      <c r="P34" s="207"/>
      <c r="Q34" s="207"/>
      <c r="R34" s="206"/>
      <c r="S34" s="205"/>
      <c r="T34" s="205"/>
      <c r="U34" s="207"/>
      <c r="V34" s="226"/>
      <c r="W34" s="208"/>
      <c r="X34" s="208"/>
      <c r="Y34" s="208"/>
      <c r="Z34" s="208"/>
      <c r="AA34" s="208"/>
      <c r="AB34" s="210"/>
      <c r="AC34" s="210"/>
      <c r="AD34" s="210"/>
      <c r="AE34" s="210"/>
      <c r="AF34" s="210"/>
      <c r="AG34" s="210"/>
      <c r="AH34" s="210"/>
      <c r="AI34" s="93"/>
      <c r="AJ34" s="93">
        <f t="shared" ca="1" si="1"/>
        <v>0</v>
      </c>
      <c r="AK34" s="93">
        <f t="shared" ca="1" si="2"/>
        <v>0</v>
      </c>
      <c r="AL34" s="213"/>
      <c r="AM34" s="213"/>
      <c r="AN34" s="213"/>
      <c r="AO34" s="213"/>
      <c r="AP34" s="213"/>
      <c r="AQ34" s="213"/>
      <c r="AR34" s="213"/>
      <c r="AS34" s="213"/>
      <c r="AT34" s="213"/>
      <c r="AU34" s="213"/>
      <c r="AV34" s="213"/>
      <c r="AW34" s="213"/>
      <c r="AX34" s="213"/>
      <c r="AY34" s="213"/>
      <c r="AZ34" s="213"/>
      <c r="BA34" s="213"/>
      <c r="BB34" s="213"/>
      <c r="BC34" s="213"/>
      <c r="BD34" s="213"/>
      <c r="BE34" s="213"/>
      <c r="BF34" s="213"/>
      <c r="BG34" s="213"/>
      <c r="BH34" s="213"/>
      <c r="BI34" s="213"/>
      <c r="BJ34" s="213"/>
      <c r="BK34" s="213"/>
      <c r="BL34" s="213"/>
      <c r="BM34" s="213"/>
      <c r="BN34" s="213"/>
      <c r="BO34" s="213"/>
      <c r="BP34" s="213"/>
      <c r="BQ34" s="213"/>
      <c r="BR34" s="213"/>
      <c r="BS34" s="213"/>
      <c r="BT34" s="213"/>
      <c r="BU34" s="213"/>
      <c r="BV34" s="213"/>
      <c r="BW34" s="213"/>
      <c r="BX34" s="213"/>
    </row>
    <row r="35" spans="1:76" s="209" customFormat="1" ht="22.5" customHeight="1">
      <c r="A35" s="235">
        <v>30</v>
      </c>
      <c r="B35" s="235"/>
      <c r="C35" s="235"/>
      <c r="D35" s="203"/>
      <c r="E35" s="204"/>
      <c r="F35" s="235"/>
      <c r="G35" s="235"/>
      <c r="H35" s="203"/>
      <c r="I35" s="203"/>
      <c r="J35" s="203"/>
      <c r="K35" s="205"/>
      <c r="L35" s="206"/>
      <c r="M35" s="203"/>
      <c r="N35" s="207"/>
      <c r="O35" s="207"/>
      <c r="P35" s="207"/>
      <c r="Q35" s="207"/>
      <c r="R35" s="206"/>
      <c r="S35" s="205"/>
      <c r="T35" s="205"/>
      <c r="U35" s="207"/>
      <c r="V35" s="226"/>
      <c r="W35" s="208"/>
      <c r="X35" s="208"/>
      <c r="Y35" s="208"/>
      <c r="Z35" s="208"/>
      <c r="AA35" s="208"/>
      <c r="AB35" s="210"/>
      <c r="AC35" s="210"/>
      <c r="AD35" s="210"/>
      <c r="AE35" s="210"/>
      <c r="AF35" s="210"/>
      <c r="AG35" s="210"/>
      <c r="AH35" s="210"/>
      <c r="AI35" s="93"/>
      <c r="AJ35" s="93">
        <f t="shared" ca="1" si="1"/>
        <v>0</v>
      </c>
      <c r="AK35" s="93">
        <f t="shared" ca="1" si="2"/>
        <v>0</v>
      </c>
      <c r="AL35" s="213"/>
      <c r="AM35" s="213"/>
      <c r="AN35" s="213"/>
      <c r="AO35" s="213"/>
      <c r="AP35" s="213"/>
      <c r="AQ35" s="213"/>
      <c r="AR35" s="213"/>
      <c r="AS35" s="213"/>
      <c r="AT35" s="213"/>
      <c r="AU35" s="213"/>
      <c r="AV35" s="213"/>
      <c r="AW35" s="213"/>
      <c r="AX35" s="213"/>
      <c r="AY35" s="213"/>
      <c r="AZ35" s="213"/>
      <c r="BA35" s="213"/>
      <c r="BB35" s="213"/>
      <c r="BC35" s="213"/>
      <c r="BD35" s="213"/>
      <c r="BE35" s="213"/>
      <c r="BF35" s="213"/>
      <c r="BG35" s="213"/>
      <c r="BH35" s="213"/>
      <c r="BI35" s="213"/>
      <c r="BJ35" s="213"/>
      <c r="BK35" s="213"/>
      <c r="BL35" s="213"/>
      <c r="BM35" s="213"/>
      <c r="BN35" s="213"/>
      <c r="BO35" s="213"/>
      <c r="BP35" s="213"/>
      <c r="BQ35" s="213"/>
      <c r="BR35" s="213"/>
      <c r="BS35" s="213"/>
      <c r="BT35" s="213"/>
      <c r="BU35" s="213"/>
      <c r="BV35" s="213"/>
      <c r="BW35" s="213"/>
      <c r="BX35" s="213"/>
    </row>
    <row r="36" spans="1:76" s="209" customFormat="1" ht="22.5" customHeight="1">
      <c r="A36" s="235">
        <v>31</v>
      </c>
      <c r="B36" s="235"/>
      <c r="C36" s="235"/>
      <c r="D36" s="203"/>
      <c r="E36" s="204"/>
      <c r="F36" s="235"/>
      <c r="G36" s="235"/>
      <c r="H36" s="203"/>
      <c r="I36" s="203"/>
      <c r="J36" s="203"/>
      <c r="K36" s="205"/>
      <c r="L36" s="206"/>
      <c r="M36" s="203"/>
      <c r="N36" s="207"/>
      <c r="O36" s="207"/>
      <c r="P36" s="207"/>
      <c r="Q36" s="207"/>
      <c r="R36" s="206"/>
      <c r="S36" s="205"/>
      <c r="T36" s="205"/>
      <c r="U36" s="207"/>
      <c r="V36" s="226"/>
      <c r="W36" s="208"/>
      <c r="X36" s="208"/>
      <c r="Y36" s="208"/>
      <c r="Z36" s="208"/>
      <c r="AA36" s="208"/>
      <c r="AB36" s="210"/>
      <c r="AC36" s="210"/>
      <c r="AD36" s="210"/>
      <c r="AE36" s="210"/>
      <c r="AF36" s="210"/>
      <c r="AG36" s="210"/>
      <c r="AH36" s="210"/>
      <c r="AI36" s="93"/>
      <c r="AJ36" s="93">
        <f t="shared" ca="1" si="1"/>
        <v>0</v>
      </c>
      <c r="AK36" s="93">
        <f t="shared" ca="1" si="2"/>
        <v>0</v>
      </c>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3"/>
      <c r="BH36" s="213"/>
      <c r="BI36" s="213"/>
      <c r="BJ36" s="213"/>
      <c r="BK36" s="213"/>
      <c r="BL36" s="213"/>
      <c r="BM36" s="213"/>
      <c r="BN36" s="213"/>
      <c r="BO36" s="213"/>
      <c r="BP36" s="213"/>
      <c r="BQ36" s="213"/>
      <c r="BR36" s="213"/>
      <c r="BS36" s="213"/>
      <c r="BT36" s="213"/>
      <c r="BU36" s="213"/>
      <c r="BV36" s="213"/>
      <c r="BW36" s="213"/>
      <c r="BX36" s="213"/>
    </row>
    <row r="37" spans="1:76" s="209" customFormat="1" ht="22.5" customHeight="1">
      <c r="A37" s="235">
        <v>32</v>
      </c>
      <c r="B37" s="235"/>
      <c r="C37" s="235"/>
      <c r="D37" s="203"/>
      <c r="E37" s="204"/>
      <c r="F37" s="235"/>
      <c r="G37" s="235"/>
      <c r="H37" s="203"/>
      <c r="I37" s="203"/>
      <c r="J37" s="203"/>
      <c r="K37" s="205"/>
      <c r="L37" s="206"/>
      <c r="M37" s="203"/>
      <c r="N37" s="207"/>
      <c r="O37" s="207"/>
      <c r="P37" s="207"/>
      <c r="Q37" s="207"/>
      <c r="R37" s="206"/>
      <c r="S37" s="205"/>
      <c r="T37" s="205"/>
      <c r="U37" s="207"/>
      <c r="V37" s="226"/>
      <c r="W37" s="208"/>
      <c r="X37" s="208"/>
      <c r="Y37" s="208"/>
      <c r="Z37" s="208"/>
      <c r="AA37" s="208"/>
      <c r="AB37" s="210"/>
      <c r="AC37" s="210"/>
      <c r="AD37" s="210"/>
      <c r="AE37" s="210"/>
      <c r="AF37" s="210"/>
      <c r="AG37" s="210"/>
      <c r="AH37" s="210"/>
      <c r="AI37" s="93"/>
      <c r="AJ37" s="93">
        <f t="shared" ca="1" si="1"/>
        <v>0</v>
      </c>
      <c r="AK37" s="93">
        <f t="shared" ca="1" si="2"/>
        <v>0</v>
      </c>
      <c r="AL37" s="213"/>
      <c r="AM37" s="213"/>
      <c r="AN37" s="213"/>
      <c r="AO37" s="213"/>
      <c r="AP37" s="213"/>
      <c r="AQ37" s="213"/>
      <c r="AR37" s="213"/>
      <c r="AS37" s="213"/>
      <c r="AT37" s="213"/>
      <c r="AU37" s="213"/>
      <c r="AV37" s="213"/>
      <c r="AW37" s="213"/>
      <c r="AX37" s="213"/>
      <c r="AY37" s="213"/>
      <c r="AZ37" s="213"/>
      <c r="BA37" s="213"/>
      <c r="BB37" s="213"/>
      <c r="BC37" s="213"/>
      <c r="BD37" s="213"/>
      <c r="BE37" s="213"/>
      <c r="BF37" s="213"/>
      <c r="BG37" s="213"/>
      <c r="BH37" s="213"/>
      <c r="BI37" s="213"/>
      <c r="BJ37" s="213"/>
      <c r="BK37" s="213"/>
      <c r="BL37" s="213"/>
      <c r="BM37" s="213"/>
      <c r="BN37" s="213"/>
      <c r="BO37" s="213"/>
      <c r="BP37" s="213"/>
      <c r="BQ37" s="213"/>
      <c r="BR37" s="213"/>
      <c r="BS37" s="213"/>
      <c r="BT37" s="213"/>
      <c r="BU37" s="213"/>
      <c r="BV37" s="213"/>
      <c r="BW37" s="213"/>
      <c r="BX37" s="213"/>
    </row>
    <row r="38" spans="1:76" s="209" customFormat="1" ht="22.5" customHeight="1">
      <c r="A38" s="235">
        <v>33</v>
      </c>
      <c r="B38" s="235"/>
      <c r="C38" s="235"/>
      <c r="D38" s="203"/>
      <c r="E38" s="204"/>
      <c r="F38" s="235"/>
      <c r="G38" s="235"/>
      <c r="H38" s="203"/>
      <c r="I38" s="203"/>
      <c r="J38" s="203"/>
      <c r="K38" s="205"/>
      <c r="L38" s="206"/>
      <c r="M38" s="203"/>
      <c r="N38" s="207"/>
      <c r="O38" s="207"/>
      <c r="P38" s="207"/>
      <c r="Q38" s="207"/>
      <c r="R38" s="206"/>
      <c r="S38" s="205"/>
      <c r="T38" s="205"/>
      <c r="U38" s="207"/>
      <c r="V38" s="226"/>
      <c r="W38" s="208"/>
      <c r="X38" s="208"/>
      <c r="Y38" s="208"/>
      <c r="Z38" s="208"/>
      <c r="AA38" s="208"/>
      <c r="AB38" s="210"/>
      <c r="AC38" s="210"/>
      <c r="AD38" s="210"/>
      <c r="AE38" s="210"/>
      <c r="AF38" s="210"/>
      <c r="AG38" s="210"/>
      <c r="AH38" s="210"/>
      <c r="AI38" s="93"/>
      <c r="AJ38" s="93">
        <f t="shared" ca="1" si="1"/>
        <v>0</v>
      </c>
      <c r="AK38" s="93">
        <f t="shared" ca="1" si="2"/>
        <v>0</v>
      </c>
      <c r="AL38" s="213"/>
      <c r="AM38" s="213"/>
      <c r="AN38" s="213"/>
      <c r="AO38" s="213"/>
      <c r="AP38" s="213"/>
      <c r="AQ38" s="213"/>
      <c r="AR38" s="213"/>
      <c r="AS38" s="213"/>
      <c r="AT38" s="213"/>
      <c r="AU38" s="213"/>
      <c r="AV38" s="213"/>
      <c r="AW38" s="213"/>
      <c r="AX38" s="213"/>
      <c r="AY38" s="213"/>
      <c r="AZ38" s="213"/>
      <c r="BA38" s="213"/>
      <c r="BB38" s="213"/>
      <c r="BC38" s="213"/>
      <c r="BD38" s="213"/>
      <c r="BE38" s="213"/>
      <c r="BF38" s="213"/>
      <c r="BG38" s="213"/>
      <c r="BH38" s="213"/>
      <c r="BI38" s="213"/>
      <c r="BJ38" s="213"/>
      <c r="BK38" s="213"/>
      <c r="BL38" s="213"/>
      <c r="BM38" s="213"/>
      <c r="BN38" s="213"/>
      <c r="BO38" s="213"/>
      <c r="BP38" s="213"/>
      <c r="BQ38" s="213"/>
      <c r="BR38" s="213"/>
      <c r="BS38" s="213"/>
      <c r="BT38" s="213"/>
      <c r="BU38" s="213"/>
      <c r="BV38" s="213"/>
      <c r="BW38" s="213"/>
      <c r="BX38" s="213"/>
    </row>
    <row r="39" spans="1:76" s="209" customFormat="1" ht="22.5" customHeight="1">
      <c r="A39" s="235">
        <v>34</v>
      </c>
      <c r="B39" s="235"/>
      <c r="C39" s="235"/>
      <c r="D39" s="203"/>
      <c r="E39" s="204"/>
      <c r="F39" s="235"/>
      <c r="G39" s="235"/>
      <c r="H39" s="203"/>
      <c r="I39" s="203"/>
      <c r="J39" s="203"/>
      <c r="K39" s="205"/>
      <c r="L39" s="206"/>
      <c r="M39" s="203"/>
      <c r="N39" s="207"/>
      <c r="O39" s="207"/>
      <c r="P39" s="207"/>
      <c r="Q39" s="207"/>
      <c r="R39" s="206"/>
      <c r="S39" s="205"/>
      <c r="T39" s="205"/>
      <c r="U39" s="207"/>
      <c r="V39" s="226"/>
      <c r="W39" s="208"/>
      <c r="X39" s="208"/>
      <c r="Y39" s="208"/>
      <c r="Z39" s="208"/>
      <c r="AA39" s="208"/>
      <c r="AB39" s="210"/>
      <c r="AC39" s="210"/>
      <c r="AD39" s="210"/>
      <c r="AE39" s="210"/>
      <c r="AF39" s="210"/>
      <c r="AG39" s="210"/>
      <c r="AH39" s="210"/>
      <c r="AI39" s="93"/>
      <c r="AJ39" s="93">
        <f t="shared" ca="1" si="1"/>
        <v>0</v>
      </c>
      <c r="AK39" s="93">
        <f t="shared" ca="1" si="2"/>
        <v>0</v>
      </c>
      <c r="AL39" s="213"/>
      <c r="AM39" s="213"/>
      <c r="AN39" s="213"/>
      <c r="AO39" s="213"/>
      <c r="AP39" s="213"/>
      <c r="AQ39" s="213"/>
      <c r="AR39" s="213"/>
      <c r="AS39" s="213"/>
      <c r="AT39" s="213"/>
      <c r="AU39" s="213"/>
      <c r="AV39" s="213"/>
      <c r="AW39" s="213"/>
      <c r="AX39" s="213"/>
      <c r="AY39" s="213"/>
      <c r="AZ39" s="213"/>
      <c r="BA39" s="213"/>
      <c r="BB39" s="213"/>
      <c r="BC39" s="213"/>
      <c r="BD39" s="213"/>
      <c r="BE39" s="213"/>
      <c r="BF39" s="213"/>
      <c r="BG39" s="213"/>
      <c r="BH39" s="213"/>
      <c r="BI39" s="213"/>
      <c r="BJ39" s="213"/>
      <c r="BK39" s="213"/>
      <c r="BL39" s="213"/>
      <c r="BM39" s="213"/>
      <c r="BN39" s="213"/>
      <c r="BO39" s="213"/>
      <c r="BP39" s="213"/>
      <c r="BQ39" s="213"/>
      <c r="BR39" s="213"/>
      <c r="BS39" s="213"/>
      <c r="BT39" s="213"/>
      <c r="BU39" s="213"/>
      <c r="BV39" s="213"/>
      <c r="BW39" s="213"/>
      <c r="BX39" s="213"/>
    </row>
    <row r="40" spans="1:76" s="209" customFormat="1" ht="22.5" customHeight="1">
      <c r="A40" s="235">
        <v>35</v>
      </c>
      <c r="B40" s="235"/>
      <c r="C40" s="235"/>
      <c r="D40" s="203"/>
      <c r="E40" s="204"/>
      <c r="F40" s="235"/>
      <c r="G40" s="235"/>
      <c r="H40" s="203"/>
      <c r="I40" s="203"/>
      <c r="J40" s="203"/>
      <c r="K40" s="205"/>
      <c r="L40" s="206"/>
      <c r="M40" s="203"/>
      <c r="N40" s="207"/>
      <c r="O40" s="207"/>
      <c r="P40" s="207"/>
      <c r="Q40" s="207"/>
      <c r="R40" s="206"/>
      <c r="S40" s="205"/>
      <c r="T40" s="205"/>
      <c r="U40" s="207"/>
      <c r="V40" s="226"/>
      <c r="W40" s="208"/>
      <c r="X40" s="208"/>
      <c r="Y40" s="208"/>
      <c r="Z40" s="208"/>
      <c r="AA40" s="208"/>
      <c r="AB40" s="210"/>
      <c r="AC40" s="210"/>
      <c r="AD40" s="210"/>
      <c r="AE40" s="210"/>
      <c r="AF40" s="210"/>
      <c r="AG40" s="210"/>
      <c r="AH40" s="210"/>
      <c r="AI40" s="93"/>
      <c r="AJ40" s="93">
        <f t="shared" ca="1" si="1"/>
        <v>0</v>
      </c>
      <c r="AK40" s="93">
        <f t="shared" ca="1" si="2"/>
        <v>0</v>
      </c>
      <c r="AL40" s="213"/>
      <c r="AM40" s="213"/>
      <c r="AN40" s="213"/>
      <c r="AO40" s="213"/>
      <c r="AP40" s="213"/>
      <c r="AQ40" s="213"/>
      <c r="AR40" s="213"/>
      <c r="AS40" s="213"/>
      <c r="AT40" s="213"/>
      <c r="AU40" s="213"/>
      <c r="AV40" s="213"/>
      <c r="AW40" s="213"/>
      <c r="AX40" s="213"/>
      <c r="AY40" s="213"/>
      <c r="AZ40" s="213"/>
      <c r="BA40" s="213"/>
      <c r="BB40" s="213"/>
      <c r="BC40" s="213"/>
      <c r="BD40" s="213"/>
      <c r="BE40" s="213"/>
      <c r="BF40" s="213"/>
      <c r="BG40" s="213"/>
      <c r="BH40" s="213"/>
      <c r="BI40" s="213"/>
      <c r="BJ40" s="213"/>
      <c r="BK40" s="213"/>
      <c r="BL40" s="213"/>
      <c r="BM40" s="213"/>
      <c r="BN40" s="213"/>
      <c r="BO40" s="213"/>
      <c r="BP40" s="213"/>
      <c r="BQ40" s="213"/>
      <c r="BR40" s="213"/>
      <c r="BS40" s="213"/>
      <c r="BT40" s="213"/>
      <c r="BU40" s="213"/>
      <c r="BV40" s="213"/>
      <c r="BW40" s="213"/>
      <c r="BX40" s="213"/>
    </row>
    <row r="41" spans="1:76" s="209" customFormat="1" ht="22.5" customHeight="1">
      <c r="A41" s="235">
        <v>36</v>
      </c>
      <c r="B41" s="235"/>
      <c r="C41" s="235"/>
      <c r="D41" s="203"/>
      <c r="E41" s="204"/>
      <c r="F41" s="235"/>
      <c r="G41" s="235"/>
      <c r="H41" s="203"/>
      <c r="I41" s="203"/>
      <c r="J41" s="203"/>
      <c r="K41" s="205"/>
      <c r="L41" s="206"/>
      <c r="M41" s="203"/>
      <c r="N41" s="207"/>
      <c r="O41" s="207"/>
      <c r="P41" s="207"/>
      <c r="Q41" s="207"/>
      <c r="R41" s="206"/>
      <c r="S41" s="205"/>
      <c r="T41" s="205"/>
      <c r="U41" s="207"/>
      <c r="V41" s="226"/>
      <c r="W41" s="208"/>
      <c r="X41" s="208"/>
      <c r="Y41" s="208"/>
      <c r="Z41" s="208"/>
      <c r="AA41" s="208"/>
      <c r="AB41" s="210"/>
      <c r="AC41" s="210"/>
      <c r="AD41" s="210"/>
      <c r="AE41" s="210"/>
      <c r="AF41" s="210"/>
      <c r="AG41" s="210"/>
      <c r="AH41" s="210"/>
      <c r="AI41" s="93"/>
      <c r="AJ41" s="93">
        <f t="shared" ca="1" si="1"/>
        <v>0</v>
      </c>
      <c r="AK41" s="93">
        <f t="shared" ca="1" si="2"/>
        <v>0</v>
      </c>
      <c r="AL41" s="213"/>
      <c r="AM41" s="213"/>
      <c r="AN41" s="213"/>
      <c r="AO41" s="213"/>
      <c r="AP41" s="213"/>
      <c r="AQ41" s="213"/>
      <c r="AR41" s="213"/>
      <c r="AS41" s="213"/>
      <c r="AT41" s="213"/>
      <c r="AU41" s="213"/>
      <c r="AV41" s="213"/>
      <c r="AW41" s="213"/>
      <c r="AX41" s="213"/>
      <c r="AY41" s="213"/>
      <c r="AZ41" s="213"/>
      <c r="BA41" s="213"/>
      <c r="BB41" s="213"/>
      <c r="BC41" s="213"/>
      <c r="BD41" s="213"/>
      <c r="BE41" s="213"/>
      <c r="BF41" s="213"/>
      <c r="BG41" s="213"/>
      <c r="BH41" s="213"/>
      <c r="BI41" s="213"/>
      <c r="BJ41" s="213"/>
      <c r="BK41" s="213"/>
      <c r="BL41" s="213"/>
      <c r="BM41" s="213"/>
      <c r="BN41" s="213"/>
      <c r="BO41" s="213"/>
      <c r="BP41" s="213"/>
      <c r="BQ41" s="213"/>
      <c r="BR41" s="213"/>
      <c r="BS41" s="213"/>
      <c r="BT41" s="213"/>
      <c r="BU41" s="213"/>
      <c r="BV41" s="213"/>
      <c r="BW41" s="213"/>
      <c r="BX41" s="213"/>
    </row>
    <row r="42" spans="1:76" s="209" customFormat="1" ht="22.5" customHeight="1">
      <c r="A42" s="235">
        <v>37</v>
      </c>
      <c r="B42" s="235"/>
      <c r="C42" s="235"/>
      <c r="D42" s="203"/>
      <c r="E42" s="204"/>
      <c r="F42" s="235"/>
      <c r="G42" s="235"/>
      <c r="H42" s="203"/>
      <c r="I42" s="203"/>
      <c r="J42" s="203"/>
      <c r="K42" s="205"/>
      <c r="L42" s="206"/>
      <c r="M42" s="203"/>
      <c r="N42" s="207"/>
      <c r="O42" s="207"/>
      <c r="P42" s="207"/>
      <c r="Q42" s="207"/>
      <c r="R42" s="206"/>
      <c r="S42" s="205"/>
      <c r="T42" s="205"/>
      <c r="U42" s="207"/>
      <c r="V42" s="226"/>
      <c r="W42" s="208"/>
      <c r="X42" s="208"/>
      <c r="Y42" s="208"/>
      <c r="Z42" s="208"/>
      <c r="AA42" s="208"/>
      <c r="AB42" s="210"/>
      <c r="AC42" s="210"/>
      <c r="AD42" s="210"/>
      <c r="AE42" s="210"/>
      <c r="AF42" s="210"/>
      <c r="AG42" s="210"/>
      <c r="AH42" s="210"/>
      <c r="AI42" s="93"/>
      <c r="AJ42" s="93">
        <f t="shared" ca="1" si="1"/>
        <v>0</v>
      </c>
      <c r="AK42" s="93">
        <f t="shared" ca="1" si="2"/>
        <v>0</v>
      </c>
      <c r="AL42" s="213"/>
      <c r="AM42" s="213"/>
      <c r="AN42" s="213"/>
      <c r="AO42" s="213"/>
      <c r="AP42" s="213"/>
      <c r="AQ42" s="213"/>
      <c r="AR42" s="213"/>
      <c r="AS42" s="213"/>
      <c r="AT42" s="213"/>
      <c r="AU42" s="213"/>
      <c r="AV42" s="213"/>
      <c r="AW42" s="213"/>
      <c r="AX42" s="213"/>
      <c r="AY42" s="213"/>
      <c r="AZ42" s="213"/>
      <c r="BA42" s="213"/>
      <c r="BB42" s="213"/>
      <c r="BC42" s="213"/>
      <c r="BD42" s="213"/>
      <c r="BE42" s="213"/>
      <c r="BF42" s="213"/>
      <c r="BG42" s="213"/>
      <c r="BH42" s="213"/>
      <c r="BI42" s="213"/>
      <c r="BJ42" s="213"/>
      <c r="BK42" s="213"/>
      <c r="BL42" s="213"/>
      <c r="BM42" s="213"/>
      <c r="BN42" s="213"/>
      <c r="BO42" s="213"/>
      <c r="BP42" s="213"/>
      <c r="BQ42" s="213"/>
      <c r="BR42" s="213"/>
      <c r="BS42" s="213"/>
      <c r="BT42" s="213"/>
      <c r="BU42" s="213"/>
      <c r="BV42" s="213"/>
      <c r="BW42" s="213"/>
      <c r="BX42" s="213"/>
    </row>
    <row r="43" spans="1:76" s="209" customFormat="1" ht="22.5" customHeight="1">
      <c r="A43" s="235">
        <v>38</v>
      </c>
      <c r="B43" s="235"/>
      <c r="C43" s="235"/>
      <c r="D43" s="203"/>
      <c r="E43" s="204"/>
      <c r="F43" s="235"/>
      <c r="G43" s="235"/>
      <c r="H43" s="203"/>
      <c r="I43" s="203"/>
      <c r="J43" s="203"/>
      <c r="K43" s="205"/>
      <c r="L43" s="206"/>
      <c r="M43" s="203"/>
      <c r="N43" s="207"/>
      <c r="O43" s="207"/>
      <c r="P43" s="207"/>
      <c r="Q43" s="207"/>
      <c r="R43" s="206"/>
      <c r="S43" s="205"/>
      <c r="T43" s="205"/>
      <c r="U43" s="207"/>
      <c r="V43" s="226"/>
      <c r="W43" s="208"/>
      <c r="X43" s="208"/>
      <c r="Y43" s="208"/>
      <c r="Z43" s="208"/>
      <c r="AA43" s="208"/>
      <c r="AB43" s="210"/>
      <c r="AC43" s="210"/>
      <c r="AD43" s="210"/>
      <c r="AE43" s="210"/>
      <c r="AF43" s="210"/>
      <c r="AG43" s="210"/>
      <c r="AH43" s="210"/>
      <c r="AI43" s="93"/>
      <c r="AJ43" s="93">
        <f t="shared" ca="1" si="1"/>
        <v>0</v>
      </c>
      <c r="AK43" s="93">
        <f t="shared" ca="1" si="2"/>
        <v>0</v>
      </c>
      <c r="AL43" s="213"/>
      <c r="AM43" s="213"/>
      <c r="AN43" s="213"/>
      <c r="AO43" s="213"/>
      <c r="AP43" s="213"/>
      <c r="AQ43" s="213"/>
      <c r="AR43" s="213"/>
      <c r="AS43" s="213"/>
      <c r="AT43" s="213"/>
      <c r="AU43" s="213"/>
      <c r="AV43" s="213"/>
      <c r="AW43" s="213"/>
      <c r="AX43" s="213"/>
      <c r="AY43" s="213"/>
      <c r="AZ43" s="213"/>
      <c r="BA43" s="213"/>
      <c r="BB43" s="213"/>
      <c r="BC43" s="213"/>
      <c r="BD43" s="213"/>
      <c r="BE43" s="213"/>
      <c r="BF43" s="213"/>
      <c r="BG43" s="213"/>
      <c r="BH43" s="213"/>
      <c r="BI43" s="213"/>
      <c r="BJ43" s="213"/>
      <c r="BK43" s="213"/>
      <c r="BL43" s="213"/>
      <c r="BM43" s="213"/>
      <c r="BN43" s="213"/>
      <c r="BO43" s="213"/>
      <c r="BP43" s="213"/>
      <c r="BQ43" s="213"/>
      <c r="BR43" s="213"/>
      <c r="BS43" s="213"/>
      <c r="BT43" s="213"/>
      <c r="BU43" s="213"/>
      <c r="BV43" s="213"/>
      <c r="BW43" s="213"/>
      <c r="BX43" s="213"/>
    </row>
    <row r="44" spans="1:76" s="209" customFormat="1" ht="22.5" customHeight="1">
      <c r="A44" s="235">
        <v>39</v>
      </c>
      <c r="B44" s="235"/>
      <c r="C44" s="235"/>
      <c r="D44" s="203"/>
      <c r="E44" s="204"/>
      <c r="F44" s="235"/>
      <c r="G44" s="235"/>
      <c r="H44" s="203"/>
      <c r="I44" s="203"/>
      <c r="J44" s="203"/>
      <c r="K44" s="205"/>
      <c r="L44" s="206"/>
      <c r="M44" s="203"/>
      <c r="N44" s="207"/>
      <c r="O44" s="207"/>
      <c r="P44" s="207"/>
      <c r="Q44" s="207"/>
      <c r="R44" s="206"/>
      <c r="S44" s="205"/>
      <c r="T44" s="205"/>
      <c r="U44" s="207"/>
      <c r="V44" s="226"/>
      <c r="W44" s="208"/>
      <c r="X44" s="208"/>
      <c r="Y44" s="208"/>
      <c r="Z44" s="208"/>
      <c r="AA44" s="208"/>
      <c r="AB44" s="210"/>
      <c r="AC44" s="210"/>
      <c r="AD44" s="210"/>
      <c r="AE44" s="210"/>
      <c r="AF44" s="210"/>
      <c r="AG44" s="210"/>
      <c r="AH44" s="210"/>
      <c r="AI44" s="93"/>
      <c r="AJ44" s="93">
        <f t="shared" ca="1" si="1"/>
        <v>0</v>
      </c>
      <c r="AK44" s="93">
        <f t="shared" ca="1" si="2"/>
        <v>0</v>
      </c>
      <c r="AL44" s="213"/>
      <c r="AM44" s="213"/>
      <c r="AN44" s="213"/>
      <c r="AO44" s="213"/>
      <c r="AP44" s="213"/>
      <c r="AQ44" s="213"/>
      <c r="AR44" s="213"/>
      <c r="AS44" s="213"/>
      <c r="AT44" s="213"/>
      <c r="AU44" s="213"/>
      <c r="AV44" s="213"/>
      <c r="AW44" s="213"/>
      <c r="AX44" s="213"/>
      <c r="AY44" s="213"/>
      <c r="AZ44" s="213"/>
      <c r="BA44" s="213"/>
      <c r="BB44" s="213"/>
      <c r="BC44" s="213"/>
      <c r="BD44" s="213"/>
      <c r="BE44" s="213"/>
      <c r="BF44" s="213"/>
      <c r="BG44" s="213"/>
      <c r="BH44" s="213"/>
      <c r="BI44" s="213"/>
      <c r="BJ44" s="213"/>
      <c r="BK44" s="213"/>
      <c r="BL44" s="213"/>
      <c r="BM44" s="213"/>
      <c r="BN44" s="213"/>
      <c r="BO44" s="213"/>
      <c r="BP44" s="213"/>
      <c r="BQ44" s="213"/>
      <c r="BR44" s="213"/>
      <c r="BS44" s="213"/>
      <c r="BT44" s="213"/>
      <c r="BU44" s="213"/>
      <c r="BV44" s="213"/>
      <c r="BW44" s="213"/>
      <c r="BX44" s="213"/>
    </row>
    <row r="45" spans="1:76" s="209" customFormat="1" ht="22.5" customHeight="1">
      <c r="A45" s="235">
        <v>40</v>
      </c>
      <c r="B45" s="235"/>
      <c r="C45" s="235"/>
      <c r="D45" s="203"/>
      <c r="E45" s="204"/>
      <c r="F45" s="235"/>
      <c r="G45" s="235"/>
      <c r="H45" s="203"/>
      <c r="I45" s="203"/>
      <c r="J45" s="203"/>
      <c r="K45" s="205"/>
      <c r="L45" s="206"/>
      <c r="M45" s="203"/>
      <c r="N45" s="207"/>
      <c r="O45" s="207"/>
      <c r="P45" s="207"/>
      <c r="Q45" s="207"/>
      <c r="R45" s="206"/>
      <c r="S45" s="205"/>
      <c r="T45" s="205"/>
      <c r="U45" s="207"/>
      <c r="V45" s="226"/>
      <c r="W45" s="208"/>
      <c r="X45" s="208"/>
      <c r="Y45" s="208"/>
      <c r="Z45" s="208"/>
      <c r="AA45" s="208"/>
      <c r="AB45" s="210"/>
      <c r="AC45" s="210"/>
      <c r="AD45" s="210"/>
      <c r="AE45" s="210"/>
      <c r="AF45" s="210"/>
      <c r="AG45" s="210"/>
      <c r="AH45" s="210"/>
      <c r="AI45" s="93"/>
      <c r="AJ45" s="93">
        <f t="shared" ca="1" si="1"/>
        <v>0</v>
      </c>
      <c r="AK45" s="93">
        <f t="shared" ca="1" si="2"/>
        <v>0</v>
      </c>
      <c r="AL45" s="213"/>
      <c r="AM45" s="213"/>
      <c r="AN45" s="213"/>
      <c r="AO45" s="213"/>
      <c r="AP45" s="213"/>
      <c r="AQ45" s="213"/>
      <c r="AR45" s="213"/>
      <c r="AS45" s="213"/>
      <c r="AT45" s="213"/>
      <c r="AU45" s="213"/>
      <c r="AV45" s="213"/>
      <c r="AW45" s="213"/>
      <c r="AX45" s="213"/>
      <c r="AY45" s="213"/>
      <c r="AZ45" s="213"/>
      <c r="BA45" s="213"/>
      <c r="BB45" s="213"/>
      <c r="BC45" s="213"/>
      <c r="BD45" s="213"/>
      <c r="BE45" s="213"/>
      <c r="BF45" s="213"/>
      <c r="BG45" s="213"/>
      <c r="BH45" s="213"/>
      <c r="BI45" s="213"/>
      <c r="BJ45" s="213"/>
      <c r="BK45" s="213"/>
      <c r="BL45" s="213"/>
      <c r="BM45" s="213"/>
      <c r="BN45" s="213"/>
      <c r="BO45" s="213"/>
      <c r="BP45" s="213"/>
      <c r="BQ45" s="213"/>
      <c r="BR45" s="213"/>
      <c r="BS45" s="213"/>
      <c r="BT45" s="213"/>
      <c r="BU45" s="213"/>
      <c r="BV45" s="213"/>
      <c r="BW45" s="213"/>
      <c r="BX45" s="213"/>
    </row>
    <row r="46" spans="1:76" s="209" customFormat="1" ht="22.5" customHeight="1">
      <c r="A46" s="235">
        <v>41</v>
      </c>
      <c r="B46" s="235"/>
      <c r="C46" s="235"/>
      <c r="D46" s="203"/>
      <c r="E46" s="204"/>
      <c r="F46" s="235"/>
      <c r="G46" s="235"/>
      <c r="H46" s="203"/>
      <c r="I46" s="203"/>
      <c r="J46" s="203"/>
      <c r="K46" s="205"/>
      <c r="L46" s="206"/>
      <c r="M46" s="203"/>
      <c r="N46" s="207"/>
      <c r="O46" s="207"/>
      <c r="P46" s="207"/>
      <c r="Q46" s="207"/>
      <c r="R46" s="206"/>
      <c r="S46" s="205"/>
      <c r="T46" s="205"/>
      <c r="U46" s="207"/>
      <c r="V46" s="226"/>
      <c r="W46" s="208"/>
      <c r="X46" s="208"/>
      <c r="Y46" s="208"/>
      <c r="Z46" s="208"/>
      <c r="AA46" s="208"/>
      <c r="AB46" s="210"/>
      <c r="AC46" s="210"/>
      <c r="AD46" s="210"/>
      <c r="AE46" s="210"/>
      <c r="AF46" s="210"/>
      <c r="AG46" s="210"/>
      <c r="AH46" s="210"/>
      <c r="AI46" s="93"/>
      <c r="AJ46" s="93">
        <f t="shared" ref="AJ46:AJ109" ca="1" si="3">IF(TRIM(K46)&lt;&gt;"",DATEDIF(K46,TODAY(),"y"),0)</f>
        <v>0</v>
      </c>
      <c r="AK46" s="93">
        <f t="shared" ref="AK46:AK109" ca="1" si="4">IF(TRIM(P46)&lt;&gt;"",DATEDIF(P46,TODAY(),"m"),0)</f>
        <v>0</v>
      </c>
      <c r="AL46" s="213"/>
      <c r="AM46" s="213"/>
      <c r="AN46" s="213"/>
      <c r="AO46" s="213"/>
      <c r="AP46" s="213"/>
      <c r="AQ46" s="213"/>
      <c r="AR46" s="213"/>
      <c r="AS46" s="213"/>
      <c r="AT46" s="213"/>
      <c r="AU46" s="213"/>
      <c r="AV46" s="213"/>
      <c r="AW46" s="213"/>
      <c r="AX46" s="213"/>
      <c r="AY46" s="213"/>
      <c r="AZ46" s="213"/>
      <c r="BA46" s="213"/>
      <c r="BB46" s="213"/>
      <c r="BC46" s="213"/>
      <c r="BD46" s="213"/>
      <c r="BE46" s="213"/>
      <c r="BF46" s="213"/>
      <c r="BG46" s="213"/>
      <c r="BH46" s="213"/>
      <c r="BI46" s="213"/>
      <c r="BJ46" s="213"/>
      <c r="BK46" s="213"/>
      <c r="BL46" s="213"/>
      <c r="BM46" s="213"/>
      <c r="BN46" s="213"/>
      <c r="BO46" s="213"/>
      <c r="BP46" s="213"/>
      <c r="BQ46" s="213"/>
      <c r="BR46" s="213"/>
      <c r="BS46" s="213"/>
      <c r="BT46" s="213"/>
      <c r="BU46" s="213"/>
      <c r="BV46" s="213"/>
      <c r="BW46" s="213"/>
      <c r="BX46" s="213"/>
    </row>
    <row r="47" spans="1:76" s="209" customFormat="1" ht="22.5" customHeight="1">
      <c r="A47" s="235">
        <v>42</v>
      </c>
      <c r="B47" s="235"/>
      <c r="C47" s="235"/>
      <c r="D47" s="203"/>
      <c r="E47" s="204"/>
      <c r="F47" s="235"/>
      <c r="G47" s="235"/>
      <c r="H47" s="203"/>
      <c r="I47" s="203"/>
      <c r="J47" s="203"/>
      <c r="K47" s="205"/>
      <c r="L47" s="206"/>
      <c r="M47" s="203"/>
      <c r="N47" s="207"/>
      <c r="O47" s="207"/>
      <c r="P47" s="207"/>
      <c r="Q47" s="207"/>
      <c r="R47" s="206"/>
      <c r="S47" s="205"/>
      <c r="T47" s="205"/>
      <c r="U47" s="207"/>
      <c r="V47" s="226"/>
      <c r="W47" s="208"/>
      <c r="X47" s="208"/>
      <c r="Y47" s="208"/>
      <c r="Z47" s="208"/>
      <c r="AA47" s="208"/>
      <c r="AB47" s="210"/>
      <c r="AC47" s="210"/>
      <c r="AD47" s="210"/>
      <c r="AE47" s="210"/>
      <c r="AF47" s="210"/>
      <c r="AG47" s="210"/>
      <c r="AH47" s="210"/>
      <c r="AI47" s="93"/>
      <c r="AJ47" s="93">
        <f t="shared" ca="1" si="3"/>
        <v>0</v>
      </c>
      <c r="AK47" s="93">
        <f t="shared" ca="1" si="4"/>
        <v>0</v>
      </c>
      <c r="AL47" s="213"/>
      <c r="AM47" s="213"/>
      <c r="AN47" s="213"/>
      <c r="AO47" s="213"/>
      <c r="AP47" s="213"/>
      <c r="AQ47" s="213"/>
      <c r="AR47" s="213"/>
      <c r="AS47" s="213"/>
      <c r="AT47" s="213"/>
      <c r="AU47" s="213"/>
      <c r="AV47" s="213"/>
      <c r="AW47" s="213"/>
      <c r="AX47" s="213"/>
      <c r="AY47" s="213"/>
      <c r="AZ47" s="213"/>
      <c r="BA47" s="213"/>
      <c r="BB47" s="213"/>
      <c r="BC47" s="213"/>
      <c r="BD47" s="213"/>
      <c r="BE47" s="213"/>
      <c r="BF47" s="213"/>
      <c r="BG47" s="213"/>
      <c r="BH47" s="213"/>
      <c r="BI47" s="213"/>
      <c r="BJ47" s="213"/>
      <c r="BK47" s="213"/>
      <c r="BL47" s="213"/>
      <c r="BM47" s="213"/>
      <c r="BN47" s="213"/>
      <c r="BO47" s="213"/>
      <c r="BP47" s="213"/>
      <c r="BQ47" s="213"/>
      <c r="BR47" s="213"/>
      <c r="BS47" s="213"/>
      <c r="BT47" s="213"/>
      <c r="BU47" s="213"/>
      <c r="BV47" s="213"/>
      <c r="BW47" s="213"/>
      <c r="BX47" s="213"/>
    </row>
    <row r="48" spans="1:76" s="209" customFormat="1" ht="22.5" customHeight="1">
      <c r="A48" s="235">
        <v>43</v>
      </c>
      <c r="B48" s="235"/>
      <c r="C48" s="235"/>
      <c r="D48" s="203"/>
      <c r="E48" s="204"/>
      <c r="F48" s="235"/>
      <c r="G48" s="235"/>
      <c r="H48" s="203"/>
      <c r="I48" s="203"/>
      <c r="J48" s="203"/>
      <c r="K48" s="205"/>
      <c r="L48" s="206"/>
      <c r="M48" s="203"/>
      <c r="N48" s="207"/>
      <c r="O48" s="207"/>
      <c r="P48" s="207"/>
      <c r="Q48" s="207"/>
      <c r="R48" s="206"/>
      <c r="S48" s="205"/>
      <c r="T48" s="205"/>
      <c r="U48" s="207"/>
      <c r="V48" s="226"/>
      <c r="W48" s="208"/>
      <c r="X48" s="208"/>
      <c r="Y48" s="208"/>
      <c r="Z48" s="208"/>
      <c r="AA48" s="208"/>
      <c r="AB48" s="210"/>
      <c r="AC48" s="210"/>
      <c r="AD48" s="210"/>
      <c r="AE48" s="210"/>
      <c r="AF48" s="210"/>
      <c r="AG48" s="210"/>
      <c r="AH48" s="210"/>
      <c r="AI48" s="93"/>
      <c r="AJ48" s="93">
        <f t="shared" ca="1" si="3"/>
        <v>0</v>
      </c>
      <c r="AK48" s="93">
        <f t="shared" ca="1" si="4"/>
        <v>0</v>
      </c>
      <c r="AL48" s="213"/>
      <c r="AM48" s="213"/>
      <c r="AN48" s="213"/>
      <c r="AO48" s="213"/>
      <c r="AP48" s="213"/>
      <c r="AQ48" s="213"/>
      <c r="AR48" s="213"/>
      <c r="AS48" s="213"/>
      <c r="AT48" s="213"/>
      <c r="AU48" s="213"/>
      <c r="AV48" s="213"/>
      <c r="AW48" s="213"/>
      <c r="AX48" s="213"/>
      <c r="AY48" s="213"/>
      <c r="AZ48" s="213"/>
      <c r="BA48" s="213"/>
      <c r="BB48" s="213"/>
      <c r="BC48" s="213"/>
      <c r="BD48" s="213"/>
      <c r="BE48" s="213"/>
      <c r="BF48" s="213"/>
      <c r="BG48" s="213"/>
      <c r="BH48" s="213"/>
      <c r="BI48" s="213"/>
      <c r="BJ48" s="213"/>
      <c r="BK48" s="213"/>
      <c r="BL48" s="213"/>
      <c r="BM48" s="213"/>
      <c r="BN48" s="213"/>
      <c r="BO48" s="213"/>
      <c r="BP48" s="213"/>
      <c r="BQ48" s="213"/>
      <c r="BR48" s="213"/>
      <c r="BS48" s="213"/>
      <c r="BT48" s="213"/>
      <c r="BU48" s="213"/>
      <c r="BV48" s="213"/>
      <c r="BW48" s="213"/>
      <c r="BX48" s="213"/>
    </row>
    <row r="49" spans="1:76" s="209" customFormat="1" ht="22.5" customHeight="1">
      <c r="A49" s="235">
        <v>44</v>
      </c>
      <c r="B49" s="235"/>
      <c r="C49" s="235"/>
      <c r="D49" s="203"/>
      <c r="E49" s="204"/>
      <c r="F49" s="235"/>
      <c r="G49" s="235"/>
      <c r="H49" s="203"/>
      <c r="I49" s="203"/>
      <c r="J49" s="203"/>
      <c r="K49" s="205"/>
      <c r="L49" s="206"/>
      <c r="M49" s="203"/>
      <c r="N49" s="207"/>
      <c r="O49" s="207"/>
      <c r="P49" s="207"/>
      <c r="Q49" s="207"/>
      <c r="R49" s="206"/>
      <c r="S49" s="205"/>
      <c r="T49" s="205"/>
      <c r="U49" s="207"/>
      <c r="V49" s="226"/>
      <c r="W49" s="208"/>
      <c r="X49" s="208"/>
      <c r="Y49" s="208"/>
      <c r="Z49" s="208"/>
      <c r="AA49" s="208"/>
      <c r="AB49" s="210"/>
      <c r="AC49" s="210"/>
      <c r="AD49" s="210"/>
      <c r="AE49" s="210"/>
      <c r="AF49" s="210"/>
      <c r="AG49" s="210"/>
      <c r="AH49" s="210"/>
      <c r="AI49" s="93"/>
      <c r="AJ49" s="93">
        <f t="shared" ca="1" si="3"/>
        <v>0</v>
      </c>
      <c r="AK49" s="93">
        <f t="shared" ca="1" si="4"/>
        <v>0</v>
      </c>
      <c r="AL49" s="213"/>
      <c r="AM49" s="213"/>
      <c r="AN49" s="213"/>
      <c r="AO49" s="213"/>
      <c r="AP49" s="213"/>
      <c r="AQ49" s="213"/>
      <c r="AR49" s="213"/>
      <c r="AS49" s="213"/>
      <c r="AT49" s="213"/>
      <c r="AU49" s="213"/>
      <c r="AV49" s="213"/>
      <c r="AW49" s="213"/>
      <c r="AX49" s="213"/>
      <c r="AY49" s="213"/>
      <c r="AZ49" s="213"/>
      <c r="BA49" s="213"/>
      <c r="BB49" s="213"/>
      <c r="BC49" s="213"/>
      <c r="BD49" s="213"/>
      <c r="BE49" s="213"/>
      <c r="BF49" s="213"/>
      <c r="BG49" s="213"/>
      <c r="BH49" s="213"/>
      <c r="BI49" s="213"/>
      <c r="BJ49" s="213"/>
      <c r="BK49" s="213"/>
      <c r="BL49" s="213"/>
      <c r="BM49" s="213"/>
      <c r="BN49" s="213"/>
      <c r="BO49" s="213"/>
      <c r="BP49" s="213"/>
      <c r="BQ49" s="213"/>
      <c r="BR49" s="213"/>
      <c r="BS49" s="213"/>
      <c r="BT49" s="213"/>
      <c r="BU49" s="213"/>
      <c r="BV49" s="213"/>
      <c r="BW49" s="213"/>
      <c r="BX49" s="213"/>
    </row>
    <row r="50" spans="1:76" s="209" customFormat="1" ht="22.5" customHeight="1">
      <c r="A50" s="235">
        <v>45</v>
      </c>
      <c r="B50" s="235"/>
      <c r="C50" s="235"/>
      <c r="D50" s="203"/>
      <c r="E50" s="204"/>
      <c r="F50" s="235"/>
      <c r="G50" s="235"/>
      <c r="H50" s="203"/>
      <c r="I50" s="203"/>
      <c r="J50" s="203"/>
      <c r="K50" s="205"/>
      <c r="L50" s="206"/>
      <c r="M50" s="203"/>
      <c r="N50" s="207"/>
      <c r="O50" s="207"/>
      <c r="P50" s="207"/>
      <c r="Q50" s="207"/>
      <c r="R50" s="206"/>
      <c r="S50" s="205"/>
      <c r="T50" s="205"/>
      <c r="U50" s="207"/>
      <c r="V50" s="226"/>
      <c r="W50" s="208"/>
      <c r="X50" s="208"/>
      <c r="Y50" s="208"/>
      <c r="Z50" s="208"/>
      <c r="AA50" s="208"/>
      <c r="AB50" s="210"/>
      <c r="AC50" s="210"/>
      <c r="AD50" s="210"/>
      <c r="AE50" s="210"/>
      <c r="AF50" s="210"/>
      <c r="AG50" s="210"/>
      <c r="AH50" s="210"/>
      <c r="AI50" s="93"/>
      <c r="AJ50" s="93">
        <f t="shared" ca="1" si="3"/>
        <v>0</v>
      </c>
      <c r="AK50" s="93">
        <f t="shared" ca="1" si="4"/>
        <v>0</v>
      </c>
      <c r="AL50" s="213"/>
      <c r="AM50" s="213"/>
      <c r="AN50" s="213"/>
      <c r="AO50" s="213"/>
      <c r="AP50" s="213"/>
      <c r="AQ50" s="213"/>
      <c r="AR50" s="213"/>
      <c r="AS50" s="213"/>
      <c r="AT50" s="213"/>
      <c r="AU50" s="213"/>
      <c r="AV50" s="213"/>
      <c r="AW50" s="213"/>
      <c r="AX50" s="213"/>
      <c r="AY50" s="213"/>
      <c r="AZ50" s="213"/>
      <c r="BA50" s="213"/>
      <c r="BB50" s="213"/>
      <c r="BC50" s="213"/>
      <c r="BD50" s="213"/>
      <c r="BE50" s="213"/>
      <c r="BF50" s="213"/>
      <c r="BG50" s="213"/>
      <c r="BH50" s="213"/>
      <c r="BI50" s="213"/>
      <c r="BJ50" s="213"/>
      <c r="BK50" s="213"/>
      <c r="BL50" s="213"/>
      <c r="BM50" s="213"/>
      <c r="BN50" s="213"/>
      <c r="BO50" s="213"/>
      <c r="BP50" s="213"/>
      <c r="BQ50" s="213"/>
      <c r="BR50" s="213"/>
      <c r="BS50" s="213"/>
      <c r="BT50" s="213"/>
      <c r="BU50" s="213"/>
      <c r="BV50" s="213"/>
      <c r="BW50" s="213"/>
      <c r="BX50" s="213"/>
    </row>
    <row r="51" spans="1:76" s="209" customFormat="1" ht="22.5" customHeight="1">
      <c r="A51" s="235">
        <v>46</v>
      </c>
      <c r="B51" s="235"/>
      <c r="C51" s="235"/>
      <c r="D51" s="203"/>
      <c r="E51" s="204"/>
      <c r="F51" s="235"/>
      <c r="G51" s="235"/>
      <c r="H51" s="203"/>
      <c r="I51" s="203"/>
      <c r="J51" s="203"/>
      <c r="K51" s="205"/>
      <c r="L51" s="206"/>
      <c r="M51" s="203"/>
      <c r="N51" s="207"/>
      <c r="O51" s="207"/>
      <c r="P51" s="207"/>
      <c r="Q51" s="207"/>
      <c r="R51" s="206"/>
      <c r="S51" s="205"/>
      <c r="T51" s="205"/>
      <c r="U51" s="207"/>
      <c r="V51" s="226"/>
      <c r="W51" s="208"/>
      <c r="X51" s="208"/>
      <c r="Y51" s="208"/>
      <c r="Z51" s="208"/>
      <c r="AA51" s="208"/>
      <c r="AB51" s="210"/>
      <c r="AC51" s="210"/>
      <c r="AD51" s="210"/>
      <c r="AE51" s="210"/>
      <c r="AF51" s="210"/>
      <c r="AG51" s="210"/>
      <c r="AH51" s="210"/>
      <c r="AI51" s="93"/>
      <c r="AJ51" s="93">
        <f t="shared" ca="1" si="3"/>
        <v>0</v>
      </c>
      <c r="AK51" s="93">
        <f t="shared" ca="1" si="4"/>
        <v>0</v>
      </c>
      <c r="AL51" s="213"/>
      <c r="AM51" s="213"/>
      <c r="AN51" s="213"/>
      <c r="AO51" s="213"/>
      <c r="AP51" s="213"/>
      <c r="AQ51" s="213"/>
      <c r="AR51" s="213"/>
      <c r="AS51" s="213"/>
      <c r="AT51" s="213"/>
      <c r="AU51" s="213"/>
      <c r="AV51" s="213"/>
      <c r="AW51" s="213"/>
      <c r="AX51" s="213"/>
      <c r="AY51" s="213"/>
      <c r="AZ51" s="213"/>
      <c r="BA51" s="213"/>
      <c r="BB51" s="213"/>
      <c r="BC51" s="213"/>
      <c r="BD51" s="213"/>
      <c r="BE51" s="213"/>
      <c r="BF51" s="213"/>
      <c r="BG51" s="213"/>
      <c r="BH51" s="213"/>
      <c r="BI51" s="213"/>
      <c r="BJ51" s="213"/>
      <c r="BK51" s="213"/>
      <c r="BL51" s="213"/>
      <c r="BM51" s="213"/>
      <c r="BN51" s="213"/>
      <c r="BO51" s="213"/>
      <c r="BP51" s="213"/>
      <c r="BQ51" s="213"/>
      <c r="BR51" s="213"/>
      <c r="BS51" s="213"/>
      <c r="BT51" s="213"/>
      <c r="BU51" s="213"/>
      <c r="BV51" s="213"/>
      <c r="BW51" s="213"/>
      <c r="BX51" s="213"/>
    </row>
    <row r="52" spans="1:76" s="209" customFormat="1" ht="22.5" customHeight="1">
      <c r="A52" s="235">
        <v>47</v>
      </c>
      <c r="B52" s="235"/>
      <c r="C52" s="235"/>
      <c r="D52" s="203"/>
      <c r="E52" s="204"/>
      <c r="F52" s="235"/>
      <c r="G52" s="235"/>
      <c r="H52" s="203"/>
      <c r="I52" s="203"/>
      <c r="J52" s="203"/>
      <c r="K52" s="205"/>
      <c r="L52" s="206"/>
      <c r="M52" s="203"/>
      <c r="N52" s="207"/>
      <c r="O52" s="207"/>
      <c r="P52" s="207"/>
      <c r="Q52" s="207"/>
      <c r="R52" s="206"/>
      <c r="S52" s="205"/>
      <c r="T52" s="205"/>
      <c r="U52" s="207"/>
      <c r="V52" s="226"/>
      <c r="W52" s="208"/>
      <c r="X52" s="208"/>
      <c r="Y52" s="208"/>
      <c r="Z52" s="208"/>
      <c r="AA52" s="208"/>
      <c r="AB52" s="210"/>
      <c r="AC52" s="210"/>
      <c r="AD52" s="210"/>
      <c r="AE52" s="210"/>
      <c r="AF52" s="210"/>
      <c r="AG52" s="210"/>
      <c r="AH52" s="210"/>
      <c r="AI52" s="93"/>
      <c r="AJ52" s="93">
        <f t="shared" ca="1" si="3"/>
        <v>0</v>
      </c>
      <c r="AK52" s="93">
        <f t="shared" ca="1" si="4"/>
        <v>0</v>
      </c>
      <c r="AL52" s="213"/>
      <c r="AM52" s="213"/>
      <c r="AN52" s="213"/>
      <c r="AO52" s="213"/>
      <c r="AP52" s="213"/>
      <c r="AQ52" s="213"/>
      <c r="AR52" s="213"/>
      <c r="AS52" s="213"/>
      <c r="AT52" s="213"/>
      <c r="AU52" s="213"/>
      <c r="AV52" s="213"/>
      <c r="AW52" s="213"/>
      <c r="AX52" s="213"/>
      <c r="AY52" s="213"/>
      <c r="AZ52" s="213"/>
      <c r="BA52" s="213"/>
      <c r="BB52" s="213"/>
      <c r="BC52" s="213"/>
      <c r="BD52" s="213"/>
      <c r="BE52" s="213"/>
      <c r="BF52" s="213"/>
      <c r="BG52" s="213"/>
      <c r="BH52" s="213"/>
      <c r="BI52" s="213"/>
      <c r="BJ52" s="213"/>
      <c r="BK52" s="213"/>
      <c r="BL52" s="213"/>
      <c r="BM52" s="213"/>
      <c r="BN52" s="213"/>
      <c r="BO52" s="213"/>
      <c r="BP52" s="213"/>
      <c r="BQ52" s="213"/>
      <c r="BR52" s="213"/>
      <c r="BS52" s="213"/>
      <c r="BT52" s="213"/>
      <c r="BU52" s="213"/>
      <c r="BV52" s="213"/>
      <c r="BW52" s="213"/>
      <c r="BX52" s="213"/>
    </row>
    <row r="53" spans="1:76" s="209" customFormat="1" ht="22.5" customHeight="1">
      <c r="A53" s="235">
        <v>48</v>
      </c>
      <c r="B53" s="235"/>
      <c r="C53" s="235"/>
      <c r="D53" s="203"/>
      <c r="E53" s="204"/>
      <c r="F53" s="235"/>
      <c r="G53" s="235"/>
      <c r="H53" s="203"/>
      <c r="I53" s="203"/>
      <c r="J53" s="203"/>
      <c r="K53" s="205"/>
      <c r="L53" s="206"/>
      <c r="M53" s="203"/>
      <c r="N53" s="207"/>
      <c r="O53" s="207"/>
      <c r="P53" s="207"/>
      <c r="Q53" s="207"/>
      <c r="R53" s="206"/>
      <c r="S53" s="205"/>
      <c r="T53" s="205"/>
      <c r="U53" s="207"/>
      <c r="V53" s="226"/>
      <c r="W53" s="208"/>
      <c r="X53" s="208"/>
      <c r="Y53" s="208"/>
      <c r="Z53" s="208"/>
      <c r="AA53" s="208"/>
      <c r="AB53" s="210"/>
      <c r="AC53" s="210"/>
      <c r="AD53" s="210"/>
      <c r="AE53" s="210"/>
      <c r="AF53" s="210"/>
      <c r="AG53" s="210"/>
      <c r="AH53" s="210"/>
      <c r="AI53" s="93"/>
      <c r="AJ53" s="93">
        <f t="shared" ca="1" si="3"/>
        <v>0</v>
      </c>
      <c r="AK53" s="93">
        <f t="shared" ca="1" si="4"/>
        <v>0</v>
      </c>
      <c r="AL53" s="213"/>
      <c r="AM53" s="213"/>
      <c r="AN53" s="213"/>
      <c r="AO53" s="213"/>
      <c r="AP53" s="213"/>
      <c r="AQ53" s="213"/>
      <c r="AR53" s="213"/>
      <c r="AS53" s="213"/>
      <c r="AT53" s="213"/>
      <c r="AU53" s="213"/>
      <c r="AV53" s="213"/>
      <c r="AW53" s="213"/>
      <c r="AX53" s="213"/>
      <c r="AY53" s="213"/>
      <c r="AZ53" s="213"/>
      <c r="BA53" s="213"/>
      <c r="BB53" s="213"/>
      <c r="BC53" s="213"/>
      <c r="BD53" s="213"/>
      <c r="BE53" s="213"/>
      <c r="BF53" s="213"/>
      <c r="BG53" s="213"/>
      <c r="BH53" s="213"/>
      <c r="BI53" s="213"/>
      <c r="BJ53" s="213"/>
      <c r="BK53" s="213"/>
      <c r="BL53" s="213"/>
      <c r="BM53" s="213"/>
      <c r="BN53" s="213"/>
      <c r="BO53" s="213"/>
      <c r="BP53" s="213"/>
      <c r="BQ53" s="213"/>
      <c r="BR53" s="213"/>
      <c r="BS53" s="213"/>
      <c r="BT53" s="213"/>
      <c r="BU53" s="213"/>
      <c r="BV53" s="213"/>
      <c r="BW53" s="213"/>
      <c r="BX53" s="213"/>
    </row>
    <row r="54" spans="1:76" s="209" customFormat="1" ht="22.5" customHeight="1">
      <c r="A54" s="235">
        <v>49</v>
      </c>
      <c r="B54" s="235"/>
      <c r="C54" s="235"/>
      <c r="D54" s="203"/>
      <c r="E54" s="204"/>
      <c r="F54" s="235"/>
      <c r="G54" s="235"/>
      <c r="H54" s="203"/>
      <c r="I54" s="203"/>
      <c r="J54" s="203"/>
      <c r="K54" s="205"/>
      <c r="L54" s="206"/>
      <c r="M54" s="203"/>
      <c r="N54" s="207"/>
      <c r="O54" s="207"/>
      <c r="P54" s="207"/>
      <c r="Q54" s="207"/>
      <c r="R54" s="206"/>
      <c r="S54" s="205"/>
      <c r="T54" s="205"/>
      <c r="U54" s="207"/>
      <c r="V54" s="226"/>
      <c r="W54" s="208"/>
      <c r="X54" s="208"/>
      <c r="Y54" s="208"/>
      <c r="Z54" s="208"/>
      <c r="AA54" s="208"/>
      <c r="AB54" s="210"/>
      <c r="AC54" s="210"/>
      <c r="AD54" s="210"/>
      <c r="AE54" s="210"/>
      <c r="AF54" s="210"/>
      <c r="AG54" s="210"/>
      <c r="AH54" s="210"/>
      <c r="AI54" s="93"/>
      <c r="AJ54" s="93">
        <f t="shared" ca="1" si="3"/>
        <v>0</v>
      </c>
      <c r="AK54" s="93">
        <f t="shared" ca="1" si="4"/>
        <v>0</v>
      </c>
      <c r="AL54" s="213"/>
      <c r="AM54" s="213"/>
      <c r="AN54" s="213"/>
      <c r="AO54" s="213"/>
      <c r="AP54" s="213"/>
      <c r="AQ54" s="213"/>
      <c r="AR54" s="213"/>
      <c r="AS54" s="213"/>
      <c r="AT54" s="213"/>
      <c r="AU54" s="213"/>
      <c r="AV54" s="213"/>
      <c r="AW54" s="213"/>
      <c r="AX54" s="213"/>
      <c r="AY54" s="213"/>
      <c r="AZ54" s="213"/>
      <c r="BA54" s="213"/>
      <c r="BB54" s="213"/>
      <c r="BC54" s="213"/>
      <c r="BD54" s="213"/>
      <c r="BE54" s="213"/>
      <c r="BF54" s="213"/>
      <c r="BG54" s="213"/>
      <c r="BH54" s="213"/>
      <c r="BI54" s="213"/>
      <c r="BJ54" s="213"/>
      <c r="BK54" s="213"/>
      <c r="BL54" s="213"/>
      <c r="BM54" s="213"/>
      <c r="BN54" s="213"/>
      <c r="BO54" s="213"/>
      <c r="BP54" s="213"/>
      <c r="BQ54" s="213"/>
      <c r="BR54" s="213"/>
      <c r="BS54" s="213"/>
      <c r="BT54" s="213"/>
      <c r="BU54" s="213"/>
      <c r="BV54" s="213"/>
      <c r="BW54" s="213"/>
      <c r="BX54" s="213"/>
    </row>
    <row r="55" spans="1:76" s="209" customFormat="1" ht="22.5" customHeight="1">
      <c r="A55" s="235">
        <v>50</v>
      </c>
      <c r="B55" s="235"/>
      <c r="C55" s="235"/>
      <c r="D55" s="203"/>
      <c r="E55" s="204"/>
      <c r="F55" s="235"/>
      <c r="G55" s="235"/>
      <c r="H55" s="203"/>
      <c r="I55" s="203"/>
      <c r="J55" s="203"/>
      <c r="K55" s="205"/>
      <c r="L55" s="206"/>
      <c r="M55" s="203"/>
      <c r="N55" s="207"/>
      <c r="O55" s="207"/>
      <c r="P55" s="207"/>
      <c r="Q55" s="207"/>
      <c r="R55" s="206"/>
      <c r="S55" s="205"/>
      <c r="T55" s="205"/>
      <c r="U55" s="207"/>
      <c r="V55" s="226"/>
      <c r="W55" s="208"/>
      <c r="X55" s="208"/>
      <c r="Y55" s="208"/>
      <c r="Z55" s="208"/>
      <c r="AA55" s="208"/>
      <c r="AB55" s="210"/>
      <c r="AC55" s="210"/>
      <c r="AD55" s="210"/>
      <c r="AE55" s="210"/>
      <c r="AF55" s="210"/>
      <c r="AG55" s="210"/>
      <c r="AH55" s="210"/>
      <c r="AI55" s="93"/>
      <c r="AJ55" s="93">
        <f t="shared" ca="1" si="3"/>
        <v>0</v>
      </c>
      <c r="AK55" s="93">
        <f t="shared" ca="1" si="4"/>
        <v>0</v>
      </c>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c r="BW55" s="213"/>
      <c r="BX55" s="213"/>
    </row>
    <row r="56" spans="1:76" s="209" customFormat="1" ht="22.5" customHeight="1">
      <c r="A56" s="235">
        <v>51</v>
      </c>
      <c r="B56" s="235"/>
      <c r="C56" s="235"/>
      <c r="D56" s="203"/>
      <c r="E56" s="204"/>
      <c r="F56" s="235"/>
      <c r="G56" s="235"/>
      <c r="H56" s="203"/>
      <c r="I56" s="203"/>
      <c r="J56" s="203"/>
      <c r="K56" s="205"/>
      <c r="L56" s="206"/>
      <c r="M56" s="203"/>
      <c r="N56" s="207"/>
      <c r="O56" s="207"/>
      <c r="P56" s="207"/>
      <c r="Q56" s="207"/>
      <c r="R56" s="206"/>
      <c r="S56" s="205"/>
      <c r="T56" s="205"/>
      <c r="U56" s="207"/>
      <c r="V56" s="226"/>
      <c r="W56" s="208"/>
      <c r="X56" s="208"/>
      <c r="Y56" s="208"/>
      <c r="Z56" s="208"/>
      <c r="AA56" s="208"/>
      <c r="AB56" s="210"/>
      <c r="AC56" s="210"/>
      <c r="AD56" s="210"/>
      <c r="AE56" s="210"/>
      <c r="AF56" s="210"/>
      <c r="AG56" s="210"/>
      <c r="AH56" s="210"/>
      <c r="AI56" s="93"/>
      <c r="AJ56" s="93">
        <f t="shared" ca="1" si="3"/>
        <v>0</v>
      </c>
      <c r="AK56" s="93">
        <f t="shared" ca="1" si="4"/>
        <v>0</v>
      </c>
      <c r="AL56" s="213"/>
      <c r="AM56" s="213"/>
      <c r="AN56" s="213"/>
      <c r="AO56" s="213"/>
      <c r="AP56" s="213"/>
      <c r="AQ56" s="213"/>
      <c r="AR56" s="213"/>
      <c r="AS56" s="213"/>
      <c r="AT56" s="213"/>
      <c r="AU56" s="213"/>
      <c r="AV56" s="213"/>
      <c r="AW56" s="213"/>
      <c r="AX56" s="213"/>
      <c r="AY56" s="213"/>
      <c r="AZ56" s="213"/>
      <c r="BA56" s="213"/>
      <c r="BB56" s="213"/>
      <c r="BC56" s="213"/>
      <c r="BD56" s="213"/>
      <c r="BE56" s="213"/>
      <c r="BF56" s="213"/>
      <c r="BG56" s="213"/>
      <c r="BH56" s="213"/>
      <c r="BI56" s="213"/>
      <c r="BJ56" s="213"/>
      <c r="BK56" s="213"/>
      <c r="BL56" s="213"/>
      <c r="BM56" s="213"/>
      <c r="BN56" s="213"/>
      <c r="BO56" s="213"/>
      <c r="BP56" s="213"/>
      <c r="BQ56" s="213"/>
      <c r="BR56" s="213"/>
      <c r="BS56" s="213"/>
      <c r="BT56" s="213"/>
      <c r="BU56" s="213"/>
      <c r="BV56" s="213"/>
      <c r="BW56" s="213"/>
      <c r="BX56" s="213"/>
    </row>
    <row r="57" spans="1:76" s="209" customFormat="1" ht="22.5" customHeight="1">
      <c r="A57" s="235">
        <v>52</v>
      </c>
      <c r="B57" s="235"/>
      <c r="C57" s="235"/>
      <c r="D57" s="203"/>
      <c r="E57" s="204"/>
      <c r="F57" s="235"/>
      <c r="G57" s="235"/>
      <c r="H57" s="203"/>
      <c r="I57" s="203"/>
      <c r="J57" s="203"/>
      <c r="K57" s="205"/>
      <c r="L57" s="206"/>
      <c r="M57" s="203"/>
      <c r="N57" s="207"/>
      <c r="O57" s="207"/>
      <c r="P57" s="207"/>
      <c r="Q57" s="207"/>
      <c r="R57" s="206"/>
      <c r="S57" s="205"/>
      <c r="T57" s="205"/>
      <c r="U57" s="207"/>
      <c r="V57" s="226"/>
      <c r="W57" s="208"/>
      <c r="X57" s="208"/>
      <c r="Y57" s="208"/>
      <c r="Z57" s="208"/>
      <c r="AA57" s="208"/>
      <c r="AB57" s="210"/>
      <c r="AC57" s="210"/>
      <c r="AD57" s="210"/>
      <c r="AE57" s="210"/>
      <c r="AF57" s="210"/>
      <c r="AG57" s="210"/>
      <c r="AH57" s="210"/>
      <c r="AI57" s="93"/>
      <c r="AJ57" s="93">
        <f t="shared" ca="1" si="3"/>
        <v>0</v>
      </c>
      <c r="AK57" s="93">
        <f t="shared" ca="1" si="4"/>
        <v>0</v>
      </c>
      <c r="AL57" s="213"/>
      <c r="AM57" s="213"/>
      <c r="AN57" s="213"/>
      <c r="AO57" s="213"/>
      <c r="AP57" s="213"/>
      <c r="AQ57" s="213"/>
      <c r="AR57" s="213"/>
      <c r="AS57" s="213"/>
      <c r="AT57" s="213"/>
      <c r="AU57" s="213"/>
      <c r="AV57" s="213"/>
      <c r="AW57" s="213"/>
      <c r="AX57" s="213"/>
      <c r="AY57" s="213"/>
      <c r="AZ57" s="213"/>
      <c r="BA57" s="213"/>
      <c r="BB57" s="213"/>
      <c r="BC57" s="213"/>
      <c r="BD57" s="213"/>
      <c r="BE57" s="213"/>
      <c r="BF57" s="213"/>
      <c r="BG57" s="213"/>
      <c r="BH57" s="213"/>
      <c r="BI57" s="213"/>
      <c r="BJ57" s="213"/>
      <c r="BK57" s="213"/>
      <c r="BL57" s="213"/>
      <c r="BM57" s="213"/>
      <c r="BN57" s="213"/>
      <c r="BO57" s="213"/>
      <c r="BP57" s="213"/>
      <c r="BQ57" s="213"/>
      <c r="BR57" s="213"/>
      <c r="BS57" s="213"/>
      <c r="BT57" s="213"/>
      <c r="BU57" s="213"/>
      <c r="BV57" s="213"/>
      <c r="BW57" s="213"/>
      <c r="BX57" s="213"/>
    </row>
    <row r="58" spans="1:76" s="209" customFormat="1" ht="22.5" customHeight="1">
      <c r="A58" s="235">
        <v>53</v>
      </c>
      <c r="B58" s="235"/>
      <c r="C58" s="235"/>
      <c r="D58" s="203"/>
      <c r="E58" s="204"/>
      <c r="F58" s="235"/>
      <c r="G58" s="235"/>
      <c r="H58" s="203"/>
      <c r="I58" s="203"/>
      <c r="J58" s="203"/>
      <c r="K58" s="205"/>
      <c r="L58" s="206"/>
      <c r="M58" s="203"/>
      <c r="N58" s="207"/>
      <c r="O58" s="207"/>
      <c r="P58" s="207"/>
      <c r="Q58" s="207"/>
      <c r="R58" s="206"/>
      <c r="S58" s="205"/>
      <c r="T58" s="205"/>
      <c r="U58" s="207"/>
      <c r="V58" s="226"/>
      <c r="W58" s="208"/>
      <c r="X58" s="208"/>
      <c r="Y58" s="208"/>
      <c r="Z58" s="208"/>
      <c r="AA58" s="208"/>
      <c r="AB58" s="210"/>
      <c r="AC58" s="210"/>
      <c r="AD58" s="210"/>
      <c r="AE58" s="210"/>
      <c r="AF58" s="210"/>
      <c r="AG58" s="210"/>
      <c r="AH58" s="210"/>
      <c r="AI58" s="93"/>
      <c r="AJ58" s="93">
        <f t="shared" ca="1" si="3"/>
        <v>0</v>
      </c>
      <c r="AK58" s="93">
        <f t="shared" ca="1" si="4"/>
        <v>0</v>
      </c>
      <c r="AL58" s="213"/>
      <c r="AM58" s="213"/>
      <c r="AN58" s="213"/>
      <c r="AO58" s="213"/>
      <c r="AP58" s="213"/>
      <c r="AQ58" s="213"/>
      <c r="AR58" s="213"/>
      <c r="AS58" s="213"/>
      <c r="AT58" s="213"/>
      <c r="AU58" s="213"/>
      <c r="AV58" s="213"/>
      <c r="AW58" s="213"/>
      <c r="AX58" s="213"/>
      <c r="AY58" s="213"/>
      <c r="AZ58" s="213"/>
      <c r="BA58" s="213"/>
      <c r="BB58" s="213"/>
      <c r="BC58" s="213"/>
      <c r="BD58" s="213"/>
      <c r="BE58" s="213"/>
      <c r="BF58" s="213"/>
      <c r="BG58" s="213"/>
      <c r="BH58" s="213"/>
      <c r="BI58" s="213"/>
      <c r="BJ58" s="213"/>
      <c r="BK58" s="213"/>
      <c r="BL58" s="213"/>
      <c r="BM58" s="213"/>
      <c r="BN58" s="213"/>
      <c r="BO58" s="213"/>
      <c r="BP58" s="213"/>
      <c r="BQ58" s="213"/>
      <c r="BR58" s="213"/>
      <c r="BS58" s="213"/>
      <c r="BT58" s="213"/>
      <c r="BU58" s="213"/>
      <c r="BV58" s="213"/>
      <c r="BW58" s="213"/>
      <c r="BX58" s="213"/>
    </row>
    <row r="59" spans="1:76" s="209" customFormat="1" ht="22.5" customHeight="1">
      <c r="A59" s="235">
        <v>54</v>
      </c>
      <c r="B59" s="235"/>
      <c r="C59" s="235"/>
      <c r="D59" s="203"/>
      <c r="E59" s="204"/>
      <c r="F59" s="235"/>
      <c r="G59" s="235"/>
      <c r="H59" s="203"/>
      <c r="I59" s="203"/>
      <c r="J59" s="203"/>
      <c r="K59" s="205"/>
      <c r="L59" s="206"/>
      <c r="M59" s="203"/>
      <c r="N59" s="207"/>
      <c r="O59" s="207"/>
      <c r="P59" s="207"/>
      <c r="Q59" s="207"/>
      <c r="R59" s="206"/>
      <c r="S59" s="205"/>
      <c r="T59" s="205"/>
      <c r="U59" s="207"/>
      <c r="V59" s="226"/>
      <c r="W59" s="208"/>
      <c r="X59" s="208"/>
      <c r="Y59" s="208"/>
      <c r="Z59" s="208"/>
      <c r="AA59" s="208"/>
      <c r="AB59" s="210"/>
      <c r="AC59" s="210"/>
      <c r="AD59" s="210"/>
      <c r="AE59" s="210"/>
      <c r="AF59" s="210"/>
      <c r="AG59" s="210"/>
      <c r="AH59" s="210"/>
      <c r="AI59" s="93"/>
      <c r="AJ59" s="93">
        <f t="shared" ca="1" si="3"/>
        <v>0</v>
      </c>
      <c r="AK59" s="93">
        <f t="shared" ca="1" si="4"/>
        <v>0</v>
      </c>
      <c r="AL59" s="213"/>
      <c r="AM59" s="213"/>
      <c r="AN59" s="213"/>
      <c r="AO59" s="213"/>
      <c r="AP59" s="213"/>
      <c r="AQ59" s="213"/>
      <c r="AR59" s="213"/>
      <c r="AS59" s="213"/>
      <c r="AT59" s="213"/>
      <c r="AU59" s="213"/>
      <c r="AV59" s="213"/>
      <c r="AW59" s="213"/>
      <c r="AX59" s="213"/>
      <c r="AY59" s="213"/>
      <c r="AZ59" s="213"/>
      <c r="BA59" s="213"/>
      <c r="BB59" s="213"/>
      <c r="BC59" s="213"/>
      <c r="BD59" s="213"/>
      <c r="BE59" s="213"/>
      <c r="BF59" s="213"/>
      <c r="BG59" s="213"/>
      <c r="BH59" s="213"/>
      <c r="BI59" s="213"/>
      <c r="BJ59" s="213"/>
      <c r="BK59" s="213"/>
      <c r="BL59" s="213"/>
      <c r="BM59" s="213"/>
      <c r="BN59" s="213"/>
      <c r="BO59" s="213"/>
      <c r="BP59" s="213"/>
      <c r="BQ59" s="213"/>
      <c r="BR59" s="213"/>
      <c r="BS59" s="213"/>
      <c r="BT59" s="213"/>
      <c r="BU59" s="213"/>
      <c r="BV59" s="213"/>
      <c r="BW59" s="213"/>
      <c r="BX59" s="213"/>
    </row>
    <row r="60" spans="1:76" s="209" customFormat="1" ht="22.5" customHeight="1">
      <c r="A60" s="235">
        <v>55</v>
      </c>
      <c r="B60" s="235"/>
      <c r="C60" s="235"/>
      <c r="D60" s="203"/>
      <c r="E60" s="204"/>
      <c r="F60" s="235"/>
      <c r="G60" s="235"/>
      <c r="H60" s="203"/>
      <c r="I60" s="203"/>
      <c r="J60" s="203"/>
      <c r="K60" s="205"/>
      <c r="L60" s="206"/>
      <c r="M60" s="203"/>
      <c r="N60" s="207"/>
      <c r="O60" s="207"/>
      <c r="P60" s="207"/>
      <c r="Q60" s="207"/>
      <c r="R60" s="206"/>
      <c r="S60" s="205"/>
      <c r="T60" s="205"/>
      <c r="U60" s="207"/>
      <c r="V60" s="226"/>
      <c r="W60" s="208"/>
      <c r="X60" s="208"/>
      <c r="Y60" s="208"/>
      <c r="Z60" s="208"/>
      <c r="AA60" s="208"/>
      <c r="AB60" s="210"/>
      <c r="AC60" s="210"/>
      <c r="AD60" s="210"/>
      <c r="AE60" s="210"/>
      <c r="AF60" s="210"/>
      <c r="AG60" s="210"/>
      <c r="AH60" s="210"/>
      <c r="AI60" s="93"/>
      <c r="AJ60" s="93">
        <f t="shared" ca="1" si="3"/>
        <v>0</v>
      </c>
      <c r="AK60" s="93">
        <f t="shared" ca="1" si="4"/>
        <v>0</v>
      </c>
      <c r="AL60" s="213"/>
      <c r="AM60" s="213"/>
      <c r="AN60" s="213"/>
      <c r="AO60" s="213"/>
      <c r="AP60" s="213"/>
      <c r="AQ60" s="213"/>
      <c r="AR60" s="213"/>
      <c r="AS60" s="213"/>
      <c r="AT60" s="213"/>
      <c r="AU60" s="213"/>
      <c r="AV60" s="213"/>
      <c r="AW60" s="213"/>
      <c r="AX60" s="213"/>
      <c r="AY60" s="213"/>
      <c r="AZ60" s="213"/>
      <c r="BA60" s="213"/>
      <c r="BB60" s="213"/>
      <c r="BC60" s="213"/>
      <c r="BD60" s="213"/>
      <c r="BE60" s="213"/>
      <c r="BF60" s="213"/>
      <c r="BG60" s="213"/>
      <c r="BH60" s="213"/>
      <c r="BI60" s="213"/>
      <c r="BJ60" s="213"/>
      <c r="BK60" s="213"/>
      <c r="BL60" s="213"/>
      <c r="BM60" s="213"/>
      <c r="BN60" s="213"/>
      <c r="BO60" s="213"/>
      <c r="BP60" s="213"/>
      <c r="BQ60" s="213"/>
      <c r="BR60" s="213"/>
      <c r="BS60" s="213"/>
      <c r="BT60" s="213"/>
      <c r="BU60" s="213"/>
      <c r="BV60" s="213"/>
      <c r="BW60" s="213"/>
      <c r="BX60" s="213"/>
    </row>
    <row r="61" spans="1:76" s="209" customFormat="1" ht="22.5" customHeight="1">
      <c r="A61" s="235">
        <v>56</v>
      </c>
      <c r="B61" s="314"/>
      <c r="C61" s="314"/>
      <c r="D61" s="315"/>
      <c r="E61" s="316"/>
      <c r="F61" s="314"/>
      <c r="G61" s="314"/>
      <c r="H61" s="315"/>
      <c r="I61" s="315"/>
      <c r="J61" s="315"/>
      <c r="K61" s="317"/>
      <c r="L61" s="318"/>
      <c r="M61" s="315"/>
      <c r="N61" s="319"/>
      <c r="O61" s="319"/>
      <c r="P61" s="319"/>
      <c r="Q61" s="319"/>
      <c r="R61" s="206"/>
      <c r="S61" s="205"/>
      <c r="T61" s="205"/>
      <c r="U61" s="207"/>
      <c r="V61" s="226"/>
      <c r="W61" s="208"/>
      <c r="X61" s="208"/>
      <c r="Y61" s="208"/>
      <c r="Z61" s="208"/>
      <c r="AA61" s="208"/>
      <c r="AB61" s="210"/>
      <c r="AC61" s="210"/>
      <c r="AD61" s="210"/>
      <c r="AE61" s="210"/>
      <c r="AF61" s="210"/>
      <c r="AG61" s="210"/>
      <c r="AH61" s="210"/>
      <c r="AI61" s="93"/>
      <c r="AJ61" s="93">
        <f t="shared" ca="1" si="3"/>
        <v>0</v>
      </c>
      <c r="AK61" s="93">
        <f t="shared" ca="1" si="4"/>
        <v>0</v>
      </c>
      <c r="AL61" s="213"/>
      <c r="AM61" s="213"/>
      <c r="AN61" s="213"/>
      <c r="AO61" s="213"/>
      <c r="AP61" s="213"/>
      <c r="AQ61" s="213"/>
      <c r="AR61" s="213"/>
      <c r="AS61" s="213"/>
      <c r="AT61" s="213"/>
      <c r="AU61" s="213"/>
      <c r="AV61" s="213"/>
      <c r="AW61" s="213"/>
      <c r="AX61" s="213"/>
      <c r="AY61" s="213"/>
      <c r="AZ61" s="213"/>
      <c r="BA61" s="213"/>
      <c r="BB61" s="213"/>
      <c r="BC61" s="213"/>
      <c r="BD61" s="213"/>
      <c r="BE61" s="213"/>
      <c r="BF61" s="213"/>
      <c r="BG61" s="213"/>
      <c r="BH61" s="213"/>
      <c r="BI61" s="213"/>
      <c r="BJ61" s="213"/>
      <c r="BK61" s="213"/>
      <c r="BL61" s="213"/>
      <c r="BM61" s="213"/>
      <c r="BN61" s="213"/>
      <c r="BO61" s="213"/>
      <c r="BP61" s="213"/>
      <c r="BQ61" s="213"/>
      <c r="BR61" s="213"/>
      <c r="BS61" s="213"/>
      <c r="BT61" s="213"/>
      <c r="BU61" s="213"/>
      <c r="BV61" s="213"/>
      <c r="BW61" s="213"/>
      <c r="BX61" s="213"/>
    </row>
    <row r="62" spans="1:76" s="209" customFormat="1" ht="22.5" customHeight="1">
      <c r="A62" s="235">
        <v>57</v>
      </c>
      <c r="B62" s="235"/>
      <c r="C62" s="235"/>
      <c r="D62" s="203"/>
      <c r="E62" s="204"/>
      <c r="F62" s="235"/>
      <c r="G62" s="235"/>
      <c r="H62" s="203"/>
      <c r="I62" s="203"/>
      <c r="J62" s="203"/>
      <c r="K62" s="205"/>
      <c r="L62" s="206"/>
      <c r="M62" s="203"/>
      <c r="N62" s="207"/>
      <c r="O62" s="207"/>
      <c r="P62" s="207"/>
      <c r="Q62" s="207"/>
      <c r="R62" s="206"/>
      <c r="S62" s="205"/>
      <c r="T62" s="205"/>
      <c r="U62" s="207"/>
      <c r="V62" s="226"/>
      <c r="W62" s="208"/>
      <c r="X62" s="208"/>
      <c r="Y62" s="208"/>
      <c r="Z62" s="208"/>
      <c r="AA62" s="208"/>
      <c r="AB62" s="210"/>
      <c r="AC62" s="210"/>
      <c r="AD62" s="210"/>
      <c r="AE62" s="210"/>
      <c r="AF62" s="210"/>
      <c r="AG62" s="210"/>
      <c r="AH62" s="210"/>
      <c r="AI62" s="93"/>
      <c r="AJ62" s="93">
        <f t="shared" ca="1" si="3"/>
        <v>0</v>
      </c>
      <c r="AK62" s="93">
        <f t="shared" ca="1" si="4"/>
        <v>0</v>
      </c>
      <c r="AL62" s="213"/>
      <c r="AM62" s="213"/>
      <c r="AN62" s="213"/>
      <c r="AO62" s="213"/>
      <c r="AP62" s="213"/>
      <c r="AQ62" s="213"/>
      <c r="AR62" s="213"/>
      <c r="AS62" s="213"/>
      <c r="AT62" s="213"/>
      <c r="AU62" s="213"/>
      <c r="AV62" s="213"/>
      <c r="AW62" s="213"/>
      <c r="AX62" s="213"/>
      <c r="AY62" s="213"/>
      <c r="AZ62" s="213"/>
      <c r="BA62" s="213"/>
      <c r="BB62" s="213"/>
      <c r="BC62" s="213"/>
      <c r="BD62" s="213"/>
      <c r="BE62" s="213"/>
      <c r="BF62" s="213"/>
      <c r="BG62" s="213"/>
      <c r="BH62" s="213"/>
      <c r="BI62" s="213"/>
      <c r="BJ62" s="213"/>
      <c r="BK62" s="213"/>
      <c r="BL62" s="213"/>
      <c r="BM62" s="213"/>
      <c r="BN62" s="213"/>
      <c r="BO62" s="213"/>
      <c r="BP62" s="213"/>
      <c r="BQ62" s="213"/>
      <c r="BR62" s="213"/>
      <c r="BS62" s="213"/>
      <c r="BT62" s="213"/>
      <c r="BU62" s="213"/>
      <c r="BV62" s="213"/>
      <c r="BW62" s="213"/>
      <c r="BX62" s="213"/>
    </row>
    <row r="63" spans="1:76" s="209" customFormat="1" ht="22.5" customHeight="1">
      <c r="A63" s="235">
        <v>58</v>
      </c>
      <c r="B63" s="235"/>
      <c r="C63" s="235"/>
      <c r="D63" s="203"/>
      <c r="E63" s="204"/>
      <c r="F63" s="235"/>
      <c r="G63" s="235"/>
      <c r="H63" s="203"/>
      <c r="I63" s="203"/>
      <c r="J63" s="203"/>
      <c r="K63" s="205"/>
      <c r="L63" s="206"/>
      <c r="M63" s="203"/>
      <c r="N63" s="207"/>
      <c r="O63" s="207"/>
      <c r="P63" s="207"/>
      <c r="Q63" s="207"/>
      <c r="R63" s="206"/>
      <c r="S63" s="205"/>
      <c r="T63" s="205"/>
      <c r="U63" s="207"/>
      <c r="V63" s="226"/>
      <c r="W63" s="208"/>
      <c r="X63" s="208"/>
      <c r="Y63" s="208"/>
      <c r="Z63" s="208"/>
      <c r="AA63" s="208"/>
      <c r="AB63" s="210"/>
      <c r="AC63" s="210"/>
      <c r="AD63" s="210"/>
      <c r="AE63" s="210"/>
      <c r="AF63" s="210"/>
      <c r="AG63" s="210"/>
      <c r="AH63" s="210"/>
      <c r="AI63" s="93"/>
      <c r="AJ63" s="93">
        <f t="shared" ca="1" si="3"/>
        <v>0</v>
      </c>
      <c r="AK63" s="93">
        <f t="shared" ca="1" si="4"/>
        <v>0</v>
      </c>
      <c r="AL63" s="213"/>
      <c r="AM63" s="213"/>
      <c r="AN63" s="213"/>
      <c r="AO63" s="213"/>
      <c r="AP63" s="213"/>
      <c r="AQ63" s="213"/>
      <c r="AR63" s="213"/>
      <c r="AS63" s="213"/>
      <c r="AT63" s="213"/>
      <c r="AU63" s="213"/>
      <c r="AV63" s="213"/>
      <c r="AW63" s="213"/>
      <c r="AX63" s="213"/>
      <c r="AY63" s="213"/>
      <c r="AZ63" s="213"/>
      <c r="BA63" s="213"/>
      <c r="BB63" s="213"/>
      <c r="BC63" s="213"/>
      <c r="BD63" s="213"/>
      <c r="BE63" s="213"/>
      <c r="BF63" s="213"/>
      <c r="BG63" s="213"/>
      <c r="BH63" s="213"/>
      <c r="BI63" s="213"/>
      <c r="BJ63" s="213"/>
      <c r="BK63" s="213"/>
      <c r="BL63" s="213"/>
      <c r="BM63" s="213"/>
      <c r="BN63" s="213"/>
      <c r="BO63" s="213"/>
      <c r="BP63" s="213"/>
      <c r="BQ63" s="213"/>
      <c r="BR63" s="213"/>
      <c r="BS63" s="213"/>
      <c r="BT63" s="213"/>
      <c r="BU63" s="213"/>
      <c r="BV63" s="213"/>
      <c r="BW63" s="213"/>
      <c r="BX63" s="213"/>
    </row>
    <row r="64" spans="1:76" s="209" customFormat="1" ht="22.5" customHeight="1">
      <c r="A64" s="235">
        <v>59</v>
      </c>
      <c r="B64" s="235"/>
      <c r="C64" s="235"/>
      <c r="D64" s="203"/>
      <c r="E64" s="204"/>
      <c r="F64" s="235"/>
      <c r="G64" s="235"/>
      <c r="H64" s="203"/>
      <c r="I64" s="203"/>
      <c r="J64" s="203"/>
      <c r="K64" s="205"/>
      <c r="L64" s="206"/>
      <c r="M64" s="203"/>
      <c r="N64" s="207"/>
      <c r="O64" s="207"/>
      <c r="P64" s="207"/>
      <c r="Q64" s="207"/>
      <c r="R64" s="206"/>
      <c r="S64" s="205"/>
      <c r="T64" s="205"/>
      <c r="U64" s="207"/>
      <c r="V64" s="226"/>
      <c r="W64" s="208"/>
      <c r="X64" s="208"/>
      <c r="Y64" s="208"/>
      <c r="Z64" s="208"/>
      <c r="AA64" s="208"/>
      <c r="AB64" s="210"/>
      <c r="AC64" s="210"/>
      <c r="AD64" s="210"/>
      <c r="AE64" s="210"/>
      <c r="AF64" s="210"/>
      <c r="AG64" s="210"/>
      <c r="AH64" s="210"/>
      <c r="AI64" s="93"/>
      <c r="AJ64" s="93">
        <f t="shared" ca="1" si="3"/>
        <v>0</v>
      </c>
      <c r="AK64" s="93">
        <f t="shared" ca="1" si="4"/>
        <v>0</v>
      </c>
      <c r="AL64" s="213"/>
      <c r="AM64" s="213"/>
      <c r="AN64" s="213"/>
      <c r="AO64" s="213"/>
      <c r="AP64" s="213"/>
      <c r="AQ64" s="213"/>
      <c r="AR64" s="213"/>
      <c r="AS64" s="213"/>
      <c r="AT64" s="213"/>
      <c r="AU64" s="213"/>
      <c r="AV64" s="213"/>
      <c r="AW64" s="213"/>
      <c r="AX64" s="213"/>
      <c r="AY64" s="213"/>
      <c r="AZ64" s="213"/>
      <c r="BA64" s="213"/>
      <c r="BB64" s="213"/>
      <c r="BC64" s="213"/>
      <c r="BD64" s="213"/>
      <c r="BE64" s="213"/>
      <c r="BF64" s="213"/>
      <c r="BG64" s="213"/>
      <c r="BH64" s="213"/>
      <c r="BI64" s="213"/>
      <c r="BJ64" s="213"/>
      <c r="BK64" s="213"/>
      <c r="BL64" s="213"/>
      <c r="BM64" s="213"/>
      <c r="BN64" s="213"/>
      <c r="BO64" s="213"/>
      <c r="BP64" s="213"/>
      <c r="BQ64" s="213"/>
      <c r="BR64" s="213"/>
      <c r="BS64" s="213"/>
      <c r="BT64" s="213"/>
      <c r="BU64" s="213"/>
      <c r="BV64" s="213"/>
      <c r="BW64" s="213"/>
      <c r="BX64" s="213"/>
    </row>
    <row r="65" spans="1:76" s="209" customFormat="1" ht="22.5" customHeight="1">
      <c r="A65" s="235">
        <v>60</v>
      </c>
      <c r="B65" s="235"/>
      <c r="C65" s="235"/>
      <c r="D65" s="203"/>
      <c r="E65" s="204"/>
      <c r="F65" s="235"/>
      <c r="G65" s="235"/>
      <c r="H65" s="203"/>
      <c r="I65" s="203"/>
      <c r="J65" s="203"/>
      <c r="K65" s="205"/>
      <c r="L65" s="206"/>
      <c r="M65" s="203"/>
      <c r="N65" s="207"/>
      <c r="O65" s="207"/>
      <c r="P65" s="207"/>
      <c r="Q65" s="207"/>
      <c r="R65" s="206"/>
      <c r="S65" s="205"/>
      <c r="T65" s="205"/>
      <c r="U65" s="207"/>
      <c r="V65" s="226"/>
      <c r="W65" s="208"/>
      <c r="X65" s="208"/>
      <c r="Y65" s="208"/>
      <c r="Z65" s="208"/>
      <c r="AA65" s="208"/>
      <c r="AB65" s="210"/>
      <c r="AC65" s="210"/>
      <c r="AD65" s="210"/>
      <c r="AE65" s="210"/>
      <c r="AF65" s="210"/>
      <c r="AG65" s="210"/>
      <c r="AH65" s="210"/>
      <c r="AI65" s="93"/>
      <c r="AJ65" s="93">
        <f t="shared" ca="1" si="3"/>
        <v>0</v>
      </c>
      <c r="AK65" s="93">
        <f t="shared" ca="1" si="4"/>
        <v>0</v>
      </c>
      <c r="AL65" s="213"/>
      <c r="AM65" s="213"/>
      <c r="AN65" s="213"/>
      <c r="AO65" s="213"/>
      <c r="AP65" s="213"/>
      <c r="AQ65" s="213"/>
      <c r="AR65" s="213"/>
      <c r="AS65" s="213"/>
      <c r="AT65" s="213"/>
      <c r="AU65" s="213"/>
      <c r="AV65" s="213"/>
      <c r="AW65" s="213"/>
      <c r="AX65" s="213"/>
      <c r="AY65" s="213"/>
      <c r="AZ65" s="213"/>
      <c r="BA65" s="213"/>
      <c r="BB65" s="213"/>
      <c r="BC65" s="213"/>
      <c r="BD65" s="213"/>
      <c r="BE65" s="213"/>
      <c r="BF65" s="213"/>
      <c r="BG65" s="213"/>
      <c r="BH65" s="213"/>
      <c r="BI65" s="213"/>
      <c r="BJ65" s="213"/>
      <c r="BK65" s="213"/>
      <c r="BL65" s="213"/>
      <c r="BM65" s="213"/>
      <c r="BN65" s="213"/>
      <c r="BO65" s="213"/>
      <c r="BP65" s="213"/>
      <c r="BQ65" s="213"/>
      <c r="BR65" s="213"/>
      <c r="BS65" s="213"/>
      <c r="BT65" s="213"/>
      <c r="BU65" s="213"/>
      <c r="BV65" s="213"/>
      <c r="BW65" s="213"/>
      <c r="BX65" s="213"/>
    </row>
    <row r="66" spans="1:76" s="209" customFormat="1" ht="22.5" customHeight="1">
      <c r="A66" s="235">
        <v>61</v>
      </c>
      <c r="B66" s="235"/>
      <c r="C66" s="235"/>
      <c r="D66" s="203"/>
      <c r="E66" s="204"/>
      <c r="F66" s="235"/>
      <c r="G66" s="235"/>
      <c r="H66" s="203"/>
      <c r="I66" s="203"/>
      <c r="J66" s="203"/>
      <c r="K66" s="205"/>
      <c r="L66" s="206"/>
      <c r="M66" s="203"/>
      <c r="N66" s="207"/>
      <c r="O66" s="207"/>
      <c r="P66" s="207"/>
      <c r="Q66" s="207"/>
      <c r="R66" s="206"/>
      <c r="S66" s="205"/>
      <c r="T66" s="205"/>
      <c r="U66" s="207"/>
      <c r="V66" s="226"/>
      <c r="W66" s="208"/>
      <c r="X66" s="208"/>
      <c r="Y66" s="208"/>
      <c r="Z66" s="208"/>
      <c r="AA66" s="208"/>
      <c r="AB66" s="210"/>
      <c r="AC66" s="210"/>
      <c r="AD66" s="210"/>
      <c r="AE66" s="210"/>
      <c r="AF66" s="210"/>
      <c r="AG66" s="210"/>
      <c r="AH66" s="210"/>
      <c r="AI66" s="93"/>
      <c r="AJ66" s="93">
        <f t="shared" ca="1" si="3"/>
        <v>0</v>
      </c>
      <c r="AK66" s="93">
        <f t="shared" ca="1" si="4"/>
        <v>0</v>
      </c>
      <c r="AL66" s="213"/>
      <c r="AM66" s="213"/>
      <c r="AN66" s="213"/>
      <c r="AO66" s="213"/>
      <c r="AP66" s="213"/>
      <c r="AQ66" s="213"/>
      <c r="AR66" s="213"/>
      <c r="AS66" s="213"/>
      <c r="AT66" s="213"/>
      <c r="AU66" s="213"/>
      <c r="AV66" s="213"/>
      <c r="AW66" s="213"/>
      <c r="AX66" s="213"/>
      <c r="AY66" s="213"/>
      <c r="AZ66" s="213"/>
      <c r="BA66" s="213"/>
      <c r="BB66" s="213"/>
      <c r="BC66" s="213"/>
      <c r="BD66" s="213"/>
      <c r="BE66" s="213"/>
      <c r="BF66" s="213"/>
      <c r="BG66" s="213"/>
      <c r="BH66" s="213"/>
      <c r="BI66" s="213"/>
      <c r="BJ66" s="213"/>
      <c r="BK66" s="213"/>
      <c r="BL66" s="213"/>
      <c r="BM66" s="213"/>
      <c r="BN66" s="213"/>
      <c r="BO66" s="213"/>
      <c r="BP66" s="213"/>
      <c r="BQ66" s="213"/>
      <c r="BR66" s="213"/>
      <c r="BS66" s="213"/>
      <c r="BT66" s="213"/>
      <c r="BU66" s="213"/>
      <c r="BV66" s="213"/>
      <c r="BW66" s="213"/>
      <c r="BX66" s="213"/>
    </row>
    <row r="67" spans="1:76" s="209" customFormat="1" ht="22.5" customHeight="1">
      <c r="A67" s="235">
        <v>62</v>
      </c>
      <c r="B67" s="235"/>
      <c r="C67" s="235"/>
      <c r="D67" s="203"/>
      <c r="E67" s="204"/>
      <c r="F67" s="235"/>
      <c r="G67" s="235"/>
      <c r="H67" s="203"/>
      <c r="I67" s="203"/>
      <c r="J67" s="203"/>
      <c r="K67" s="205"/>
      <c r="L67" s="206"/>
      <c r="M67" s="203"/>
      <c r="N67" s="207"/>
      <c r="O67" s="207"/>
      <c r="P67" s="207"/>
      <c r="Q67" s="207"/>
      <c r="R67" s="206"/>
      <c r="S67" s="205"/>
      <c r="T67" s="205"/>
      <c r="U67" s="207"/>
      <c r="V67" s="226"/>
      <c r="W67" s="208"/>
      <c r="X67" s="208"/>
      <c r="Y67" s="208"/>
      <c r="Z67" s="208"/>
      <c r="AA67" s="208"/>
      <c r="AB67" s="210"/>
      <c r="AC67" s="210"/>
      <c r="AD67" s="210"/>
      <c r="AE67" s="210"/>
      <c r="AF67" s="210"/>
      <c r="AG67" s="210"/>
      <c r="AH67" s="210"/>
      <c r="AI67" s="93"/>
      <c r="AJ67" s="93">
        <f t="shared" ca="1" si="3"/>
        <v>0</v>
      </c>
      <c r="AK67" s="93">
        <f t="shared" ca="1" si="4"/>
        <v>0</v>
      </c>
      <c r="AL67" s="213"/>
      <c r="AM67" s="213"/>
      <c r="AN67" s="213"/>
      <c r="AO67" s="213"/>
      <c r="AP67" s="213"/>
      <c r="AQ67" s="213"/>
      <c r="AR67" s="213"/>
      <c r="AS67" s="213"/>
      <c r="AT67" s="213"/>
      <c r="AU67" s="213"/>
      <c r="AV67" s="213"/>
      <c r="AW67" s="213"/>
      <c r="AX67" s="213"/>
      <c r="AY67" s="213"/>
      <c r="AZ67" s="213"/>
      <c r="BA67" s="213"/>
      <c r="BB67" s="213"/>
      <c r="BC67" s="213"/>
      <c r="BD67" s="213"/>
      <c r="BE67" s="213"/>
      <c r="BF67" s="213"/>
      <c r="BG67" s="213"/>
      <c r="BH67" s="213"/>
      <c r="BI67" s="213"/>
      <c r="BJ67" s="213"/>
      <c r="BK67" s="213"/>
      <c r="BL67" s="213"/>
      <c r="BM67" s="213"/>
      <c r="BN67" s="213"/>
      <c r="BO67" s="213"/>
      <c r="BP67" s="213"/>
      <c r="BQ67" s="213"/>
      <c r="BR67" s="213"/>
      <c r="BS67" s="213"/>
      <c r="BT67" s="213"/>
      <c r="BU67" s="213"/>
      <c r="BV67" s="213"/>
      <c r="BW67" s="213"/>
      <c r="BX67" s="213"/>
    </row>
    <row r="68" spans="1:76" s="209" customFormat="1" ht="22.5" customHeight="1">
      <c r="A68" s="235">
        <v>63</v>
      </c>
      <c r="B68" s="235"/>
      <c r="C68" s="235"/>
      <c r="D68" s="203"/>
      <c r="E68" s="204"/>
      <c r="F68" s="235"/>
      <c r="G68" s="235"/>
      <c r="H68" s="203"/>
      <c r="I68" s="203"/>
      <c r="J68" s="203"/>
      <c r="K68" s="205"/>
      <c r="L68" s="206"/>
      <c r="M68" s="203"/>
      <c r="N68" s="207"/>
      <c r="O68" s="207"/>
      <c r="P68" s="207"/>
      <c r="Q68" s="207"/>
      <c r="R68" s="206"/>
      <c r="S68" s="205"/>
      <c r="T68" s="205"/>
      <c r="U68" s="207"/>
      <c r="V68" s="226"/>
      <c r="W68" s="208"/>
      <c r="X68" s="208"/>
      <c r="Y68" s="208"/>
      <c r="Z68" s="208"/>
      <c r="AA68" s="208"/>
      <c r="AB68" s="210"/>
      <c r="AC68" s="210"/>
      <c r="AD68" s="210"/>
      <c r="AE68" s="210"/>
      <c r="AF68" s="210"/>
      <c r="AG68" s="210"/>
      <c r="AH68" s="210"/>
      <c r="AI68" s="93"/>
      <c r="AJ68" s="93">
        <f t="shared" ca="1" si="3"/>
        <v>0</v>
      </c>
      <c r="AK68" s="93">
        <f t="shared" ca="1" si="4"/>
        <v>0</v>
      </c>
      <c r="AL68" s="213"/>
      <c r="AM68" s="213"/>
      <c r="AN68" s="213"/>
      <c r="AO68" s="213"/>
      <c r="AP68" s="213"/>
      <c r="AQ68" s="213"/>
      <c r="AR68" s="213"/>
      <c r="AS68" s="213"/>
      <c r="AT68" s="213"/>
      <c r="AU68" s="213"/>
      <c r="AV68" s="213"/>
      <c r="AW68" s="213"/>
      <c r="AX68" s="213"/>
      <c r="AY68" s="213"/>
      <c r="AZ68" s="213"/>
      <c r="BA68" s="213"/>
      <c r="BB68" s="213"/>
      <c r="BC68" s="213"/>
      <c r="BD68" s="213"/>
      <c r="BE68" s="213"/>
      <c r="BF68" s="213"/>
      <c r="BG68" s="213"/>
      <c r="BH68" s="213"/>
      <c r="BI68" s="213"/>
      <c r="BJ68" s="213"/>
      <c r="BK68" s="213"/>
      <c r="BL68" s="213"/>
      <c r="BM68" s="213"/>
      <c r="BN68" s="213"/>
      <c r="BO68" s="213"/>
      <c r="BP68" s="213"/>
      <c r="BQ68" s="213"/>
      <c r="BR68" s="213"/>
      <c r="BS68" s="213"/>
      <c r="BT68" s="213"/>
      <c r="BU68" s="213"/>
      <c r="BV68" s="213"/>
      <c r="BW68" s="213"/>
      <c r="BX68" s="213"/>
    </row>
    <row r="69" spans="1:76" s="209" customFormat="1" ht="22.5" customHeight="1">
      <c r="A69" s="235">
        <v>64</v>
      </c>
      <c r="B69" s="235"/>
      <c r="C69" s="235"/>
      <c r="D69" s="203"/>
      <c r="E69" s="204"/>
      <c r="F69" s="235"/>
      <c r="G69" s="235"/>
      <c r="H69" s="203"/>
      <c r="I69" s="203"/>
      <c r="J69" s="203"/>
      <c r="K69" s="205"/>
      <c r="L69" s="206"/>
      <c r="M69" s="203"/>
      <c r="N69" s="207"/>
      <c r="O69" s="207"/>
      <c r="P69" s="207"/>
      <c r="Q69" s="207"/>
      <c r="R69" s="206"/>
      <c r="S69" s="205"/>
      <c r="T69" s="205"/>
      <c r="U69" s="207"/>
      <c r="V69" s="226"/>
      <c r="W69" s="208"/>
      <c r="X69" s="208"/>
      <c r="Y69" s="208"/>
      <c r="Z69" s="208"/>
      <c r="AA69" s="208"/>
      <c r="AB69" s="210"/>
      <c r="AC69" s="210"/>
      <c r="AD69" s="210"/>
      <c r="AE69" s="210"/>
      <c r="AF69" s="210"/>
      <c r="AG69" s="210"/>
      <c r="AH69" s="210"/>
      <c r="AI69" s="93"/>
      <c r="AJ69" s="93">
        <f t="shared" ca="1" si="3"/>
        <v>0</v>
      </c>
      <c r="AK69" s="93">
        <f t="shared" ca="1" si="4"/>
        <v>0</v>
      </c>
      <c r="AL69" s="213"/>
      <c r="AM69" s="213"/>
      <c r="AN69" s="213"/>
      <c r="AO69" s="213"/>
      <c r="AP69" s="213"/>
      <c r="AQ69" s="213"/>
      <c r="AR69" s="213"/>
      <c r="AS69" s="213"/>
      <c r="AT69" s="213"/>
      <c r="AU69" s="213"/>
      <c r="AV69" s="213"/>
      <c r="AW69" s="213"/>
      <c r="AX69" s="213"/>
      <c r="AY69" s="213"/>
      <c r="AZ69" s="213"/>
      <c r="BA69" s="213"/>
      <c r="BB69" s="213"/>
      <c r="BC69" s="213"/>
      <c r="BD69" s="213"/>
      <c r="BE69" s="213"/>
      <c r="BF69" s="213"/>
      <c r="BG69" s="213"/>
      <c r="BH69" s="213"/>
      <c r="BI69" s="213"/>
      <c r="BJ69" s="213"/>
      <c r="BK69" s="213"/>
      <c r="BL69" s="213"/>
      <c r="BM69" s="213"/>
      <c r="BN69" s="213"/>
      <c r="BO69" s="213"/>
      <c r="BP69" s="213"/>
      <c r="BQ69" s="213"/>
      <c r="BR69" s="213"/>
      <c r="BS69" s="213"/>
      <c r="BT69" s="213"/>
      <c r="BU69" s="213"/>
      <c r="BV69" s="213"/>
      <c r="BW69" s="213"/>
      <c r="BX69" s="213"/>
    </row>
    <row r="70" spans="1:76" s="209" customFormat="1" ht="22.5" customHeight="1">
      <c r="A70" s="235">
        <v>65</v>
      </c>
      <c r="B70" s="235"/>
      <c r="C70" s="235"/>
      <c r="D70" s="203"/>
      <c r="E70" s="204"/>
      <c r="F70" s="235"/>
      <c r="G70" s="235"/>
      <c r="H70" s="203"/>
      <c r="I70" s="203"/>
      <c r="J70" s="203"/>
      <c r="K70" s="205"/>
      <c r="L70" s="206"/>
      <c r="M70" s="203"/>
      <c r="N70" s="207"/>
      <c r="O70" s="207"/>
      <c r="P70" s="207"/>
      <c r="Q70" s="207"/>
      <c r="R70" s="206"/>
      <c r="S70" s="205"/>
      <c r="T70" s="205"/>
      <c r="U70" s="207"/>
      <c r="V70" s="226"/>
      <c r="W70" s="208"/>
      <c r="X70" s="208"/>
      <c r="Y70" s="208"/>
      <c r="Z70" s="208"/>
      <c r="AA70" s="208"/>
      <c r="AB70" s="210"/>
      <c r="AC70" s="210"/>
      <c r="AD70" s="210"/>
      <c r="AE70" s="210"/>
      <c r="AF70" s="210"/>
      <c r="AG70" s="210"/>
      <c r="AH70" s="210"/>
      <c r="AI70" s="93"/>
      <c r="AJ70" s="93">
        <f t="shared" ca="1" si="3"/>
        <v>0</v>
      </c>
      <c r="AK70" s="93">
        <f t="shared" ca="1" si="4"/>
        <v>0</v>
      </c>
      <c r="AL70" s="213"/>
      <c r="AM70" s="213"/>
      <c r="AN70" s="213"/>
      <c r="AO70" s="213"/>
      <c r="AP70" s="213"/>
      <c r="AQ70" s="213"/>
      <c r="AR70" s="213"/>
      <c r="AS70" s="213"/>
      <c r="AT70" s="213"/>
      <c r="AU70" s="213"/>
      <c r="AV70" s="213"/>
      <c r="AW70" s="213"/>
      <c r="AX70" s="213"/>
      <c r="AY70" s="213"/>
      <c r="AZ70" s="213"/>
      <c r="BA70" s="213"/>
      <c r="BB70" s="213"/>
      <c r="BC70" s="213"/>
      <c r="BD70" s="213"/>
      <c r="BE70" s="213"/>
      <c r="BF70" s="213"/>
      <c r="BG70" s="213"/>
      <c r="BH70" s="213"/>
      <c r="BI70" s="213"/>
      <c r="BJ70" s="213"/>
      <c r="BK70" s="213"/>
      <c r="BL70" s="213"/>
      <c r="BM70" s="213"/>
      <c r="BN70" s="213"/>
      <c r="BO70" s="213"/>
      <c r="BP70" s="213"/>
      <c r="BQ70" s="213"/>
      <c r="BR70" s="213"/>
      <c r="BS70" s="213"/>
      <c r="BT70" s="213"/>
      <c r="BU70" s="213"/>
      <c r="BV70" s="213"/>
      <c r="BW70" s="213"/>
      <c r="BX70" s="213"/>
    </row>
    <row r="71" spans="1:76" s="209" customFormat="1" ht="22.5" customHeight="1">
      <c r="A71" s="235">
        <v>66</v>
      </c>
      <c r="B71" s="235"/>
      <c r="C71" s="235"/>
      <c r="D71" s="203"/>
      <c r="E71" s="204"/>
      <c r="F71" s="235"/>
      <c r="G71" s="235"/>
      <c r="H71" s="203"/>
      <c r="I71" s="203"/>
      <c r="J71" s="203"/>
      <c r="K71" s="205"/>
      <c r="L71" s="206"/>
      <c r="M71" s="203"/>
      <c r="N71" s="207"/>
      <c r="O71" s="207"/>
      <c r="P71" s="207"/>
      <c r="Q71" s="207"/>
      <c r="R71" s="206"/>
      <c r="S71" s="205"/>
      <c r="T71" s="205"/>
      <c r="U71" s="207"/>
      <c r="V71" s="226"/>
      <c r="W71" s="208"/>
      <c r="X71" s="208"/>
      <c r="Y71" s="208"/>
      <c r="Z71" s="208"/>
      <c r="AA71" s="208"/>
      <c r="AB71" s="210"/>
      <c r="AC71" s="210"/>
      <c r="AD71" s="210"/>
      <c r="AE71" s="210"/>
      <c r="AF71" s="210"/>
      <c r="AG71" s="210"/>
      <c r="AH71" s="210"/>
      <c r="AI71" s="93"/>
      <c r="AJ71" s="93">
        <f t="shared" ca="1" si="3"/>
        <v>0</v>
      </c>
      <c r="AK71" s="93">
        <f t="shared" ca="1" si="4"/>
        <v>0</v>
      </c>
      <c r="AL71" s="213"/>
      <c r="AM71" s="213"/>
      <c r="AN71" s="213"/>
      <c r="AO71" s="213"/>
      <c r="AP71" s="213"/>
      <c r="AQ71" s="213"/>
      <c r="AR71" s="213"/>
      <c r="AS71" s="213"/>
      <c r="AT71" s="213"/>
      <c r="AU71" s="213"/>
      <c r="AV71" s="213"/>
      <c r="AW71" s="213"/>
      <c r="AX71" s="213"/>
      <c r="AY71" s="213"/>
      <c r="AZ71" s="213"/>
      <c r="BA71" s="213"/>
      <c r="BB71" s="213"/>
      <c r="BC71" s="213"/>
      <c r="BD71" s="213"/>
      <c r="BE71" s="213"/>
      <c r="BF71" s="213"/>
      <c r="BG71" s="213"/>
      <c r="BH71" s="213"/>
      <c r="BI71" s="213"/>
      <c r="BJ71" s="213"/>
      <c r="BK71" s="213"/>
      <c r="BL71" s="213"/>
      <c r="BM71" s="213"/>
      <c r="BN71" s="213"/>
      <c r="BO71" s="213"/>
      <c r="BP71" s="213"/>
      <c r="BQ71" s="213"/>
      <c r="BR71" s="213"/>
      <c r="BS71" s="213"/>
      <c r="BT71" s="213"/>
      <c r="BU71" s="213"/>
      <c r="BV71" s="213"/>
      <c r="BW71" s="213"/>
      <c r="BX71" s="213"/>
    </row>
    <row r="72" spans="1:76" s="209" customFormat="1" ht="22.5" customHeight="1">
      <c r="A72" s="235">
        <v>67</v>
      </c>
      <c r="B72" s="235"/>
      <c r="C72" s="235"/>
      <c r="D72" s="203"/>
      <c r="E72" s="204"/>
      <c r="F72" s="235"/>
      <c r="G72" s="235"/>
      <c r="H72" s="203"/>
      <c r="I72" s="203"/>
      <c r="J72" s="203"/>
      <c r="K72" s="205"/>
      <c r="L72" s="206"/>
      <c r="M72" s="203"/>
      <c r="N72" s="207"/>
      <c r="O72" s="207"/>
      <c r="P72" s="207"/>
      <c r="Q72" s="207"/>
      <c r="R72" s="206"/>
      <c r="S72" s="205"/>
      <c r="T72" s="205"/>
      <c r="U72" s="207"/>
      <c r="V72" s="226"/>
      <c r="W72" s="208"/>
      <c r="X72" s="208"/>
      <c r="Y72" s="208"/>
      <c r="Z72" s="208"/>
      <c r="AA72" s="208"/>
      <c r="AB72" s="210"/>
      <c r="AC72" s="210"/>
      <c r="AD72" s="210"/>
      <c r="AE72" s="210"/>
      <c r="AF72" s="210"/>
      <c r="AG72" s="210"/>
      <c r="AH72" s="210"/>
      <c r="AI72" s="93"/>
      <c r="AJ72" s="93">
        <f t="shared" ca="1" si="3"/>
        <v>0</v>
      </c>
      <c r="AK72" s="93">
        <f t="shared" ca="1" si="4"/>
        <v>0</v>
      </c>
      <c r="AL72" s="213"/>
      <c r="AM72" s="213"/>
      <c r="AN72" s="213"/>
      <c r="AO72" s="213"/>
      <c r="AP72" s="213"/>
      <c r="AQ72" s="213"/>
      <c r="AR72" s="213"/>
      <c r="AS72" s="213"/>
      <c r="AT72" s="213"/>
      <c r="AU72" s="213"/>
      <c r="AV72" s="213"/>
      <c r="AW72" s="213"/>
      <c r="AX72" s="213"/>
      <c r="AY72" s="213"/>
      <c r="AZ72" s="213"/>
      <c r="BA72" s="213"/>
      <c r="BB72" s="213"/>
      <c r="BC72" s="213"/>
      <c r="BD72" s="213"/>
      <c r="BE72" s="213"/>
      <c r="BF72" s="213"/>
      <c r="BG72" s="213"/>
      <c r="BH72" s="213"/>
      <c r="BI72" s="213"/>
      <c r="BJ72" s="213"/>
      <c r="BK72" s="213"/>
      <c r="BL72" s="213"/>
      <c r="BM72" s="213"/>
      <c r="BN72" s="213"/>
      <c r="BO72" s="213"/>
      <c r="BP72" s="213"/>
      <c r="BQ72" s="213"/>
      <c r="BR72" s="213"/>
      <c r="BS72" s="213"/>
      <c r="BT72" s="213"/>
      <c r="BU72" s="213"/>
      <c r="BV72" s="213"/>
      <c r="BW72" s="213"/>
      <c r="BX72" s="213"/>
    </row>
    <row r="73" spans="1:76" s="209" customFormat="1" ht="22.5" customHeight="1">
      <c r="A73" s="235">
        <v>68</v>
      </c>
      <c r="B73" s="235"/>
      <c r="C73" s="235"/>
      <c r="D73" s="203"/>
      <c r="E73" s="204"/>
      <c r="F73" s="235"/>
      <c r="G73" s="235"/>
      <c r="H73" s="203"/>
      <c r="I73" s="203"/>
      <c r="J73" s="203"/>
      <c r="K73" s="205"/>
      <c r="L73" s="206"/>
      <c r="M73" s="203"/>
      <c r="N73" s="207"/>
      <c r="O73" s="207"/>
      <c r="P73" s="207"/>
      <c r="Q73" s="207"/>
      <c r="R73" s="206"/>
      <c r="S73" s="205"/>
      <c r="T73" s="205"/>
      <c r="U73" s="207"/>
      <c r="V73" s="226"/>
      <c r="W73" s="208"/>
      <c r="X73" s="208"/>
      <c r="Y73" s="208"/>
      <c r="Z73" s="208"/>
      <c r="AA73" s="208"/>
      <c r="AB73" s="210"/>
      <c r="AC73" s="210"/>
      <c r="AD73" s="210"/>
      <c r="AE73" s="210"/>
      <c r="AF73" s="210"/>
      <c r="AG73" s="210"/>
      <c r="AH73" s="210"/>
      <c r="AI73" s="93"/>
      <c r="AJ73" s="93">
        <f t="shared" ca="1" si="3"/>
        <v>0</v>
      </c>
      <c r="AK73" s="93">
        <f t="shared" ca="1" si="4"/>
        <v>0</v>
      </c>
      <c r="AL73" s="213"/>
      <c r="AM73" s="213"/>
      <c r="AN73" s="213"/>
      <c r="AO73" s="213"/>
      <c r="AP73" s="213"/>
      <c r="AQ73" s="213"/>
      <c r="AR73" s="213"/>
      <c r="AS73" s="213"/>
      <c r="AT73" s="213"/>
      <c r="AU73" s="213"/>
      <c r="AV73" s="213"/>
      <c r="AW73" s="213"/>
      <c r="AX73" s="213"/>
      <c r="AY73" s="213"/>
      <c r="AZ73" s="213"/>
      <c r="BA73" s="213"/>
      <c r="BB73" s="213"/>
      <c r="BC73" s="213"/>
      <c r="BD73" s="213"/>
      <c r="BE73" s="213"/>
      <c r="BF73" s="213"/>
      <c r="BG73" s="213"/>
      <c r="BH73" s="213"/>
      <c r="BI73" s="213"/>
      <c r="BJ73" s="213"/>
      <c r="BK73" s="213"/>
      <c r="BL73" s="213"/>
      <c r="BM73" s="213"/>
      <c r="BN73" s="213"/>
      <c r="BO73" s="213"/>
      <c r="BP73" s="213"/>
      <c r="BQ73" s="213"/>
      <c r="BR73" s="213"/>
      <c r="BS73" s="213"/>
      <c r="BT73" s="213"/>
      <c r="BU73" s="213"/>
      <c r="BV73" s="213"/>
      <c r="BW73" s="213"/>
      <c r="BX73" s="213"/>
    </row>
    <row r="74" spans="1:76" s="209" customFormat="1" ht="22.5" customHeight="1">
      <c r="A74" s="235">
        <v>69</v>
      </c>
      <c r="B74" s="235"/>
      <c r="C74" s="235"/>
      <c r="D74" s="203"/>
      <c r="E74" s="204"/>
      <c r="F74" s="235"/>
      <c r="G74" s="235"/>
      <c r="H74" s="203"/>
      <c r="I74" s="203"/>
      <c r="J74" s="203"/>
      <c r="K74" s="205"/>
      <c r="L74" s="206"/>
      <c r="M74" s="203"/>
      <c r="N74" s="207"/>
      <c r="O74" s="207"/>
      <c r="P74" s="207"/>
      <c r="Q74" s="207"/>
      <c r="R74" s="206"/>
      <c r="S74" s="205"/>
      <c r="T74" s="205"/>
      <c r="U74" s="207"/>
      <c r="V74" s="226"/>
      <c r="W74" s="208"/>
      <c r="X74" s="208"/>
      <c r="Y74" s="208"/>
      <c r="Z74" s="208"/>
      <c r="AA74" s="208"/>
      <c r="AB74" s="210"/>
      <c r="AC74" s="210"/>
      <c r="AD74" s="210"/>
      <c r="AE74" s="210"/>
      <c r="AF74" s="210"/>
      <c r="AG74" s="210"/>
      <c r="AH74" s="210"/>
      <c r="AI74" s="93"/>
      <c r="AJ74" s="93">
        <f t="shared" ca="1" si="3"/>
        <v>0</v>
      </c>
      <c r="AK74" s="93">
        <f t="shared" ca="1" si="4"/>
        <v>0</v>
      </c>
      <c r="AL74" s="213"/>
      <c r="AM74" s="213"/>
      <c r="AN74" s="213"/>
      <c r="AO74" s="213"/>
      <c r="AP74" s="213"/>
      <c r="AQ74" s="213"/>
      <c r="AR74" s="213"/>
      <c r="AS74" s="213"/>
      <c r="AT74" s="213"/>
      <c r="AU74" s="213"/>
      <c r="AV74" s="213"/>
      <c r="AW74" s="213"/>
      <c r="AX74" s="213"/>
      <c r="AY74" s="213"/>
      <c r="AZ74" s="213"/>
      <c r="BA74" s="213"/>
      <c r="BB74" s="213"/>
      <c r="BC74" s="213"/>
      <c r="BD74" s="213"/>
      <c r="BE74" s="213"/>
      <c r="BF74" s="213"/>
      <c r="BG74" s="213"/>
      <c r="BH74" s="213"/>
      <c r="BI74" s="213"/>
      <c r="BJ74" s="213"/>
      <c r="BK74" s="213"/>
      <c r="BL74" s="213"/>
      <c r="BM74" s="213"/>
      <c r="BN74" s="213"/>
      <c r="BO74" s="213"/>
      <c r="BP74" s="213"/>
      <c r="BQ74" s="213"/>
      <c r="BR74" s="213"/>
      <c r="BS74" s="213"/>
      <c r="BT74" s="213"/>
      <c r="BU74" s="213"/>
      <c r="BV74" s="213"/>
      <c r="BW74" s="213"/>
      <c r="BX74" s="213"/>
    </row>
    <row r="75" spans="1:76" s="209" customFormat="1" ht="22.5" customHeight="1">
      <c r="A75" s="235">
        <v>70</v>
      </c>
      <c r="B75" s="235"/>
      <c r="C75" s="235"/>
      <c r="D75" s="203"/>
      <c r="E75" s="204"/>
      <c r="F75" s="235"/>
      <c r="G75" s="235"/>
      <c r="H75" s="203"/>
      <c r="I75" s="203"/>
      <c r="J75" s="203"/>
      <c r="K75" s="205"/>
      <c r="L75" s="206"/>
      <c r="M75" s="203"/>
      <c r="N75" s="207"/>
      <c r="O75" s="207"/>
      <c r="P75" s="207"/>
      <c r="Q75" s="207"/>
      <c r="R75" s="206"/>
      <c r="S75" s="205"/>
      <c r="T75" s="205"/>
      <c r="U75" s="207"/>
      <c r="V75" s="226"/>
      <c r="W75" s="208"/>
      <c r="X75" s="208"/>
      <c r="Y75" s="208"/>
      <c r="Z75" s="208"/>
      <c r="AA75" s="208"/>
      <c r="AB75" s="210"/>
      <c r="AC75" s="210"/>
      <c r="AD75" s="210"/>
      <c r="AE75" s="210"/>
      <c r="AF75" s="210"/>
      <c r="AG75" s="210"/>
      <c r="AH75" s="210"/>
      <c r="AI75" s="93"/>
      <c r="AJ75" s="93">
        <f t="shared" ca="1" si="3"/>
        <v>0</v>
      </c>
      <c r="AK75" s="93">
        <f t="shared" ca="1" si="4"/>
        <v>0</v>
      </c>
      <c r="AL75" s="213"/>
      <c r="AM75" s="213"/>
      <c r="AN75" s="213"/>
      <c r="AO75" s="213"/>
      <c r="AP75" s="213"/>
      <c r="AQ75" s="213"/>
      <c r="AR75" s="213"/>
      <c r="AS75" s="213"/>
      <c r="AT75" s="213"/>
      <c r="AU75" s="213"/>
      <c r="AV75" s="213"/>
      <c r="AW75" s="213"/>
      <c r="AX75" s="213"/>
      <c r="AY75" s="213"/>
      <c r="AZ75" s="213"/>
      <c r="BA75" s="213"/>
      <c r="BB75" s="213"/>
      <c r="BC75" s="213"/>
      <c r="BD75" s="213"/>
      <c r="BE75" s="213"/>
      <c r="BF75" s="213"/>
      <c r="BG75" s="213"/>
      <c r="BH75" s="213"/>
      <c r="BI75" s="213"/>
      <c r="BJ75" s="213"/>
      <c r="BK75" s="213"/>
      <c r="BL75" s="213"/>
      <c r="BM75" s="213"/>
      <c r="BN75" s="213"/>
      <c r="BO75" s="213"/>
      <c r="BP75" s="213"/>
      <c r="BQ75" s="213"/>
      <c r="BR75" s="213"/>
      <c r="BS75" s="213"/>
      <c r="BT75" s="213"/>
      <c r="BU75" s="213"/>
      <c r="BV75" s="213"/>
      <c r="BW75" s="213"/>
      <c r="BX75" s="213"/>
    </row>
    <row r="76" spans="1:76" s="209" customFormat="1" ht="22.5" customHeight="1">
      <c r="A76" s="235">
        <v>71</v>
      </c>
      <c r="B76" s="235"/>
      <c r="C76" s="235"/>
      <c r="D76" s="203"/>
      <c r="E76" s="204"/>
      <c r="F76" s="235"/>
      <c r="G76" s="235"/>
      <c r="H76" s="203"/>
      <c r="I76" s="203"/>
      <c r="J76" s="203"/>
      <c r="K76" s="205"/>
      <c r="L76" s="206"/>
      <c r="M76" s="203"/>
      <c r="N76" s="207"/>
      <c r="O76" s="207"/>
      <c r="P76" s="207"/>
      <c r="Q76" s="207"/>
      <c r="R76" s="206"/>
      <c r="S76" s="205"/>
      <c r="T76" s="205"/>
      <c r="U76" s="207"/>
      <c r="V76" s="226"/>
      <c r="W76" s="208"/>
      <c r="X76" s="208"/>
      <c r="Y76" s="208"/>
      <c r="Z76" s="208"/>
      <c r="AA76" s="208"/>
      <c r="AB76" s="210"/>
      <c r="AC76" s="210"/>
      <c r="AD76" s="210"/>
      <c r="AE76" s="210"/>
      <c r="AF76" s="210"/>
      <c r="AG76" s="210"/>
      <c r="AH76" s="210"/>
      <c r="AI76" s="93"/>
      <c r="AJ76" s="93">
        <f t="shared" ca="1" si="3"/>
        <v>0</v>
      </c>
      <c r="AK76" s="93">
        <f t="shared" ca="1" si="4"/>
        <v>0</v>
      </c>
      <c r="AL76" s="213"/>
      <c r="AM76" s="213"/>
      <c r="AN76" s="213"/>
      <c r="AO76" s="213"/>
      <c r="AP76" s="213"/>
      <c r="AQ76" s="213"/>
      <c r="AR76" s="213"/>
      <c r="AS76" s="213"/>
      <c r="AT76" s="213"/>
      <c r="AU76" s="213"/>
      <c r="AV76" s="213"/>
      <c r="AW76" s="213"/>
      <c r="AX76" s="213"/>
      <c r="AY76" s="213"/>
      <c r="AZ76" s="213"/>
      <c r="BA76" s="213"/>
      <c r="BB76" s="213"/>
      <c r="BC76" s="213"/>
      <c r="BD76" s="213"/>
      <c r="BE76" s="213"/>
      <c r="BF76" s="213"/>
      <c r="BG76" s="213"/>
      <c r="BH76" s="213"/>
      <c r="BI76" s="213"/>
      <c r="BJ76" s="213"/>
      <c r="BK76" s="213"/>
      <c r="BL76" s="213"/>
      <c r="BM76" s="213"/>
      <c r="BN76" s="213"/>
      <c r="BO76" s="213"/>
      <c r="BP76" s="213"/>
      <c r="BQ76" s="213"/>
      <c r="BR76" s="213"/>
      <c r="BS76" s="213"/>
      <c r="BT76" s="213"/>
      <c r="BU76" s="213"/>
      <c r="BV76" s="213"/>
      <c r="BW76" s="213"/>
      <c r="BX76" s="213"/>
    </row>
    <row r="77" spans="1:76" s="209" customFormat="1" ht="22.5" customHeight="1">
      <c r="A77" s="235">
        <v>72</v>
      </c>
      <c r="B77" s="235"/>
      <c r="C77" s="235"/>
      <c r="D77" s="203"/>
      <c r="E77" s="204"/>
      <c r="F77" s="235"/>
      <c r="G77" s="235"/>
      <c r="H77" s="203"/>
      <c r="I77" s="203"/>
      <c r="J77" s="203"/>
      <c r="K77" s="205"/>
      <c r="L77" s="206"/>
      <c r="M77" s="203"/>
      <c r="N77" s="207"/>
      <c r="O77" s="207"/>
      <c r="P77" s="207"/>
      <c r="Q77" s="207"/>
      <c r="R77" s="206"/>
      <c r="S77" s="205"/>
      <c r="T77" s="205"/>
      <c r="U77" s="207"/>
      <c r="V77" s="226"/>
      <c r="W77" s="208"/>
      <c r="X77" s="208"/>
      <c r="Y77" s="208"/>
      <c r="Z77" s="208"/>
      <c r="AA77" s="208"/>
      <c r="AB77" s="210"/>
      <c r="AC77" s="210"/>
      <c r="AD77" s="210"/>
      <c r="AE77" s="210"/>
      <c r="AF77" s="210"/>
      <c r="AG77" s="210"/>
      <c r="AH77" s="210"/>
      <c r="AI77" s="93"/>
      <c r="AJ77" s="93">
        <f t="shared" ca="1" si="3"/>
        <v>0</v>
      </c>
      <c r="AK77" s="93">
        <f t="shared" ca="1" si="4"/>
        <v>0</v>
      </c>
      <c r="AL77" s="213"/>
      <c r="AM77" s="213"/>
      <c r="AN77" s="213"/>
      <c r="AO77" s="213"/>
      <c r="AP77" s="213"/>
      <c r="AQ77" s="213"/>
      <c r="AR77" s="213"/>
      <c r="AS77" s="213"/>
      <c r="AT77" s="213"/>
      <c r="AU77" s="213"/>
      <c r="AV77" s="213"/>
      <c r="AW77" s="213"/>
      <c r="AX77" s="213"/>
      <c r="AY77" s="213"/>
      <c r="AZ77" s="213"/>
      <c r="BA77" s="213"/>
      <c r="BB77" s="213"/>
      <c r="BC77" s="213"/>
      <c r="BD77" s="213"/>
      <c r="BE77" s="213"/>
      <c r="BF77" s="213"/>
      <c r="BG77" s="213"/>
      <c r="BH77" s="213"/>
      <c r="BI77" s="213"/>
      <c r="BJ77" s="213"/>
      <c r="BK77" s="213"/>
      <c r="BL77" s="213"/>
      <c r="BM77" s="213"/>
      <c r="BN77" s="213"/>
      <c r="BO77" s="213"/>
      <c r="BP77" s="213"/>
      <c r="BQ77" s="213"/>
      <c r="BR77" s="213"/>
      <c r="BS77" s="213"/>
      <c r="BT77" s="213"/>
      <c r="BU77" s="213"/>
      <c r="BV77" s="213"/>
      <c r="BW77" s="213"/>
      <c r="BX77" s="213"/>
    </row>
    <row r="78" spans="1:76" s="209" customFormat="1" ht="22.5" customHeight="1">
      <c r="A78" s="235">
        <v>73</v>
      </c>
      <c r="B78" s="235"/>
      <c r="C78" s="235"/>
      <c r="D78" s="203"/>
      <c r="E78" s="204"/>
      <c r="F78" s="235"/>
      <c r="G78" s="235"/>
      <c r="H78" s="203"/>
      <c r="I78" s="203"/>
      <c r="J78" s="203"/>
      <c r="K78" s="205"/>
      <c r="L78" s="206"/>
      <c r="M78" s="203"/>
      <c r="N78" s="207"/>
      <c r="O78" s="207"/>
      <c r="P78" s="207"/>
      <c r="Q78" s="207"/>
      <c r="R78" s="206"/>
      <c r="S78" s="205"/>
      <c r="T78" s="205"/>
      <c r="U78" s="207"/>
      <c r="V78" s="226"/>
      <c r="W78" s="208"/>
      <c r="X78" s="208"/>
      <c r="Y78" s="208"/>
      <c r="Z78" s="208"/>
      <c r="AA78" s="208"/>
      <c r="AB78" s="210"/>
      <c r="AC78" s="210"/>
      <c r="AD78" s="210"/>
      <c r="AE78" s="210"/>
      <c r="AF78" s="210"/>
      <c r="AG78" s="210"/>
      <c r="AH78" s="210"/>
      <c r="AI78" s="93"/>
      <c r="AJ78" s="93">
        <f t="shared" ca="1" si="3"/>
        <v>0</v>
      </c>
      <c r="AK78" s="93">
        <f t="shared" ca="1" si="4"/>
        <v>0</v>
      </c>
      <c r="AL78" s="213"/>
      <c r="AM78" s="213"/>
      <c r="AN78" s="213"/>
      <c r="AO78" s="213"/>
      <c r="AP78" s="213"/>
      <c r="AQ78" s="213"/>
      <c r="AR78" s="213"/>
      <c r="AS78" s="213"/>
      <c r="AT78" s="213"/>
      <c r="AU78" s="213"/>
      <c r="AV78" s="213"/>
      <c r="AW78" s="213"/>
      <c r="AX78" s="213"/>
      <c r="AY78" s="213"/>
      <c r="AZ78" s="213"/>
      <c r="BA78" s="213"/>
      <c r="BB78" s="213"/>
      <c r="BC78" s="213"/>
      <c r="BD78" s="213"/>
      <c r="BE78" s="213"/>
      <c r="BF78" s="213"/>
      <c r="BG78" s="213"/>
      <c r="BH78" s="213"/>
      <c r="BI78" s="213"/>
      <c r="BJ78" s="213"/>
      <c r="BK78" s="213"/>
      <c r="BL78" s="213"/>
      <c r="BM78" s="213"/>
      <c r="BN78" s="213"/>
      <c r="BO78" s="213"/>
      <c r="BP78" s="213"/>
      <c r="BQ78" s="213"/>
      <c r="BR78" s="213"/>
      <c r="BS78" s="213"/>
      <c r="BT78" s="213"/>
      <c r="BU78" s="213"/>
      <c r="BV78" s="213"/>
      <c r="BW78" s="213"/>
      <c r="BX78" s="213"/>
    </row>
    <row r="79" spans="1:76" s="209" customFormat="1" ht="22.5" customHeight="1">
      <c r="A79" s="235">
        <v>74</v>
      </c>
      <c r="B79" s="235"/>
      <c r="C79" s="235"/>
      <c r="D79" s="203"/>
      <c r="E79" s="204"/>
      <c r="F79" s="235"/>
      <c r="G79" s="235"/>
      <c r="H79" s="203"/>
      <c r="I79" s="203"/>
      <c r="J79" s="203"/>
      <c r="K79" s="205"/>
      <c r="L79" s="206"/>
      <c r="M79" s="203"/>
      <c r="N79" s="207"/>
      <c r="O79" s="207"/>
      <c r="P79" s="207"/>
      <c r="Q79" s="207"/>
      <c r="R79" s="206"/>
      <c r="S79" s="205"/>
      <c r="T79" s="205"/>
      <c r="U79" s="207"/>
      <c r="V79" s="226"/>
      <c r="W79" s="208"/>
      <c r="X79" s="208"/>
      <c r="Y79" s="208"/>
      <c r="Z79" s="208"/>
      <c r="AA79" s="208"/>
      <c r="AB79" s="210"/>
      <c r="AC79" s="210"/>
      <c r="AD79" s="210"/>
      <c r="AE79" s="210"/>
      <c r="AF79" s="210"/>
      <c r="AG79" s="210"/>
      <c r="AH79" s="210"/>
      <c r="AI79" s="93"/>
      <c r="AJ79" s="93">
        <f t="shared" ca="1" si="3"/>
        <v>0</v>
      </c>
      <c r="AK79" s="93">
        <f t="shared" ca="1" si="4"/>
        <v>0</v>
      </c>
      <c r="AL79" s="213"/>
      <c r="AM79" s="213"/>
      <c r="AN79" s="213"/>
      <c r="AO79" s="213"/>
      <c r="AP79" s="213"/>
      <c r="AQ79" s="213"/>
      <c r="AR79" s="213"/>
      <c r="AS79" s="213"/>
      <c r="AT79" s="213"/>
      <c r="AU79" s="213"/>
      <c r="AV79" s="213"/>
      <c r="AW79" s="213"/>
      <c r="AX79" s="213"/>
      <c r="AY79" s="213"/>
      <c r="AZ79" s="213"/>
      <c r="BA79" s="213"/>
      <c r="BB79" s="213"/>
      <c r="BC79" s="213"/>
      <c r="BD79" s="213"/>
      <c r="BE79" s="213"/>
      <c r="BF79" s="213"/>
      <c r="BG79" s="213"/>
      <c r="BH79" s="213"/>
      <c r="BI79" s="213"/>
      <c r="BJ79" s="213"/>
      <c r="BK79" s="213"/>
      <c r="BL79" s="213"/>
      <c r="BM79" s="213"/>
      <c r="BN79" s="213"/>
      <c r="BO79" s="213"/>
      <c r="BP79" s="213"/>
      <c r="BQ79" s="213"/>
      <c r="BR79" s="213"/>
      <c r="BS79" s="213"/>
      <c r="BT79" s="213"/>
      <c r="BU79" s="213"/>
      <c r="BV79" s="213"/>
      <c r="BW79" s="213"/>
      <c r="BX79" s="213"/>
    </row>
    <row r="80" spans="1:76" s="209" customFormat="1" ht="22.5" customHeight="1">
      <c r="A80" s="235">
        <v>75</v>
      </c>
      <c r="B80" s="235"/>
      <c r="C80" s="235"/>
      <c r="D80" s="203"/>
      <c r="E80" s="204"/>
      <c r="F80" s="235"/>
      <c r="G80" s="235"/>
      <c r="H80" s="203"/>
      <c r="I80" s="203"/>
      <c r="J80" s="203"/>
      <c r="K80" s="205"/>
      <c r="L80" s="206"/>
      <c r="M80" s="203"/>
      <c r="N80" s="207"/>
      <c r="O80" s="207"/>
      <c r="P80" s="207"/>
      <c r="Q80" s="207"/>
      <c r="R80" s="206"/>
      <c r="S80" s="205"/>
      <c r="T80" s="205"/>
      <c r="U80" s="207"/>
      <c r="V80" s="226"/>
      <c r="W80" s="208"/>
      <c r="X80" s="208"/>
      <c r="Y80" s="208"/>
      <c r="Z80" s="208"/>
      <c r="AA80" s="208"/>
      <c r="AB80" s="210"/>
      <c r="AC80" s="210"/>
      <c r="AD80" s="210"/>
      <c r="AE80" s="210"/>
      <c r="AF80" s="210"/>
      <c r="AG80" s="210"/>
      <c r="AH80" s="210"/>
      <c r="AI80" s="93"/>
      <c r="AJ80" s="93">
        <f t="shared" ca="1" si="3"/>
        <v>0</v>
      </c>
      <c r="AK80" s="93">
        <f t="shared" ca="1" si="4"/>
        <v>0</v>
      </c>
      <c r="AL80" s="213"/>
      <c r="AM80" s="213"/>
      <c r="AN80" s="213"/>
      <c r="AO80" s="213"/>
      <c r="AP80" s="213"/>
      <c r="AQ80" s="213"/>
      <c r="AR80" s="213"/>
      <c r="AS80" s="213"/>
      <c r="AT80" s="213"/>
      <c r="AU80" s="213"/>
      <c r="AV80" s="213"/>
      <c r="AW80" s="213"/>
      <c r="AX80" s="213"/>
      <c r="AY80" s="213"/>
      <c r="AZ80" s="213"/>
      <c r="BA80" s="213"/>
      <c r="BB80" s="213"/>
      <c r="BC80" s="213"/>
      <c r="BD80" s="213"/>
      <c r="BE80" s="213"/>
      <c r="BF80" s="213"/>
      <c r="BG80" s="213"/>
      <c r="BH80" s="213"/>
      <c r="BI80" s="213"/>
      <c r="BJ80" s="213"/>
      <c r="BK80" s="213"/>
      <c r="BL80" s="213"/>
      <c r="BM80" s="213"/>
      <c r="BN80" s="213"/>
      <c r="BO80" s="213"/>
      <c r="BP80" s="213"/>
      <c r="BQ80" s="213"/>
      <c r="BR80" s="213"/>
      <c r="BS80" s="213"/>
      <c r="BT80" s="213"/>
      <c r="BU80" s="213"/>
      <c r="BV80" s="213"/>
      <c r="BW80" s="213"/>
      <c r="BX80" s="213"/>
    </row>
    <row r="81" spans="1:76" s="209" customFormat="1" ht="22.5" customHeight="1">
      <c r="A81" s="235">
        <v>76</v>
      </c>
      <c r="B81" s="235"/>
      <c r="C81" s="235"/>
      <c r="D81" s="203"/>
      <c r="E81" s="204"/>
      <c r="F81" s="235"/>
      <c r="G81" s="235"/>
      <c r="H81" s="203"/>
      <c r="I81" s="203"/>
      <c r="J81" s="203"/>
      <c r="K81" s="205"/>
      <c r="L81" s="206"/>
      <c r="M81" s="203"/>
      <c r="N81" s="207"/>
      <c r="O81" s="207"/>
      <c r="P81" s="207"/>
      <c r="Q81" s="207"/>
      <c r="R81" s="206"/>
      <c r="S81" s="205"/>
      <c r="T81" s="205"/>
      <c r="U81" s="207"/>
      <c r="V81" s="226"/>
      <c r="W81" s="208"/>
      <c r="X81" s="208"/>
      <c r="Y81" s="208"/>
      <c r="Z81" s="208"/>
      <c r="AA81" s="208"/>
      <c r="AB81" s="210"/>
      <c r="AC81" s="210"/>
      <c r="AD81" s="210"/>
      <c r="AE81" s="210"/>
      <c r="AF81" s="210"/>
      <c r="AG81" s="210"/>
      <c r="AH81" s="210"/>
      <c r="AI81" s="93"/>
      <c r="AJ81" s="93">
        <f t="shared" ca="1" si="3"/>
        <v>0</v>
      </c>
      <c r="AK81" s="93">
        <f t="shared" ca="1" si="4"/>
        <v>0</v>
      </c>
      <c r="AL81" s="213"/>
      <c r="AM81" s="213"/>
      <c r="AN81" s="213"/>
      <c r="AO81" s="213"/>
      <c r="AP81" s="213"/>
      <c r="AQ81" s="213"/>
      <c r="AR81" s="213"/>
      <c r="AS81" s="213"/>
      <c r="AT81" s="213"/>
      <c r="AU81" s="213"/>
      <c r="AV81" s="213"/>
      <c r="AW81" s="213"/>
      <c r="AX81" s="213"/>
      <c r="AY81" s="213"/>
      <c r="AZ81" s="213"/>
      <c r="BA81" s="213"/>
      <c r="BB81" s="213"/>
      <c r="BC81" s="213"/>
      <c r="BD81" s="213"/>
      <c r="BE81" s="213"/>
      <c r="BF81" s="213"/>
      <c r="BG81" s="213"/>
      <c r="BH81" s="213"/>
      <c r="BI81" s="213"/>
      <c r="BJ81" s="213"/>
      <c r="BK81" s="213"/>
      <c r="BL81" s="213"/>
      <c r="BM81" s="213"/>
      <c r="BN81" s="213"/>
      <c r="BO81" s="213"/>
      <c r="BP81" s="213"/>
      <c r="BQ81" s="213"/>
      <c r="BR81" s="213"/>
      <c r="BS81" s="213"/>
      <c r="BT81" s="213"/>
      <c r="BU81" s="213"/>
      <c r="BV81" s="213"/>
      <c r="BW81" s="213"/>
      <c r="BX81" s="213"/>
    </row>
    <row r="82" spans="1:76" s="209" customFormat="1" ht="22.5" customHeight="1">
      <c r="A82" s="235">
        <v>77</v>
      </c>
      <c r="B82" s="235"/>
      <c r="C82" s="235"/>
      <c r="D82" s="203"/>
      <c r="E82" s="204"/>
      <c r="F82" s="235"/>
      <c r="G82" s="235"/>
      <c r="H82" s="203"/>
      <c r="I82" s="203"/>
      <c r="J82" s="203"/>
      <c r="K82" s="205"/>
      <c r="L82" s="206"/>
      <c r="M82" s="203"/>
      <c r="N82" s="207"/>
      <c r="O82" s="207"/>
      <c r="P82" s="207"/>
      <c r="Q82" s="207"/>
      <c r="R82" s="206"/>
      <c r="S82" s="205"/>
      <c r="T82" s="205"/>
      <c r="U82" s="207"/>
      <c r="V82" s="226"/>
      <c r="W82" s="208"/>
      <c r="X82" s="208"/>
      <c r="Y82" s="208"/>
      <c r="Z82" s="208"/>
      <c r="AA82" s="208"/>
      <c r="AB82" s="210"/>
      <c r="AC82" s="210"/>
      <c r="AD82" s="210"/>
      <c r="AE82" s="210"/>
      <c r="AF82" s="210"/>
      <c r="AG82" s="210"/>
      <c r="AH82" s="210"/>
      <c r="AI82" s="93"/>
      <c r="AJ82" s="93">
        <f t="shared" ca="1" si="3"/>
        <v>0</v>
      </c>
      <c r="AK82" s="93">
        <f t="shared" ca="1" si="4"/>
        <v>0</v>
      </c>
      <c r="AL82" s="213"/>
      <c r="AM82" s="213"/>
      <c r="AN82" s="213"/>
      <c r="AO82" s="213"/>
      <c r="AP82" s="213"/>
      <c r="AQ82" s="213"/>
      <c r="AR82" s="213"/>
      <c r="AS82" s="213"/>
      <c r="AT82" s="213"/>
      <c r="AU82" s="213"/>
      <c r="AV82" s="213"/>
      <c r="AW82" s="213"/>
      <c r="AX82" s="213"/>
      <c r="AY82" s="213"/>
      <c r="AZ82" s="213"/>
      <c r="BA82" s="213"/>
      <c r="BB82" s="213"/>
      <c r="BC82" s="213"/>
      <c r="BD82" s="213"/>
      <c r="BE82" s="213"/>
      <c r="BF82" s="213"/>
      <c r="BG82" s="213"/>
      <c r="BH82" s="213"/>
      <c r="BI82" s="213"/>
      <c r="BJ82" s="213"/>
      <c r="BK82" s="213"/>
      <c r="BL82" s="213"/>
      <c r="BM82" s="213"/>
      <c r="BN82" s="213"/>
      <c r="BO82" s="213"/>
      <c r="BP82" s="213"/>
      <c r="BQ82" s="213"/>
      <c r="BR82" s="213"/>
      <c r="BS82" s="213"/>
      <c r="BT82" s="213"/>
      <c r="BU82" s="213"/>
      <c r="BV82" s="213"/>
      <c r="BW82" s="213"/>
      <c r="BX82" s="213"/>
    </row>
    <row r="83" spans="1:76" s="209" customFormat="1" ht="22.5" customHeight="1">
      <c r="A83" s="235">
        <v>78</v>
      </c>
      <c r="B83" s="235"/>
      <c r="C83" s="235"/>
      <c r="D83" s="203"/>
      <c r="E83" s="204"/>
      <c r="F83" s="235"/>
      <c r="G83" s="235"/>
      <c r="H83" s="203"/>
      <c r="I83" s="203"/>
      <c r="J83" s="203"/>
      <c r="K83" s="205"/>
      <c r="L83" s="206"/>
      <c r="M83" s="203"/>
      <c r="N83" s="207"/>
      <c r="O83" s="207"/>
      <c r="P83" s="207"/>
      <c r="Q83" s="207"/>
      <c r="R83" s="206"/>
      <c r="S83" s="205"/>
      <c r="T83" s="205"/>
      <c r="U83" s="207"/>
      <c r="V83" s="226"/>
      <c r="W83" s="208"/>
      <c r="X83" s="208"/>
      <c r="Y83" s="208"/>
      <c r="Z83" s="208"/>
      <c r="AA83" s="208"/>
      <c r="AB83" s="210"/>
      <c r="AC83" s="210"/>
      <c r="AD83" s="210"/>
      <c r="AE83" s="210"/>
      <c r="AF83" s="210"/>
      <c r="AG83" s="210"/>
      <c r="AH83" s="210"/>
      <c r="AI83" s="93"/>
      <c r="AJ83" s="93">
        <f t="shared" ca="1" si="3"/>
        <v>0</v>
      </c>
      <c r="AK83" s="93">
        <f t="shared" ca="1" si="4"/>
        <v>0</v>
      </c>
      <c r="AL83" s="213"/>
      <c r="AM83" s="213"/>
      <c r="AN83" s="213"/>
      <c r="AO83" s="213"/>
      <c r="AP83" s="213"/>
      <c r="AQ83" s="213"/>
      <c r="AR83" s="213"/>
      <c r="AS83" s="213"/>
      <c r="AT83" s="213"/>
      <c r="AU83" s="213"/>
      <c r="AV83" s="213"/>
      <c r="AW83" s="213"/>
      <c r="AX83" s="213"/>
      <c r="AY83" s="213"/>
      <c r="AZ83" s="213"/>
      <c r="BA83" s="213"/>
      <c r="BB83" s="213"/>
      <c r="BC83" s="213"/>
      <c r="BD83" s="213"/>
      <c r="BE83" s="213"/>
      <c r="BF83" s="213"/>
      <c r="BG83" s="213"/>
      <c r="BH83" s="213"/>
      <c r="BI83" s="213"/>
      <c r="BJ83" s="213"/>
      <c r="BK83" s="213"/>
      <c r="BL83" s="213"/>
      <c r="BM83" s="213"/>
      <c r="BN83" s="213"/>
      <c r="BO83" s="213"/>
      <c r="BP83" s="213"/>
      <c r="BQ83" s="213"/>
      <c r="BR83" s="213"/>
      <c r="BS83" s="213"/>
      <c r="BT83" s="213"/>
      <c r="BU83" s="213"/>
      <c r="BV83" s="213"/>
      <c r="BW83" s="213"/>
      <c r="BX83" s="213"/>
    </row>
    <row r="84" spans="1:76" s="209" customFormat="1" ht="22.5" customHeight="1">
      <c r="A84" s="235">
        <v>79</v>
      </c>
      <c r="B84" s="235"/>
      <c r="C84" s="235"/>
      <c r="D84" s="203"/>
      <c r="E84" s="204"/>
      <c r="F84" s="235"/>
      <c r="G84" s="235"/>
      <c r="H84" s="203"/>
      <c r="I84" s="203"/>
      <c r="J84" s="203"/>
      <c r="K84" s="205"/>
      <c r="L84" s="206"/>
      <c r="M84" s="203"/>
      <c r="N84" s="207"/>
      <c r="O84" s="207"/>
      <c r="P84" s="207"/>
      <c r="Q84" s="207"/>
      <c r="R84" s="206"/>
      <c r="S84" s="205"/>
      <c r="T84" s="205"/>
      <c r="U84" s="207"/>
      <c r="V84" s="226"/>
      <c r="W84" s="208"/>
      <c r="X84" s="208"/>
      <c r="Y84" s="208"/>
      <c r="Z84" s="208"/>
      <c r="AA84" s="208"/>
      <c r="AB84" s="210"/>
      <c r="AC84" s="210"/>
      <c r="AD84" s="210"/>
      <c r="AE84" s="210"/>
      <c r="AF84" s="210"/>
      <c r="AG84" s="210"/>
      <c r="AH84" s="210"/>
      <c r="AI84" s="93"/>
      <c r="AJ84" s="93">
        <f t="shared" ca="1" si="3"/>
        <v>0</v>
      </c>
      <c r="AK84" s="93">
        <f t="shared" ca="1" si="4"/>
        <v>0</v>
      </c>
      <c r="AL84" s="213"/>
      <c r="AM84" s="213"/>
      <c r="AN84" s="213"/>
      <c r="AO84" s="213"/>
      <c r="AP84" s="213"/>
      <c r="AQ84" s="213"/>
      <c r="AR84" s="213"/>
      <c r="AS84" s="213"/>
      <c r="AT84" s="213"/>
      <c r="AU84" s="213"/>
      <c r="AV84" s="213"/>
      <c r="AW84" s="213"/>
      <c r="AX84" s="213"/>
      <c r="AY84" s="213"/>
      <c r="AZ84" s="213"/>
      <c r="BA84" s="213"/>
      <c r="BB84" s="213"/>
      <c r="BC84" s="213"/>
      <c r="BD84" s="213"/>
      <c r="BE84" s="213"/>
      <c r="BF84" s="213"/>
      <c r="BG84" s="213"/>
      <c r="BH84" s="213"/>
      <c r="BI84" s="213"/>
      <c r="BJ84" s="213"/>
      <c r="BK84" s="213"/>
      <c r="BL84" s="213"/>
      <c r="BM84" s="213"/>
      <c r="BN84" s="213"/>
      <c r="BO84" s="213"/>
      <c r="BP84" s="213"/>
      <c r="BQ84" s="213"/>
      <c r="BR84" s="213"/>
      <c r="BS84" s="213"/>
      <c r="BT84" s="213"/>
      <c r="BU84" s="213"/>
      <c r="BV84" s="213"/>
      <c r="BW84" s="213"/>
      <c r="BX84" s="213"/>
    </row>
    <row r="85" spans="1:76" s="209" customFormat="1" ht="22.5" customHeight="1">
      <c r="A85" s="235">
        <v>80</v>
      </c>
      <c r="B85" s="235"/>
      <c r="C85" s="235"/>
      <c r="D85" s="203"/>
      <c r="E85" s="204"/>
      <c r="F85" s="235"/>
      <c r="G85" s="235"/>
      <c r="H85" s="203"/>
      <c r="I85" s="203"/>
      <c r="J85" s="203"/>
      <c r="K85" s="205"/>
      <c r="L85" s="206"/>
      <c r="M85" s="203"/>
      <c r="N85" s="207"/>
      <c r="O85" s="207"/>
      <c r="P85" s="207"/>
      <c r="Q85" s="207"/>
      <c r="R85" s="206"/>
      <c r="S85" s="205"/>
      <c r="T85" s="205"/>
      <c r="U85" s="207"/>
      <c r="V85" s="226"/>
      <c r="W85" s="208"/>
      <c r="X85" s="208"/>
      <c r="Y85" s="208"/>
      <c r="Z85" s="208"/>
      <c r="AA85" s="208"/>
      <c r="AB85" s="210"/>
      <c r="AC85" s="210"/>
      <c r="AD85" s="210"/>
      <c r="AE85" s="210"/>
      <c r="AF85" s="210"/>
      <c r="AG85" s="210"/>
      <c r="AH85" s="210"/>
      <c r="AI85" s="93"/>
      <c r="AJ85" s="93">
        <f t="shared" ca="1" si="3"/>
        <v>0</v>
      </c>
      <c r="AK85" s="93">
        <f t="shared" ca="1" si="4"/>
        <v>0</v>
      </c>
      <c r="AL85" s="213"/>
      <c r="AM85" s="213"/>
      <c r="AN85" s="213"/>
      <c r="AO85" s="213"/>
      <c r="AP85" s="213"/>
      <c r="AQ85" s="213"/>
      <c r="AR85" s="213"/>
      <c r="AS85" s="213"/>
      <c r="AT85" s="213"/>
      <c r="AU85" s="213"/>
      <c r="AV85" s="213"/>
      <c r="AW85" s="213"/>
      <c r="AX85" s="213"/>
      <c r="AY85" s="213"/>
      <c r="AZ85" s="213"/>
      <c r="BA85" s="213"/>
      <c r="BB85" s="213"/>
      <c r="BC85" s="213"/>
      <c r="BD85" s="213"/>
      <c r="BE85" s="213"/>
      <c r="BF85" s="213"/>
      <c r="BG85" s="213"/>
      <c r="BH85" s="213"/>
      <c r="BI85" s="213"/>
      <c r="BJ85" s="213"/>
      <c r="BK85" s="213"/>
      <c r="BL85" s="213"/>
      <c r="BM85" s="213"/>
      <c r="BN85" s="213"/>
      <c r="BO85" s="213"/>
      <c r="BP85" s="213"/>
      <c r="BQ85" s="213"/>
      <c r="BR85" s="213"/>
      <c r="BS85" s="213"/>
      <c r="BT85" s="213"/>
      <c r="BU85" s="213"/>
      <c r="BV85" s="213"/>
      <c r="BW85" s="213"/>
      <c r="BX85" s="213"/>
    </row>
    <row r="86" spans="1:76" s="209" customFormat="1" ht="22.5" customHeight="1">
      <c r="A86" s="235">
        <v>81</v>
      </c>
      <c r="B86" s="235"/>
      <c r="C86" s="235"/>
      <c r="D86" s="203"/>
      <c r="E86" s="204"/>
      <c r="F86" s="235"/>
      <c r="G86" s="235"/>
      <c r="H86" s="203"/>
      <c r="I86" s="203"/>
      <c r="J86" s="203"/>
      <c r="K86" s="205"/>
      <c r="L86" s="206"/>
      <c r="M86" s="203"/>
      <c r="N86" s="207"/>
      <c r="O86" s="207"/>
      <c r="P86" s="207"/>
      <c r="Q86" s="207"/>
      <c r="R86" s="206"/>
      <c r="S86" s="205"/>
      <c r="T86" s="205"/>
      <c r="U86" s="207"/>
      <c r="V86" s="226"/>
      <c r="W86" s="208"/>
      <c r="X86" s="208"/>
      <c r="Y86" s="208"/>
      <c r="Z86" s="208"/>
      <c r="AA86" s="208"/>
      <c r="AB86" s="210"/>
      <c r="AC86" s="210"/>
      <c r="AD86" s="210"/>
      <c r="AE86" s="210"/>
      <c r="AF86" s="210"/>
      <c r="AG86" s="210"/>
      <c r="AH86" s="210"/>
      <c r="AI86" s="93"/>
      <c r="AJ86" s="93">
        <f t="shared" ca="1" si="3"/>
        <v>0</v>
      </c>
      <c r="AK86" s="93">
        <f t="shared" ca="1" si="4"/>
        <v>0</v>
      </c>
      <c r="AL86" s="213"/>
      <c r="AM86" s="213"/>
      <c r="AN86" s="213"/>
      <c r="AO86" s="213"/>
      <c r="AP86" s="213"/>
      <c r="AQ86" s="213"/>
      <c r="AR86" s="213"/>
      <c r="AS86" s="213"/>
      <c r="AT86" s="213"/>
      <c r="AU86" s="213"/>
      <c r="AV86" s="213"/>
      <c r="AW86" s="213"/>
      <c r="AX86" s="213"/>
      <c r="AY86" s="213"/>
      <c r="AZ86" s="213"/>
      <c r="BA86" s="213"/>
      <c r="BB86" s="213"/>
      <c r="BC86" s="213"/>
      <c r="BD86" s="213"/>
      <c r="BE86" s="213"/>
      <c r="BF86" s="213"/>
      <c r="BG86" s="213"/>
      <c r="BH86" s="213"/>
      <c r="BI86" s="213"/>
      <c r="BJ86" s="213"/>
      <c r="BK86" s="213"/>
      <c r="BL86" s="213"/>
      <c r="BM86" s="213"/>
      <c r="BN86" s="213"/>
      <c r="BO86" s="213"/>
      <c r="BP86" s="213"/>
      <c r="BQ86" s="213"/>
      <c r="BR86" s="213"/>
      <c r="BS86" s="213"/>
      <c r="BT86" s="213"/>
      <c r="BU86" s="213"/>
      <c r="BV86" s="213"/>
      <c r="BW86" s="213"/>
      <c r="BX86" s="213"/>
    </row>
    <row r="87" spans="1:76" s="209" customFormat="1" ht="22.5" customHeight="1">
      <c r="A87" s="235">
        <v>82</v>
      </c>
      <c r="B87" s="235"/>
      <c r="C87" s="235"/>
      <c r="D87" s="203"/>
      <c r="E87" s="204"/>
      <c r="F87" s="235"/>
      <c r="G87" s="235"/>
      <c r="H87" s="203"/>
      <c r="I87" s="203"/>
      <c r="J87" s="203"/>
      <c r="K87" s="205"/>
      <c r="L87" s="206"/>
      <c r="M87" s="203"/>
      <c r="N87" s="207"/>
      <c r="O87" s="207"/>
      <c r="P87" s="207"/>
      <c r="Q87" s="207"/>
      <c r="R87" s="206"/>
      <c r="S87" s="205"/>
      <c r="T87" s="205"/>
      <c r="U87" s="207"/>
      <c r="V87" s="226"/>
      <c r="W87" s="208"/>
      <c r="X87" s="208"/>
      <c r="Y87" s="208"/>
      <c r="Z87" s="208"/>
      <c r="AA87" s="208"/>
      <c r="AB87" s="210"/>
      <c r="AC87" s="210"/>
      <c r="AD87" s="210"/>
      <c r="AE87" s="210"/>
      <c r="AF87" s="210"/>
      <c r="AG87" s="210"/>
      <c r="AH87" s="210"/>
      <c r="AI87" s="93"/>
      <c r="AJ87" s="93">
        <f t="shared" ca="1" si="3"/>
        <v>0</v>
      </c>
      <c r="AK87" s="93">
        <f t="shared" ca="1" si="4"/>
        <v>0</v>
      </c>
      <c r="AL87" s="213"/>
      <c r="AM87" s="213"/>
      <c r="AN87" s="213"/>
      <c r="AO87" s="213"/>
      <c r="AP87" s="213"/>
      <c r="AQ87" s="213"/>
      <c r="AR87" s="213"/>
      <c r="AS87" s="213"/>
      <c r="AT87" s="213"/>
      <c r="AU87" s="213"/>
      <c r="AV87" s="213"/>
      <c r="AW87" s="213"/>
      <c r="AX87" s="213"/>
      <c r="AY87" s="213"/>
      <c r="AZ87" s="213"/>
      <c r="BA87" s="213"/>
      <c r="BB87" s="213"/>
      <c r="BC87" s="213"/>
      <c r="BD87" s="213"/>
      <c r="BE87" s="213"/>
      <c r="BF87" s="213"/>
      <c r="BG87" s="213"/>
      <c r="BH87" s="213"/>
      <c r="BI87" s="213"/>
      <c r="BJ87" s="213"/>
      <c r="BK87" s="213"/>
      <c r="BL87" s="213"/>
      <c r="BM87" s="213"/>
      <c r="BN87" s="213"/>
      <c r="BO87" s="213"/>
      <c r="BP87" s="213"/>
      <c r="BQ87" s="213"/>
      <c r="BR87" s="213"/>
      <c r="BS87" s="213"/>
      <c r="BT87" s="213"/>
      <c r="BU87" s="213"/>
      <c r="BV87" s="213"/>
      <c r="BW87" s="213"/>
      <c r="BX87" s="213"/>
    </row>
    <row r="88" spans="1:76" s="209" customFormat="1" ht="22.5" customHeight="1">
      <c r="A88" s="235">
        <v>83</v>
      </c>
      <c r="B88" s="235"/>
      <c r="C88" s="235"/>
      <c r="D88" s="203"/>
      <c r="E88" s="204"/>
      <c r="F88" s="235"/>
      <c r="G88" s="235"/>
      <c r="H88" s="203"/>
      <c r="I88" s="203"/>
      <c r="J88" s="203"/>
      <c r="K88" s="205"/>
      <c r="L88" s="206"/>
      <c r="M88" s="203"/>
      <c r="N88" s="207"/>
      <c r="O88" s="207"/>
      <c r="P88" s="207"/>
      <c r="Q88" s="207"/>
      <c r="R88" s="206"/>
      <c r="S88" s="205"/>
      <c r="T88" s="205"/>
      <c r="U88" s="207"/>
      <c r="V88" s="226"/>
      <c r="W88" s="208"/>
      <c r="X88" s="208"/>
      <c r="Y88" s="208"/>
      <c r="Z88" s="208"/>
      <c r="AA88" s="208"/>
      <c r="AB88" s="210"/>
      <c r="AC88" s="210"/>
      <c r="AD88" s="210"/>
      <c r="AE88" s="210"/>
      <c r="AF88" s="210"/>
      <c r="AG88" s="210"/>
      <c r="AH88" s="210"/>
      <c r="AI88" s="93"/>
      <c r="AJ88" s="93">
        <f t="shared" ca="1" si="3"/>
        <v>0</v>
      </c>
      <c r="AK88" s="93">
        <f t="shared" ca="1" si="4"/>
        <v>0</v>
      </c>
      <c r="AL88" s="213"/>
      <c r="AM88" s="213"/>
      <c r="AN88" s="213"/>
      <c r="AO88" s="213"/>
      <c r="AP88" s="213"/>
      <c r="AQ88" s="213"/>
      <c r="AR88" s="213"/>
      <c r="AS88" s="213"/>
      <c r="AT88" s="213"/>
      <c r="AU88" s="213"/>
      <c r="AV88" s="213"/>
      <c r="AW88" s="213"/>
      <c r="AX88" s="213"/>
      <c r="AY88" s="213"/>
      <c r="AZ88" s="213"/>
      <c r="BA88" s="213"/>
      <c r="BB88" s="213"/>
      <c r="BC88" s="213"/>
      <c r="BD88" s="213"/>
      <c r="BE88" s="213"/>
      <c r="BF88" s="213"/>
      <c r="BG88" s="213"/>
      <c r="BH88" s="213"/>
      <c r="BI88" s="213"/>
      <c r="BJ88" s="213"/>
      <c r="BK88" s="213"/>
      <c r="BL88" s="213"/>
      <c r="BM88" s="213"/>
      <c r="BN88" s="213"/>
      <c r="BO88" s="213"/>
      <c r="BP88" s="213"/>
      <c r="BQ88" s="213"/>
      <c r="BR88" s="213"/>
      <c r="BS88" s="213"/>
      <c r="BT88" s="213"/>
      <c r="BU88" s="213"/>
      <c r="BV88" s="213"/>
      <c r="BW88" s="213"/>
      <c r="BX88" s="213"/>
    </row>
    <row r="89" spans="1:76" s="209" customFormat="1" ht="22.5" customHeight="1">
      <c r="A89" s="235">
        <v>84</v>
      </c>
      <c r="B89" s="235"/>
      <c r="C89" s="235"/>
      <c r="D89" s="203"/>
      <c r="E89" s="204"/>
      <c r="F89" s="235"/>
      <c r="G89" s="235"/>
      <c r="H89" s="203"/>
      <c r="I89" s="203"/>
      <c r="J89" s="203"/>
      <c r="K89" s="205"/>
      <c r="L89" s="206"/>
      <c r="M89" s="203"/>
      <c r="N89" s="207"/>
      <c r="O89" s="207"/>
      <c r="P89" s="207"/>
      <c r="Q89" s="207"/>
      <c r="R89" s="206"/>
      <c r="S89" s="205"/>
      <c r="T89" s="205"/>
      <c r="U89" s="207"/>
      <c r="V89" s="226"/>
      <c r="W89" s="208"/>
      <c r="X89" s="208"/>
      <c r="Y89" s="208"/>
      <c r="Z89" s="208"/>
      <c r="AA89" s="208"/>
      <c r="AB89" s="210"/>
      <c r="AC89" s="210"/>
      <c r="AD89" s="210"/>
      <c r="AE89" s="210"/>
      <c r="AF89" s="210"/>
      <c r="AG89" s="210"/>
      <c r="AH89" s="210"/>
      <c r="AI89" s="93"/>
      <c r="AJ89" s="93">
        <f t="shared" ca="1" si="3"/>
        <v>0</v>
      </c>
      <c r="AK89" s="93">
        <f t="shared" ca="1" si="4"/>
        <v>0</v>
      </c>
      <c r="AL89" s="213"/>
      <c r="AM89" s="213"/>
      <c r="AN89" s="213"/>
      <c r="AO89" s="213"/>
      <c r="AP89" s="213"/>
      <c r="AQ89" s="213"/>
      <c r="AR89" s="213"/>
      <c r="AS89" s="213"/>
      <c r="AT89" s="213"/>
      <c r="AU89" s="213"/>
      <c r="AV89" s="213"/>
      <c r="AW89" s="213"/>
      <c r="AX89" s="213"/>
      <c r="AY89" s="213"/>
      <c r="AZ89" s="213"/>
      <c r="BA89" s="213"/>
      <c r="BB89" s="213"/>
      <c r="BC89" s="213"/>
      <c r="BD89" s="213"/>
      <c r="BE89" s="213"/>
      <c r="BF89" s="213"/>
      <c r="BG89" s="213"/>
      <c r="BH89" s="213"/>
      <c r="BI89" s="213"/>
      <c r="BJ89" s="213"/>
      <c r="BK89" s="213"/>
      <c r="BL89" s="213"/>
      <c r="BM89" s="213"/>
      <c r="BN89" s="213"/>
      <c r="BO89" s="213"/>
      <c r="BP89" s="213"/>
      <c r="BQ89" s="213"/>
      <c r="BR89" s="213"/>
      <c r="BS89" s="213"/>
      <c r="BT89" s="213"/>
      <c r="BU89" s="213"/>
      <c r="BV89" s="213"/>
      <c r="BW89" s="213"/>
      <c r="BX89" s="213"/>
    </row>
    <row r="90" spans="1:76" s="209" customFormat="1" ht="22.5" customHeight="1">
      <c r="A90" s="235">
        <v>85</v>
      </c>
      <c r="B90" s="235"/>
      <c r="C90" s="235"/>
      <c r="D90" s="203"/>
      <c r="E90" s="204"/>
      <c r="F90" s="235"/>
      <c r="G90" s="235"/>
      <c r="H90" s="203"/>
      <c r="I90" s="203"/>
      <c r="J90" s="203"/>
      <c r="K90" s="205"/>
      <c r="L90" s="206"/>
      <c r="M90" s="203"/>
      <c r="N90" s="207"/>
      <c r="O90" s="207"/>
      <c r="P90" s="207"/>
      <c r="Q90" s="207"/>
      <c r="R90" s="206"/>
      <c r="S90" s="205"/>
      <c r="T90" s="205"/>
      <c r="U90" s="207"/>
      <c r="V90" s="226"/>
      <c r="W90" s="208"/>
      <c r="X90" s="208"/>
      <c r="Y90" s="208"/>
      <c r="Z90" s="208"/>
      <c r="AA90" s="208"/>
      <c r="AB90" s="210"/>
      <c r="AC90" s="210"/>
      <c r="AD90" s="210"/>
      <c r="AE90" s="210"/>
      <c r="AF90" s="210"/>
      <c r="AG90" s="210"/>
      <c r="AH90" s="210"/>
      <c r="AI90" s="93"/>
      <c r="AJ90" s="93">
        <f t="shared" ca="1" si="3"/>
        <v>0</v>
      </c>
      <c r="AK90" s="93">
        <f t="shared" ca="1" si="4"/>
        <v>0</v>
      </c>
      <c r="AL90" s="213"/>
      <c r="AM90" s="213"/>
      <c r="AN90" s="213"/>
      <c r="AO90" s="213"/>
      <c r="AP90" s="213"/>
      <c r="AQ90" s="213"/>
      <c r="AR90" s="213"/>
      <c r="AS90" s="213"/>
      <c r="AT90" s="213"/>
      <c r="AU90" s="213"/>
      <c r="AV90" s="213"/>
      <c r="AW90" s="213"/>
      <c r="AX90" s="213"/>
      <c r="AY90" s="213"/>
      <c r="AZ90" s="213"/>
      <c r="BA90" s="213"/>
      <c r="BB90" s="213"/>
      <c r="BC90" s="213"/>
      <c r="BD90" s="213"/>
      <c r="BE90" s="213"/>
      <c r="BF90" s="213"/>
      <c r="BG90" s="213"/>
      <c r="BH90" s="213"/>
      <c r="BI90" s="213"/>
      <c r="BJ90" s="213"/>
      <c r="BK90" s="213"/>
      <c r="BL90" s="213"/>
      <c r="BM90" s="213"/>
      <c r="BN90" s="213"/>
      <c r="BO90" s="213"/>
      <c r="BP90" s="213"/>
      <c r="BQ90" s="213"/>
      <c r="BR90" s="213"/>
      <c r="BS90" s="213"/>
      <c r="BT90" s="213"/>
      <c r="BU90" s="213"/>
      <c r="BV90" s="213"/>
      <c r="BW90" s="213"/>
      <c r="BX90" s="213"/>
    </row>
    <row r="91" spans="1:76" s="209" customFormat="1" ht="22.5" customHeight="1">
      <c r="A91" s="235">
        <v>86</v>
      </c>
      <c r="B91" s="235"/>
      <c r="C91" s="235"/>
      <c r="D91" s="203"/>
      <c r="E91" s="204"/>
      <c r="F91" s="235"/>
      <c r="G91" s="235"/>
      <c r="H91" s="203"/>
      <c r="I91" s="203"/>
      <c r="J91" s="203"/>
      <c r="K91" s="205"/>
      <c r="L91" s="206"/>
      <c r="M91" s="203"/>
      <c r="N91" s="207"/>
      <c r="O91" s="207"/>
      <c r="P91" s="207"/>
      <c r="Q91" s="207"/>
      <c r="R91" s="206"/>
      <c r="S91" s="205"/>
      <c r="T91" s="205"/>
      <c r="U91" s="207"/>
      <c r="V91" s="226"/>
      <c r="W91" s="208"/>
      <c r="X91" s="208"/>
      <c r="Y91" s="208"/>
      <c r="Z91" s="208"/>
      <c r="AA91" s="208"/>
      <c r="AB91" s="210"/>
      <c r="AC91" s="210"/>
      <c r="AD91" s="210"/>
      <c r="AE91" s="210"/>
      <c r="AF91" s="210"/>
      <c r="AG91" s="210"/>
      <c r="AH91" s="210"/>
      <c r="AI91" s="93"/>
      <c r="AJ91" s="93">
        <f t="shared" ca="1" si="3"/>
        <v>0</v>
      </c>
      <c r="AK91" s="93">
        <f t="shared" ca="1" si="4"/>
        <v>0</v>
      </c>
      <c r="AL91" s="213"/>
      <c r="AM91" s="213"/>
      <c r="AN91" s="213"/>
      <c r="AO91" s="213"/>
      <c r="AP91" s="213"/>
      <c r="AQ91" s="213"/>
      <c r="AR91" s="213"/>
      <c r="AS91" s="213"/>
      <c r="AT91" s="213"/>
      <c r="AU91" s="213"/>
      <c r="AV91" s="213"/>
      <c r="AW91" s="213"/>
      <c r="AX91" s="213"/>
      <c r="AY91" s="213"/>
      <c r="AZ91" s="213"/>
      <c r="BA91" s="213"/>
      <c r="BB91" s="213"/>
      <c r="BC91" s="213"/>
      <c r="BD91" s="213"/>
      <c r="BE91" s="213"/>
      <c r="BF91" s="213"/>
      <c r="BG91" s="213"/>
      <c r="BH91" s="213"/>
      <c r="BI91" s="213"/>
      <c r="BJ91" s="213"/>
      <c r="BK91" s="213"/>
      <c r="BL91" s="213"/>
      <c r="BM91" s="213"/>
      <c r="BN91" s="213"/>
      <c r="BO91" s="213"/>
      <c r="BP91" s="213"/>
      <c r="BQ91" s="213"/>
      <c r="BR91" s="213"/>
      <c r="BS91" s="213"/>
      <c r="BT91" s="213"/>
      <c r="BU91" s="213"/>
      <c r="BV91" s="213"/>
      <c r="BW91" s="213"/>
      <c r="BX91" s="213"/>
    </row>
    <row r="92" spans="1:76" s="209" customFormat="1" ht="22.5" customHeight="1">
      <c r="A92" s="235">
        <v>87</v>
      </c>
      <c r="B92" s="235"/>
      <c r="C92" s="235"/>
      <c r="D92" s="203"/>
      <c r="E92" s="204"/>
      <c r="F92" s="235"/>
      <c r="G92" s="235"/>
      <c r="H92" s="203"/>
      <c r="I92" s="203"/>
      <c r="J92" s="203"/>
      <c r="K92" s="205"/>
      <c r="L92" s="206"/>
      <c r="M92" s="203"/>
      <c r="N92" s="207"/>
      <c r="O92" s="207"/>
      <c r="P92" s="207"/>
      <c r="Q92" s="207"/>
      <c r="R92" s="206"/>
      <c r="S92" s="205"/>
      <c r="T92" s="205"/>
      <c r="U92" s="207"/>
      <c r="V92" s="226"/>
      <c r="W92" s="208"/>
      <c r="X92" s="208"/>
      <c r="Y92" s="208"/>
      <c r="Z92" s="208"/>
      <c r="AA92" s="208"/>
      <c r="AB92" s="210"/>
      <c r="AC92" s="210"/>
      <c r="AD92" s="210"/>
      <c r="AE92" s="210"/>
      <c r="AF92" s="210"/>
      <c r="AG92" s="210"/>
      <c r="AH92" s="210"/>
      <c r="AI92" s="93"/>
      <c r="AJ92" s="93">
        <f t="shared" ca="1" si="3"/>
        <v>0</v>
      </c>
      <c r="AK92" s="93">
        <f t="shared" ca="1" si="4"/>
        <v>0</v>
      </c>
      <c r="AL92" s="213"/>
      <c r="AM92" s="213"/>
      <c r="AN92" s="213"/>
      <c r="AO92" s="213"/>
      <c r="AP92" s="213"/>
      <c r="AQ92" s="213"/>
      <c r="AR92" s="213"/>
      <c r="AS92" s="213"/>
      <c r="AT92" s="213"/>
      <c r="AU92" s="213"/>
      <c r="AV92" s="213"/>
      <c r="AW92" s="213"/>
      <c r="AX92" s="213"/>
      <c r="AY92" s="213"/>
      <c r="AZ92" s="213"/>
      <c r="BA92" s="213"/>
      <c r="BB92" s="213"/>
      <c r="BC92" s="213"/>
      <c r="BD92" s="213"/>
      <c r="BE92" s="213"/>
      <c r="BF92" s="213"/>
      <c r="BG92" s="213"/>
      <c r="BH92" s="213"/>
      <c r="BI92" s="213"/>
      <c r="BJ92" s="213"/>
      <c r="BK92" s="213"/>
      <c r="BL92" s="213"/>
      <c r="BM92" s="213"/>
      <c r="BN92" s="213"/>
      <c r="BO92" s="213"/>
      <c r="BP92" s="213"/>
      <c r="BQ92" s="213"/>
      <c r="BR92" s="213"/>
      <c r="BS92" s="213"/>
      <c r="BT92" s="213"/>
      <c r="BU92" s="213"/>
      <c r="BV92" s="213"/>
      <c r="BW92" s="213"/>
      <c r="BX92" s="213"/>
    </row>
    <row r="93" spans="1:76" s="209" customFormat="1" ht="22.5" customHeight="1">
      <c r="A93" s="235">
        <v>88</v>
      </c>
      <c r="B93" s="235"/>
      <c r="C93" s="235"/>
      <c r="D93" s="203"/>
      <c r="E93" s="204"/>
      <c r="F93" s="235"/>
      <c r="G93" s="235"/>
      <c r="H93" s="203"/>
      <c r="I93" s="203"/>
      <c r="J93" s="203"/>
      <c r="K93" s="205"/>
      <c r="L93" s="206"/>
      <c r="M93" s="203"/>
      <c r="N93" s="207"/>
      <c r="O93" s="207"/>
      <c r="P93" s="207"/>
      <c r="Q93" s="207"/>
      <c r="R93" s="206"/>
      <c r="S93" s="205"/>
      <c r="T93" s="205"/>
      <c r="U93" s="207"/>
      <c r="V93" s="226"/>
      <c r="W93" s="208"/>
      <c r="X93" s="208"/>
      <c r="Y93" s="208"/>
      <c r="Z93" s="208"/>
      <c r="AA93" s="208"/>
      <c r="AB93" s="210"/>
      <c r="AC93" s="210"/>
      <c r="AD93" s="210"/>
      <c r="AE93" s="210"/>
      <c r="AF93" s="210"/>
      <c r="AG93" s="210"/>
      <c r="AH93" s="210"/>
      <c r="AI93" s="93"/>
      <c r="AJ93" s="93">
        <f t="shared" ca="1" si="3"/>
        <v>0</v>
      </c>
      <c r="AK93" s="93">
        <f t="shared" ca="1" si="4"/>
        <v>0</v>
      </c>
      <c r="AL93" s="213"/>
      <c r="AM93" s="213"/>
      <c r="AN93" s="213"/>
      <c r="AO93" s="213"/>
      <c r="AP93" s="213"/>
      <c r="AQ93" s="213"/>
      <c r="AR93" s="213"/>
      <c r="AS93" s="213"/>
      <c r="AT93" s="213"/>
      <c r="AU93" s="213"/>
      <c r="AV93" s="213"/>
      <c r="AW93" s="213"/>
      <c r="AX93" s="213"/>
      <c r="AY93" s="213"/>
      <c r="AZ93" s="213"/>
      <c r="BA93" s="213"/>
      <c r="BB93" s="213"/>
      <c r="BC93" s="213"/>
      <c r="BD93" s="213"/>
      <c r="BE93" s="213"/>
      <c r="BF93" s="213"/>
      <c r="BG93" s="213"/>
      <c r="BH93" s="213"/>
      <c r="BI93" s="213"/>
      <c r="BJ93" s="213"/>
      <c r="BK93" s="213"/>
      <c r="BL93" s="213"/>
      <c r="BM93" s="213"/>
      <c r="BN93" s="213"/>
      <c r="BO93" s="213"/>
      <c r="BP93" s="213"/>
      <c r="BQ93" s="213"/>
      <c r="BR93" s="213"/>
      <c r="BS93" s="213"/>
      <c r="BT93" s="213"/>
      <c r="BU93" s="213"/>
      <c r="BV93" s="213"/>
      <c r="BW93" s="213"/>
      <c r="BX93" s="213"/>
    </row>
    <row r="94" spans="1:76" s="209" customFormat="1" ht="22.5" customHeight="1">
      <c r="A94" s="235">
        <v>89</v>
      </c>
      <c r="B94" s="235"/>
      <c r="C94" s="235"/>
      <c r="D94" s="203"/>
      <c r="E94" s="204"/>
      <c r="F94" s="235"/>
      <c r="G94" s="235"/>
      <c r="H94" s="203"/>
      <c r="I94" s="203"/>
      <c r="J94" s="203"/>
      <c r="K94" s="205"/>
      <c r="L94" s="206"/>
      <c r="M94" s="203"/>
      <c r="N94" s="207"/>
      <c r="O94" s="207"/>
      <c r="P94" s="207"/>
      <c r="Q94" s="207"/>
      <c r="R94" s="206"/>
      <c r="S94" s="205"/>
      <c r="T94" s="205"/>
      <c r="U94" s="207"/>
      <c r="V94" s="226"/>
      <c r="W94" s="208"/>
      <c r="X94" s="208"/>
      <c r="Y94" s="208"/>
      <c r="Z94" s="208"/>
      <c r="AA94" s="208"/>
      <c r="AB94" s="210"/>
      <c r="AC94" s="210"/>
      <c r="AD94" s="210"/>
      <c r="AE94" s="210"/>
      <c r="AF94" s="210"/>
      <c r="AG94" s="210"/>
      <c r="AH94" s="210"/>
      <c r="AI94" s="93"/>
      <c r="AJ94" s="93">
        <f t="shared" ca="1" si="3"/>
        <v>0</v>
      </c>
      <c r="AK94" s="93">
        <f t="shared" ca="1" si="4"/>
        <v>0</v>
      </c>
      <c r="AL94" s="213"/>
      <c r="AM94" s="213"/>
      <c r="AN94" s="213"/>
      <c r="AO94" s="213"/>
      <c r="AP94" s="213"/>
      <c r="AQ94" s="213"/>
      <c r="AR94" s="213"/>
      <c r="AS94" s="213"/>
      <c r="AT94" s="213"/>
      <c r="AU94" s="213"/>
      <c r="AV94" s="213"/>
      <c r="AW94" s="213"/>
      <c r="AX94" s="213"/>
      <c r="AY94" s="213"/>
      <c r="AZ94" s="213"/>
      <c r="BA94" s="213"/>
      <c r="BB94" s="213"/>
      <c r="BC94" s="213"/>
      <c r="BD94" s="213"/>
      <c r="BE94" s="213"/>
      <c r="BF94" s="213"/>
      <c r="BG94" s="213"/>
      <c r="BH94" s="213"/>
      <c r="BI94" s="213"/>
      <c r="BJ94" s="213"/>
      <c r="BK94" s="213"/>
      <c r="BL94" s="213"/>
      <c r="BM94" s="213"/>
      <c r="BN94" s="213"/>
      <c r="BO94" s="213"/>
      <c r="BP94" s="213"/>
      <c r="BQ94" s="213"/>
      <c r="BR94" s="213"/>
      <c r="BS94" s="213"/>
      <c r="BT94" s="213"/>
      <c r="BU94" s="213"/>
      <c r="BV94" s="213"/>
      <c r="BW94" s="213"/>
      <c r="BX94" s="213"/>
    </row>
    <row r="95" spans="1:76" s="209" customFormat="1" ht="22.5" customHeight="1">
      <c r="A95" s="235">
        <v>90</v>
      </c>
      <c r="B95" s="235"/>
      <c r="C95" s="235"/>
      <c r="D95" s="203"/>
      <c r="E95" s="204"/>
      <c r="F95" s="235"/>
      <c r="G95" s="235"/>
      <c r="H95" s="203"/>
      <c r="I95" s="203"/>
      <c r="J95" s="203"/>
      <c r="K95" s="205"/>
      <c r="L95" s="206"/>
      <c r="M95" s="203"/>
      <c r="N95" s="207"/>
      <c r="O95" s="207"/>
      <c r="P95" s="207"/>
      <c r="Q95" s="207"/>
      <c r="R95" s="206"/>
      <c r="S95" s="205"/>
      <c r="T95" s="205"/>
      <c r="U95" s="207"/>
      <c r="V95" s="226"/>
      <c r="W95" s="208"/>
      <c r="X95" s="208"/>
      <c r="Y95" s="208"/>
      <c r="Z95" s="208"/>
      <c r="AA95" s="208"/>
      <c r="AB95" s="210"/>
      <c r="AC95" s="210"/>
      <c r="AD95" s="210"/>
      <c r="AE95" s="210"/>
      <c r="AF95" s="210"/>
      <c r="AG95" s="210"/>
      <c r="AH95" s="210"/>
      <c r="AI95" s="93"/>
      <c r="AJ95" s="93">
        <f t="shared" ca="1" si="3"/>
        <v>0</v>
      </c>
      <c r="AK95" s="93">
        <f t="shared" ca="1" si="4"/>
        <v>0</v>
      </c>
      <c r="AL95" s="213"/>
      <c r="AM95" s="213"/>
      <c r="AN95" s="213"/>
      <c r="AO95" s="213"/>
      <c r="AP95" s="213"/>
      <c r="AQ95" s="213"/>
      <c r="AR95" s="213"/>
      <c r="AS95" s="213"/>
      <c r="AT95" s="213"/>
      <c r="AU95" s="213"/>
      <c r="AV95" s="213"/>
      <c r="AW95" s="213"/>
      <c r="AX95" s="213"/>
      <c r="AY95" s="213"/>
      <c r="AZ95" s="213"/>
      <c r="BA95" s="213"/>
      <c r="BB95" s="213"/>
      <c r="BC95" s="213"/>
      <c r="BD95" s="213"/>
      <c r="BE95" s="213"/>
      <c r="BF95" s="213"/>
      <c r="BG95" s="213"/>
      <c r="BH95" s="213"/>
      <c r="BI95" s="213"/>
      <c r="BJ95" s="213"/>
      <c r="BK95" s="213"/>
      <c r="BL95" s="213"/>
      <c r="BM95" s="213"/>
      <c r="BN95" s="213"/>
      <c r="BO95" s="213"/>
      <c r="BP95" s="213"/>
      <c r="BQ95" s="213"/>
      <c r="BR95" s="213"/>
      <c r="BS95" s="213"/>
      <c r="BT95" s="213"/>
      <c r="BU95" s="213"/>
      <c r="BV95" s="213"/>
      <c r="BW95" s="213"/>
      <c r="BX95" s="213"/>
    </row>
    <row r="96" spans="1:76" s="209" customFormat="1" ht="22.5" customHeight="1">
      <c r="A96" s="235">
        <v>91</v>
      </c>
      <c r="B96" s="235"/>
      <c r="C96" s="235"/>
      <c r="D96" s="203"/>
      <c r="E96" s="204"/>
      <c r="F96" s="235"/>
      <c r="G96" s="235"/>
      <c r="H96" s="203"/>
      <c r="I96" s="203"/>
      <c r="J96" s="203"/>
      <c r="K96" s="205"/>
      <c r="L96" s="206"/>
      <c r="M96" s="203"/>
      <c r="N96" s="207"/>
      <c r="O96" s="207"/>
      <c r="P96" s="207"/>
      <c r="Q96" s="207"/>
      <c r="R96" s="206"/>
      <c r="S96" s="205"/>
      <c r="T96" s="205"/>
      <c r="U96" s="207"/>
      <c r="V96" s="226"/>
      <c r="W96" s="208"/>
      <c r="X96" s="208"/>
      <c r="Y96" s="208"/>
      <c r="Z96" s="208"/>
      <c r="AA96" s="208"/>
      <c r="AB96" s="210"/>
      <c r="AC96" s="210"/>
      <c r="AD96" s="210"/>
      <c r="AE96" s="210"/>
      <c r="AF96" s="210"/>
      <c r="AG96" s="210"/>
      <c r="AH96" s="210"/>
      <c r="AI96" s="93"/>
      <c r="AJ96" s="93">
        <f t="shared" ca="1" si="3"/>
        <v>0</v>
      </c>
      <c r="AK96" s="93">
        <f t="shared" ca="1" si="4"/>
        <v>0</v>
      </c>
      <c r="AL96" s="213"/>
      <c r="AM96" s="213"/>
      <c r="AN96" s="213"/>
      <c r="AO96" s="213"/>
      <c r="AP96" s="213"/>
      <c r="AQ96" s="213"/>
      <c r="AR96" s="213"/>
      <c r="AS96" s="213"/>
      <c r="AT96" s="213"/>
      <c r="AU96" s="213"/>
      <c r="AV96" s="213"/>
      <c r="AW96" s="213"/>
      <c r="AX96" s="213"/>
      <c r="AY96" s="213"/>
      <c r="AZ96" s="213"/>
      <c r="BA96" s="213"/>
      <c r="BB96" s="213"/>
      <c r="BC96" s="213"/>
      <c r="BD96" s="213"/>
      <c r="BE96" s="213"/>
      <c r="BF96" s="213"/>
      <c r="BG96" s="213"/>
      <c r="BH96" s="213"/>
      <c r="BI96" s="213"/>
      <c r="BJ96" s="213"/>
      <c r="BK96" s="213"/>
      <c r="BL96" s="213"/>
      <c r="BM96" s="213"/>
      <c r="BN96" s="213"/>
      <c r="BO96" s="213"/>
      <c r="BP96" s="213"/>
      <c r="BQ96" s="213"/>
      <c r="BR96" s="213"/>
      <c r="BS96" s="213"/>
      <c r="BT96" s="213"/>
      <c r="BU96" s="213"/>
      <c r="BV96" s="213"/>
      <c r="BW96" s="213"/>
      <c r="BX96" s="213"/>
    </row>
    <row r="97" spans="1:76" s="209" customFormat="1" ht="22.5" customHeight="1">
      <c r="A97" s="235">
        <v>92</v>
      </c>
      <c r="B97" s="235"/>
      <c r="C97" s="235"/>
      <c r="D97" s="203"/>
      <c r="E97" s="204"/>
      <c r="F97" s="235"/>
      <c r="G97" s="235"/>
      <c r="H97" s="203"/>
      <c r="I97" s="203"/>
      <c r="J97" s="203"/>
      <c r="K97" s="205"/>
      <c r="L97" s="206"/>
      <c r="M97" s="203"/>
      <c r="N97" s="207"/>
      <c r="O97" s="207"/>
      <c r="P97" s="207"/>
      <c r="Q97" s="207"/>
      <c r="R97" s="206"/>
      <c r="S97" s="205"/>
      <c r="T97" s="205"/>
      <c r="U97" s="207"/>
      <c r="V97" s="226"/>
      <c r="W97" s="208"/>
      <c r="X97" s="208"/>
      <c r="Y97" s="208"/>
      <c r="Z97" s="208"/>
      <c r="AA97" s="208"/>
      <c r="AB97" s="210"/>
      <c r="AC97" s="210"/>
      <c r="AD97" s="210"/>
      <c r="AE97" s="210"/>
      <c r="AF97" s="210"/>
      <c r="AG97" s="210"/>
      <c r="AH97" s="210"/>
      <c r="AI97" s="93"/>
      <c r="AJ97" s="93">
        <f t="shared" ca="1" si="3"/>
        <v>0</v>
      </c>
      <c r="AK97" s="93">
        <f t="shared" ca="1" si="4"/>
        <v>0</v>
      </c>
      <c r="AL97" s="213"/>
      <c r="AM97" s="213"/>
      <c r="AN97" s="213"/>
      <c r="AO97" s="213"/>
      <c r="AP97" s="213"/>
      <c r="AQ97" s="213"/>
      <c r="AR97" s="213"/>
      <c r="AS97" s="213"/>
      <c r="AT97" s="213"/>
      <c r="AU97" s="213"/>
      <c r="AV97" s="213"/>
      <c r="AW97" s="213"/>
      <c r="AX97" s="213"/>
      <c r="AY97" s="213"/>
      <c r="AZ97" s="213"/>
      <c r="BA97" s="213"/>
      <c r="BB97" s="213"/>
      <c r="BC97" s="213"/>
      <c r="BD97" s="213"/>
      <c r="BE97" s="213"/>
      <c r="BF97" s="213"/>
      <c r="BG97" s="213"/>
      <c r="BH97" s="213"/>
      <c r="BI97" s="213"/>
      <c r="BJ97" s="213"/>
      <c r="BK97" s="213"/>
      <c r="BL97" s="213"/>
      <c r="BM97" s="213"/>
      <c r="BN97" s="213"/>
      <c r="BO97" s="213"/>
      <c r="BP97" s="213"/>
      <c r="BQ97" s="213"/>
      <c r="BR97" s="213"/>
      <c r="BS97" s="213"/>
      <c r="BT97" s="213"/>
      <c r="BU97" s="213"/>
      <c r="BV97" s="213"/>
      <c r="BW97" s="213"/>
      <c r="BX97" s="213"/>
    </row>
    <row r="98" spans="1:76" s="209" customFormat="1" ht="22.5" customHeight="1">
      <c r="A98" s="235">
        <v>93</v>
      </c>
      <c r="B98" s="235"/>
      <c r="C98" s="235"/>
      <c r="D98" s="203"/>
      <c r="E98" s="204"/>
      <c r="F98" s="235"/>
      <c r="G98" s="235"/>
      <c r="H98" s="203"/>
      <c r="I98" s="203"/>
      <c r="J98" s="203"/>
      <c r="K98" s="205"/>
      <c r="L98" s="206"/>
      <c r="M98" s="203"/>
      <c r="N98" s="207"/>
      <c r="O98" s="207"/>
      <c r="P98" s="207"/>
      <c r="Q98" s="207"/>
      <c r="R98" s="206"/>
      <c r="S98" s="205"/>
      <c r="T98" s="205"/>
      <c r="U98" s="207"/>
      <c r="V98" s="226"/>
      <c r="W98" s="208"/>
      <c r="X98" s="208"/>
      <c r="Y98" s="208"/>
      <c r="Z98" s="208"/>
      <c r="AA98" s="208"/>
      <c r="AB98" s="210"/>
      <c r="AC98" s="210"/>
      <c r="AD98" s="210"/>
      <c r="AE98" s="210"/>
      <c r="AF98" s="210"/>
      <c r="AG98" s="210"/>
      <c r="AH98" s="210"/>
      <c r="AI98" s="93"/>
      <c r="AJ98" s="93">
        <f t="shared" ca="1" si="3"/>
        <v>0</v>
      </c>
      <c r="AK98" s="93">
        <f t="shared" ca="1" si="4"/>
        <v>0</v>
      </c>
      <c r="AL98" s="213"/>
      <c r="AM98" s="213"/>
      <c r="AN98" s="213"/>
      <c r="AO98" s="213"/>
      <c r="AP98" s="213"/>
      <c r="AQ98" s="213"/>
      <c r="AR98" s="213"/>
      <c r="AS98" s="213"/>
      <c r="AT98" s="213"/>
      <c r="AU98" s="213"/>
      <c r="AV98" s="213"/>
      <c r="AW98" s="213"/>
      <c r="AX98" s="213"/>
      <c r="AY98" s="213"/>
      <c r="AZ98" s="213"/>
      <c r="BA98" s="213"/>
      <c r="BB98" s="213"/>
      <c r="BC98" s="213"/>
      <c r="BD98" s="213"/>
      <c r="BE98" s="213"/>
      <c r="BF98" s="213"/>
      <c r="BG98" s="213"/>
      <c r="BH98" s="213"/>
      <c r="BI98" s="213"/>
      <c r="BJ98" s="213"/>
      <c r="BK98" s="213"/>
      <c r="BL98" s="213"/>
      <c r="BM98" s="213"/>
      <c r="BN98" s="213"/>
      <c r="BO98" s="213"/>
      <c r="BP98" s="213"/>
      <c r="BQ98" s="213"/>
      <c r="BR98" s="213"/>
      <c r="BS98" s="213"/>
      <c r="BT98" s="213"/>
      <c r="BU98" s="213"/>
      <c r="BV98" s="213"/>
      <c r="BW98" s="213"/>
      <c r="BX98" s="213"/>
    </row>
    <row r="99" spans="1:76" s="209" customFormat="1" ht="22.5" customHeight="1">
      <c r="A99" s="235">
        <v>94</v>
      </c>
      <c r="B99" s="235"/>
      <c r="C99" s="235"/>
      <c r="D99" s="203"/>
      <c r="E99" s="204"/>
      <c r="F99" s="235"/>
      <c r="G99" s="235"/>
      <c r="H99" s="203"/>
      <c r="I99" s="203"/>
      <c r="J99" s="203"/>
      <c r="K99" s="205"/>
      <c r="L99" s="206"/>
      <c r="M99" s="203"/>
      <c r="N99" s="207"/>
      <c r="O99" s="207"/>
      <c r="P99" s="207"/>
      <c r="Q99" s="207"/>
      <c r="R99" s="206"/>
      <c r="S99" s="205"/>
      <c r="T99" s="205"/>
      <c r="U99" s="207"/>
      <c r="V99" s="226"/>
      <c r="W99" s="208"/>
      <c r="X99" s="208"/>
      <c r="Y99" s="208"/>
      <c r="Z99" s="208"/>
      <c r="AA99" s="208"/>
      <c r="AB99" s="210"/>
      <c r="AC99" s="210"/>
      <c r="AD99" s="210"/>
      <c r="AE99" s="210"/>
      <c r="AF99" s="210"/>
      <c r="AG99" s="210"/>
      <c r="AH99" s="210"/>
      <c r="AI99" s="93"/>
      <c r="AJ99" s="93">
        <f t="shared" ca="1" si="3"/>
        <v>0</v>
      </c>
      <c r="AK99" s="93">
        <f t="shared" ca="1" si="4"/>
        <v>0</v>
      </c>
      <c r="AL99" s="213"/>
      <c r="AM99" s="213"/>
      <c r="AN99" s="213"/>
      <c r="AO99" s="213"/>
      <c r="AP99" s="213"/>
      <c r="AQ99" s="213"/>
      <c r="AR99" s="213"/>
      <c r="AS99" s="213"/>
      <c r="AT99" s="213"/>
      <c r="AU99" s="213"/>
      <c r="AV99" s="213"/>
      <c r="AW99" s="213"/>
      <c r="AX99" s="213"/>
      <c r="AY99" s="213"/>
      <c r="AZ99" s="213"/>
      <c r="BA99" s="213"/>
      <c r="BB99" s="213"/>
      <c r="BC99" s="213"/>
      <c r="BD99" s="213"/>
      <c r="BE99" s="213"/>
      <c r="BF99" s="213"/>
      <c r="BG99" s="213"/>
      <c r="BH99" s="213"/>
      <c r="BI99" s="213"/>
      <c r="BJ99" s="213"/>
      <c r="BK99" s="213"/>
      <c r="BL99" s="213"/>
      <c r="BM99" s="213"/>
      <c r="BN99" s="213"/>
      <c r="BO99" s="213"/>
      <c r="BP99" s="213"/>
      <c r="BQ99" s="213"/>
      <c r="BR99" s="213"/>
      <c r="BS99" s="213"/>
      <c r="BT99" s="213"/>
      <c r="BU99" s="213"/>
      <c r="BV99" s="213"/>
      <c r="BW99" s="213"/>
      <c r="BX99" s="213"/>
    </row>
    <row r="100" spans="1:76" s="209" customFormat="1" ht="22.5" customHeight="1">
      <c r="A100" s="235">
        <v>95</v>
      </c>
      <c r="B100" s="235"/>
      <c r="C100" s="235"/>
      <c r="D100" s="203"/>
      <c r="E100" s="204"/>
      <c r="F100" s="235"/>
      <c r="G100" s="235"/>
      <c r="H100" s="203"/>
      <c r="I100" s="203"/>
      <c r="J100" s="203"/>
      <c r="K100" s="205"/>
      <c r="L100" s="206"/>
      <c r="M100" s="203"/>
      <c r="N100" s="207"/>
      <c r="O100" s="207"/>
      <c r="P100" s="207"/>
      <c r="Q100" s="207"/>
      <c r="R100" s="206"/>
      <c r="S100" s="205"/>
      <c r="T100" s="205"/>
      <c r="U100" s="207"/>
      <c r="V100" s="226"/>
      <c r="W100" s="208"/>
      <c r="X100" s="208"/>
      <c r="Y100" s="208"/>
      <c r="Z100" s="208"/>
      <c r="AA100" s="208"/>
      <c r="AB100" s="210"/>
      <c r="AC100" s="210"/>
      <c r="AD100" s="210"/>
      <c r="AE100" s="210"/>
      <c r="AF100" s="210"/>
      <c r="AG100" s="210"/>
      <c r="AH100" s="210"/>
      <c r="AI100" s="93"/>
      <c r="AJ100" s="93">
        <f t="shared" ca="1" si="3"/>
        <v>0</v>
      </c>
      <c r="AK100" s="93">
        <f t="shared" ca="1" si="4"/>
        <v>0</v>
      </c>
      <c r="AL100" s="213"/>
      <c r="AM100" s="213"/>
      <c r="AN100" s="213"/>
      <c r="AO100" s="213"/>
      <c r="AP100" s="213"/>
      <c r="AQ100" s="213"/>
      <c r="AR100" s="213"/>
      <c r="AS100" s="213"/>
      <c r="AT100" s="213"/>
      <c r="AU100" s="213"/>
      <c r="AV100" s="213"/>
      <c r="AW100" s="213"/>
      <c r="AX100" s="213"/>
      <c r="AY100" s="213"/>
      <c r="AZ100" s="213"/>
      <c r="BA100" s="213"/>
      <c r="BB100" s="213"/>
      <c r="BC100" s="213"/>
      <c r="BD100" s="213"/>
      <c r="BE100" s="213"/>
      <c r="BF100" s="213"/>
      <c r="BG100" s="213"/>
      <c r="BH100" s="213"/>
      <c r="BI100" s="213"/>
      <c r="BJ100" s="213"/>
      <c r="BK100" s="213"/>
      <c r="BL100" s="213"/>
      <c r="BM100" s="213"/>
      <c r="BN100" s="213"/>
      <c r="BO100" s="213"/>
      <c r="BP100" s="213"/>
      <c r="BQ100" s="213"/>
      <c r="BR100" s="213"/>
      <c r="BS100" s="213"/>
      <c r="BT100" s="213"/>
      <c r="BU100" s="213"/>
      <c r="BV100" s="213"/>
      <c r="BW100" s="213"/>
      <c r="BX100" s="213"/>
    </row>
    <row r="101" spans="1:76" s="209" customFormat="1" ht="22.5" customHeight="1">
      <c r="A101" s="235">
        <v>96</v>
      </c>
      <c r="B101" s="235"/>
      <c r="C101" s="235"/>
      <c r="D101" s="203"/>
      <c r="E101" s="204"/>
      <c r="F101" s="235"/>
      <c r="G101" s="235"/>
      <c r="H101" s="203"/>
      <c r="I101" s="203"/>
      <c r="J101" s="203"/>
      <c r="K101" s="205"/>
      <c r="L101" s="206"/>
      <c r="M101" s="203"/>
      <c r="N101" s="207"/>
      <c r="O101" s="207"/>
      <c r="P101" s="207"/>
      <c r="Q101" s="207"/>
      <c r="R101" s="206"/>
      <c r="S101" s="205"/>
      <c r="T101" s="205"/>
      <c r="U101" s="207"/>
      <c r="V101" s="226"/>
      <c r="W101" s="208"/>
      <c r="X101" s="208"/>
      <c r="Y101" s="208"/>
      <c r="Z101" s="208"/>
      <c r="AA101" s="208"/>
      <c r="AB101" s="210"/>
      <c r="AC101" s="210"/>
      <c r="AD101" s="210"/>
      <c r="AE101" s="210"/>
      <c r="AF101" s="210"/>
      <c r="AG101" s="210"/>
      <c r="AH101" s="210"/>
      <c r="AI101" s="93"/>
      <c r="AJ101" s="93">
        <f t="shared" ca="1" si="3"/>
        <v>0</v>
      </c>
      <c r="AK101" s="93">
        <f t="shared" ca="1" si="4"/>
        <v>0</v>
      </c>
      <c r="AL101" s="213"/>
      <c r="AM101" s="213"/>
      <c r="AN101" s="213"/>
      <c r="AO101" s="213"/>
      <c r="AP101" s="213"/>
      <c r="AQ101" s="213"/>
      <c r="AR101" s="213"/>
      <c r="AS101" s="213"/>
      <c r="AT101" s="213"/>
      <c r="AU101" s="213"/>
      <c r="AV101" s="213"/>
      <c r="AW101" s="213"/>
      <c r="AX101" s="213"/>
      <c r="AY101" s="213"/>
      <c r="AZ101" s="213"/>
      <c r="BA101" s="213"/>
      <c r="BB101" s="213"/>
      <c r="BC101" s="213"/>
      <c r="BD101" s="213"/>
      <c r="BE101" s="213"/>
      <c r="BF101" s="213"/>
      <c r="BG101" s="213"/>
      <c r="BH101" s="213"/>
      <c r="BI101" s="213"/>
      <c r="BJ101" s="213"/>
      <c r="BK101" s="213"/>
      <c r="BL101" s="213"/>
      <c r="BM101" s="213"/>
      <c r="BN101" s="213"/>
      <c r="BO101" s="213"/>
      <c r="BP101" s="213"/>
      <c r="BQ101" s="213"/>
      <c r="BR101" s="213"/>
      <c r="BS101" s="213"/>
      <c r="BT101" s="213"/>
      <c r="BU101" s="213"/>
      <c r="BV101" s="213"/>
      <c r="BW101" s="213"/>
      <c r="BX101" s="213"/>
    </row>
    <row r="102" spans="1:76" s="209" customFormat="1" ht="22.5" customHeight="1">
      <c r="A102" s="235">
        <v>97</v>
      </c>
      <c r="B102" s="235"/>
      <c r="C102" s="235"/>
      <c r="D102" s="203"/>
      <c r="E102" s="204"/>
      <c r="F102" s="235"/>
      <c r="G102" s="235"/>
      <c r="H102" s="203"/>
      <c r="I102" s="203"/>
      <c r="J102" s="203"/>
      <c r="K102" s="205"/>
      <c r="L102" s="206"/>
      <c r="M102" s="203"/>
      <c r="N102" s="207"/>
      <c r="O102" s="207"/>
      <c r="P102" s="207"/>
      <c r="Q102" s="207"/>
      <c r="R102" s="206"/>
      <c r="S102" s="205"/>
      <c r="T102" s="205"/>
      <c r="U102" s="207"/>
      <c r="V102" s="226"/>
      <c r="W102" s="208"/>
      <c r="X102" s="208"/>
      <c r="Y102" s="208"/>
      <c r="Z102" s="208"/>
      <c r="AA102" s="208"/>
      <c r="AB102" s="210"/>
      <c r="AC102" s="210"/>
      <c r="AD102" s="210"/>
      <c r="AE102" s="210"/>
      <c r="AF102" s="210"/>
      <c r="AG102" s="210"/>
      <c r="AH102" s="210"/>
      <c r="AI102" s="93"/>
      <c r="AJ102" s="93">
        <f t="shared" ca="1" si="3"/>
        <v>0</v>
      </c>
      <c r="AK102" s="93">
        <f t="shared" ca="1" si="4"/>
        <v>0</v>
      </c>
      <c r="AL102" s="213"/>
      <c r="AM102" s="213"/>
      <c r="AN102" s="213"/>
      <c r="AO102" s="213"/>
      <c r="AP102" s="213"/>
      <c r="AQ102" s="213"/>
      <c r="AR102" s="213"/>
      <c r="AS102" s="213"/>
      <c r="AT102" s="213"/>
      <c r="AU102" s="213"/>
      <c r="AV102" s="213"/>
      <c r="AW102" s="213"/>
      <c r="AX102" s="213"/>
      <c r="AY102" s="213"/>
      <c r="AZ102" s="213"/>
      <c r="BA102" s="213"/>
      <c r="BB102" s="213"/>
      <c r="BC102" s="213"/>
      <c r="BD102" s="213"/>
      <c r="BE102" s="213"/>
      <c r="BF102" s="213"/>
      <c r="BG102" s="213"/>
      <c r="BH102" s="213"/>
      <c r="BI102" s="213"/>
      <c r="BJ102" s="213"/>
      <c r="BK102" s="213"/>
      <c r="BL102" s="213"/>
      <c r="BM102" s="213"/>
      <c r="BN102" s="213"/>
      <c r="BO102" s="213"/>
      <c r="BP102" s="213"/>
      <c r="BQ102" s="213"/>
      <c r="BR102" s="213"/>
      <c r="BS102" s="213"/>
      <c r="BT102" s="213"/>
      <c r="BU102" s="213"/>
      <c r="BV102" s="213"/>
      <c r="BW102" s="213"/>
      <c r="BX102" s="213"/>
    </row>
    <row r="103" spans="1:76" s="209" customFormat="1" ht="22.5" customHeight="1">
      <c r="A103" s="235">
        <v>98</v>
      </c>
      <c r="B103" s="235"/>
      <c r="C103" s="235"/>
      <c r="D103" s="203"/>
      <c r="E103" s="204"/>
      <c r="F103" s="235"/>
      <c r="G103" s="235"/>
      <c r="H103" s="203"/>
      <c r="I103" s="203"/>
      <c r="J103" s="203"/>
      <c r="K103" s="205"/>
      <c r="L103" s="206"/>
      <c r="M103" s="203"/>
      <c r="N103" s="207"/>
      <c r="O103" s="207"/>
      <c r="P103" s="207"/>
      <c r="Q103" s="207"/>
      <c r="R103" s="206"/>
      <c r="S103" s="205"/>
      <c r="T103" s="205"/>
      <c r="U103" s="207"/>
      <c r="V103" s="226"/>
      <c r="W103" s="208"/>
      <c r="X103" s="208"/>
      <c r="Y103" s="208"/>
      <c r="Z103" s="208"/>
      <c r="AA103" s="208"/>
      <c r="AB103" s="210"/>
      <c r="AC103" s="210"/>
      <c r="AD103" s="210"/>
      <c r="AE103" s="210"/>
      <c r="AF103" s="210"/>
      <c r="AG103" s="210"/>
      <c r="AH103" s="210"/>
      <c r="AI103" s="93"/>
      <c r="AJ103" s="93">
        <f t="shared" ca="1" si="3"/>
        <v>0</v>
      </c>
      <c r="AK103" s="93">
        <f t="shared" ca="1" si="4"/>
        <v>0</v>
      </c>
      <c r="AL103" s="213"/>
      <c r="AM103" s="213"/>
      <c r="AN103" s="213"/>
      <c r="AO103" s="213"/>
      <c r="AP103" s="213"/>
      <c r="AQ103" s="213"/>
      <c r="AR103" s="213"/>
      <c r="AS103" s="213"/>
      <c r="AT103" s="213"/>
      <c r="AU103" s="213"/>
      <c r="AV103" s="213"/>
      <c r="AW103" s="213"/>
      <c r="AX103" s="213"/>
      <c r="AY103" s="213"/>
      <c r="AZ103" s="213"/>
      <c r="BA103" s="213"/>
      <c r="BB103" s="213"/>
      <c r="BC103" s="213"/>
      <c r="BD103" s="213"/>
      <c r="BE103" s="213"/>
      <c r="BF103" s="213"/>
      <c r="BG103" s="213"/>
      <c r="BH103" s="213"/>
      <c r="BI103" s="213"/>
      <c r="BJ103" s="213"/>
      <c r="BK103" s="213"/>
      <c r="BL103" s="213"/>
      <c r="BM103" s="213"/>
      <c r="BN103" s="213"/>
      <c r="BO103" s="213"/>
      <c r="BP103" s="213"/>
      <c r="BQ103" s="213"/>
      <c r="BR103" s="213"/>
      <c r="BS103" s="213"/>
      <c r="BT103" s="213"/>
      <c r="BU103" s="213"/>
      <c r="BV103" s="213"/>
      <c r="BW103" s="213"/>
      <c r="BX103" s="213"/>
    </row>
    <row r="104" spans="1:76" s="209" customFormat="1" ht="22.5" customHeight="1">
      <c r="A104" s="235">
        <v>99</v>
      </c>
      <c r="B104" s="235"/>
      <c r="C104" s="235"/>
      <c r="D104" s="203"/>
      <c r="E104" s="204"/>
      <c r="F104" s="235"/>
      <c r="G104" s="235"/>
      <c r="H104" s="203"/>
      <c r="I104" s="203"/>
      <c r="J104" s="203"/>
      <c r="K104" s="205"/>
      <c r="L104" s="206"/>
      <c r="M104" s="203"/>
      <c r="N104" s="207"/>
      <c r="O104" s="207"/>
      <c r="P104" s="207"/>
      <c r="Q104" s="207"/>
      <c r="R104" s="206"/>
      <c r="S104" s="205"/>
      <c r="T104" s="205"/>
      <c r="U104" s="207"/>
      <c r="V104" s="226"/>
      <c r="W104" s="208"/>
      <c r="X104" s="208"/>
      <c r="Y104" s="208"/>
      <c r="Z104" s="208"/>
      <c r="AA104" s="208"/>
      <c r="AB104" s="210"/>
      <c r="AC104" s="210"/>
      <c r="AD104" s="210"/>
      <c r="AE104" s="210"/>
      <c r="AF104" s="210"/>
      <c r="AG104" s="210"/>
      <c r="AH104" s="210"/>
      <c r="AI104" s="93"/>
      <c r="AJ104" s="93">
        <f t="shared" ca="1" si="3"/>
        <v>0</v>
      </c>
      <c r="AK104" s="93">
        <f t="shared" ca="1" si="4"/>
        <v>0</v>
      </c>
      <c r="AL104" s="213"/>
      <c r="AM104" s="213"/>
      <c r="AN104" s="213"/>
      <c r="AO104" s="213"/>
      <c r="AP104" s="213"/>
      <c r="AQ104" s="213"/>
      <c r="AR104" s="213"/>
      <c r="AS104" s="213"/>
      <c r="AT104" s="213"/>
      <c r="AU104" s="213"/>
      <c r="AV104" s="213"/>
      <c r="AW104" s="213"/>
      <c r="AX104" s="213"/>
      <c r="AY104" s="213"/>
      <c r="AZ104" s="213"/>
      <c r="BA104" s="213"/>
      <c r="BB104" s="213"/>
      <c r="BC104" s="213"/>
      <c r="BD104" s="213"/>
      <c r="BE104" s="213"/>
      <c r="BF104" s="213"/>
      <c r="BG104" s="213"/>
      <c r="BH104" s="213"/>
      <c r="BI104" s="213"/>
      <c r="BJ104" s="213"/>
      <c r="BK104" s="213"/>
      <c r="BL104" s="213"/>
      <c r="BM104" s="213"/>
      <c r="BN104" s="213"/>
      <c r="BO104" s="213"/>
      <c r="BP104" s="213"/>
      <c r="BQ104" s="213"/>
      <c r="BR104" s="213"/>
      <c r="BS104" s="213"/>
      <c r="BT104" s="213"/>
      <c r="BU104" s="213"/>
      <c r="BV104" s="213"/>
      <c r="BW104" s="213"/>
      <c r="BX104" s="213"/>
    </row>
    <row r="105" spans="1:76" s="209" customFormat="1" ht="22.5" customHeight="1">
      <c r="A105" s="235">
        <v>100</v>
      </c>
      <c r="B105" s="235"/>
      <c r="C105" s="235"/>
      <c r="D105" s="203"/>
      <c r="E105" s="204"/>
      <c r="F105" s="235"/>
      <c r="G105" s="235"/>
      <c r="H105" s="203"/>
      <c r="I105" s="203"/>
      <c r="J105" s="203"/>
      <c r="K105" s="205"/>
      <c r="L105" s="206"/>
      <c r="M105" s="203"/>
      <c r="N105" s="207"/>
      <c r="O105" s="207"/>
      <c r="P105" s="207"/>
      <c r="Q105" s="207"/>
      <c r="R105" s="206"/>
      <c r="S105" s="205"/>
      <c r="T105" s="205"/>
      <c r="U105" s="207"/>
      <c r="V105" s="226"/>
      <c r="W105" s="208"/>
      <c r="X105" s="208"/>
      <c r="Y105" s="208"/>
      <c r="Z105" s="208"/>
      <c r="AA105" s="208"/>
      <c r="AB105" s="210"/>
      <c r="AC105" s="210"/>
      <c r="AD105" s="210"/>
      <c r="AE105" s="210"/>
      <c r="AF105" s="210"/>
      <c r="AG105" s="210"/>
      <c r="AH105" s="210"/>
      <c r="AI105" s="93"/>
      <c r="AJ105" s="93">
        <f t="shared" ca="1" si="3"/>
        <v>0</v>
      </c>
      <c r="AK105" s="93">
        <f t="shared" ca="1" si="4"/>
        <v>0</v>
      </c>
      <c r="AL105" s="213"/>
      <c r="AM105" s="213"/>
      <c r="AN105" s="213"/>
      <c r="AO105" s="213"/>
      <c r="AP105" s="213"/>
      <c r="AQ105" s="213"/>
      <c r="AR105" s="213"/>
      <c r="AS105" s="213"/>
      <c r="AT105" s="213"/>
      <c r="AU105" s="213"/>
      <c r="AV105" s="213"/>
      <c r="AW105" s="213"/>
      <c r="AX105" s="213"/>
      <c r="AY105" s="213"/>
      <c r="AZ105" s="213"/>
      <c r="BA105" s="213"/>
      <c r="BB105" s="213"/>
      <c r="BC105" s="213"/>
      <c r="BD105" s="213"/>
      <c r="BE105" s="213"/>
      <c r="BF105" s="213"/>
      <c r="BG105" s="213"/>
      <c r="BH105" s="213"/>
      <c r="BI105" s="213"/>
      <c r="BJ105" s="213"/>
      <c r="BK105" s="213"/>
      <c r="BL105" s="213"/>
      <c r="BM105" s="213"/>
      <c r="BN105" s="213"/>
      <c r="BO105" s="213"/>
      <c r="BP105" s="213"/>
      <c r="BQ105" s="213"/>
      <c r="BR105" s="213"/>
      <c r="BS105" s="213"/>
      <c r="BT105" s="213"/>
      <c r="BU105" s="213"/>
      <c r="BV105" s="213"/>
      <c r="BW105" s="213"/>
      <c r="BX105" s="213"/>
    </row>
    <row r="106" spans="1:76" s="209" customFormat="1" ht="22.5" customHeight="1">
      <c r="A106" s="235">
        <v>101</v>
      </c>
      <c r="B106" s="235"/>
      <c r="C106" s="235"/>
      <c r="D106" s="203"/>
      <c r="E106" s="204"/>
      <c r="F106" s="235"/>
      <c r="G106" s="235"/>
      <c r="H106" s="203"/>
      <c r="I106" s="203"/>
      <c r="J106" s="203"/>
      <c r="K106" s="205"/>
      <c r="L106" s="206"/>
      <c r="M106" s="203"/>
      <c r="N106" s="207"/>
      <c r="O106" s="207"/>
      <c r="P106" s="207"/>
      <c r="Q106" s="207"/>
      <c r="R106" s="206"/>
      <c r="S106" s="205"/>
      <c r="T106" s="205"/>
      <c r="U106" s="207"/>
      <c r="V106" s="226"/>
      <c r="W106" s="208"/>
      <c r="X106" s="208"/>
      <c r="Y106" s="208"/>
      <c r="Z106" s="208"/>
      <c r="AA106" s="208"/>
      <c r="AB106" s="210"/>
      <c r="AC106" s="210"/>
      <c r="AD106" s="210"/>
      <c r="AE106" s="210"/>
      <c r="AF106" s="210"/>
      <c r="AG106" s="210"/>
      <c r="AH106" s="210"/>
      <c r="AI106" s="93"/>
      <c r="AJ106" s="93">
        <f t="shared" ca="1" si="3"/>
        <v>0</v>
      </c>
      <c r="AK106" s="93">
        <f t="shared" ca="1" si="4"/>
        <v>0</v>
      </c>
      <c r="AL106" s="213"/>
      <c r="AM106" s="213"/>
      <c r="AN106" s="213"/>
      <c r="AO106" s="213"/>
      <c r="AP106" s="213"/>
      <c r="AQ106" s="213"/>
      <c r="AR106" s="213"/>
      <c r="AS106" s="213"/>
      <c r="AT106" s="213"/>
      <c r="AU106" s="213"/>
      <c r="AV106" s="213"/>
      <c r="AW106" s="213"/>
      <c r="AX106" s="213"/>
      <c r="AY106" s="213"/>
      <c r="AZ106" s="213"/>
      <c r="BA106" s="213"/>
      <c r="BB106" s="213"/>
      <c r="BC106" s="213"/>
      <c r="BD106" s="213"/>
      <c r="BE106" s="213"/>
      <c r="BF106" s="213"/>
      <c r="BG106" s="213"/>
      <c r="BH106" s="213"/>
      <c r="BI106" s="213"/>
      <c r="BJ106" s="213"/>
      <c r="BK106" s="213"/>
      <c r="BL106" s="213"/>
      <c r="BM106" s="213"/>
      <c r="BN106" s="213"/>
      <c r="BO106" s="213"/>
      <c r="BP106" s="213"/>
      <c r="BQ106" s="213"/>
      <c r="BR106" s="213"/>
      <c r="BS106" s="213"/>
      <c r="BT106" s="213"/>
      <c r="BU106" s="213"/>
      <c r="BV106" s="213"/>
      <c r="BW106" s="213"/>
      <c r="BX106" s="213"/>
    </row>
    <row r="107" spans="1:76" s="209" customFormat="1" ht="22.5" customHeight="1">
      <c r="A107" s="235">
        <v>102</v>
      </c>
      <c r="B107" s="235"/>
      <c r="C107" s="235"/>
      <c r="D107" s="203"/>
      <c r="E107" s="204"/>
      <c r="F107" s="235"/>
      <c r="G107" s="235"/>
      <c r="H107" s="203"/>
      <c r="I107" s="203"/>
      <c r="J107" s="203"/>
      <c r="K107" s="205"/>
      <c r="L107" s="206"/>
      <c r="M107" s="203"/>
      <c r="N107" s="207"/>
      <c r="O107" s="207"/>
      <c r="P107" s="207"/>
      <c r="Q107" s="207"/>
      <c r="R107" s="206"/>
      <c r="S107" s="205"/>
      <c r="T107" s="205"/>
      <c r="U107" s="207"/>
      <c r="V107" s="226"/>
      <c r="W107" s="208"/>
      <c r="X107" s="208"/>
      <c r="Y107" s="208"/>
      <c r="Z107" s="208"/>
      <c r="AA107" s="208"/>
      <c r="AB107" s="210"/>
      <c r="AC107" s="210"/>
      <c r="AD107" s="210"/>
      <c r="AE107" s="210"/>
      <c r="AF107" s="210"/>
      <c r="AG107" s="210"/>
      <c r="AH107" s="210"/>
      <c r="AI107" s="93"/>
      <c r="AJ107" s="93">
        <f t="shared" ca="1" si="3"/>
        <v>0</v>
      </c>
      <c r="AK107" s="93">
        <f t="shared" ca="1" si="4"/>
        <v>0</v>
      </c>
      <c r="AL107" s="213"/>
      <c r="AM107" s="213"/>
      <c r="AN107" s="213"/>
      <c r="AO107" s="213"/>
      <c r="AP107" s="213"/>
      <c r="AQ107" s="213"/>
      <c r="AR107" s="213"/>
      <c r="AS107" s="213"/>
      <c r="AT107" s="213"/>
      <c r="AU107" s="213"/>
      <c r="AV107" s="213"/>
      <c r="AW107" s="213"/>
      <c r="AX107" s="213"/>
      <c r="AY107" s="213"/>
      <c r="AZ107" s="213"/>
      <c r="BA107" s="213"/>
      <c r="BB107" s="213"/>
      <c r="BC107" s="213"/>
      <c r="BD107" s="213"/>
      <c r="BE107" s="213"/>
      <c r="BF107" s="213"/>
      <c r="BG107" s="213"/>
      <c r="BH107" s="213"/>
      <c r="BI107" s="213"/>
      <c r="BJ107" s="213"/>
      <c r="BK107" s="213"/>
      <c r="BL107" s="213"/>
      <c r="BM107" s="213"/>
      <c r="BN107" s="213"/>
      <c r="BO107" s="213"/>
      <c r="BP107" s="213"/>
      <c r="BQ107" s="213"/>
      <c r="BR107" s="213"/>
      <c r="BS107" s="213"/>
      <c r="BT107" s="213"/>
      <c r="BU107" s="213"/>
      <c r="BV107" s="213"/>
      <c r="BW107" s="213"/>
      <c r="BX107" s="213"/>
    </row>
    <row r="108" spans="1:76" s="209" customFormat="1" ht="22.5" customHeight="1">
      <c r="A108" s="235">
        <v>103</v>
      </c>
      <c r="B108" s="235"/>
      <c r="C108" s="235"/>
      <c r="D108" s="203"/>
      <c r="E108" s="204"/>
      <c r="F108" s="235"/>
      <c r="G108" s="235"/>
      <c r="H108" s="203"/>
      <c r="I108" s="203"/>
      <c r="J108" s="203"/>
      <c r="K108" s="205"/>
      <c r="L108" s="206"/>
      <c r="M108" s="203"/>
      <c r="N108" s="207"/>
      <c r="O108" s="207"/>
      <c r="P108" s="207"/>
      <c r="Q108" s="207"/>
      <c r="R108" s="206"/>
      <c r="S108" s="205"/>
      <c r="T108" s="205"/>
      <c r="U108" s="207"/>
      <c r="V108" s="226"/>
      <c r="W108" s="208"/>
      <c r="X108" s="208"/>
      <c r="Y108" s="208"/>
      <c r="Z108" s="208"/>
      <c r="AA108" s="208"/>
      <c r="AB108" s="210"/>
      <c r="AC108" s="210"/>
      <c r="AD108" s="210"/>
      <c r="AE108" s="210"/>
      <c r="AF108" s="210"/>
      <c r="AG108" s="210"/>
      <c r="AH108" s="210"/>
      <c r="AI108" s="93"/>
      <c r="AJ108" s="93">
        <f t="shared" ca="1" si="3"/>
        <v>0</v>
      </c>
      <c r="AK108" s="93">
        <f t="shared" ca="1" si="4"/>
        <v>0</v>
      </c>
      <c r="AL108" s="213"/>
      <c r="AM108" s="213"/>
      <c r="AN108" s="213"/>
      <c r="AO108" s="213"/>
      <c r="AP108" s="213"/>
      <c r="AQ108" s="213"/>
      <c r="AR108" s="213"/>
      <c r="AS108" s="213"/>
      <c r="AT108" s="213"/>
      <c r="AU108" s="213"/>
      <c r="AV108" s="213"/>
      <c r="AW108" s="213"/>
      <c r="AX108" s="213"/>
      <c r="AY108" s="213"/>
      <c r="AZ108" s="213"/>
      <c r="BA108" s="213"/>
      <c r="BB108" s="213"/>
      <c r="BC108" s="213"/>
      <c r="BD108" s="213"/>
      <c r="BE108" s="213"/>
      <c r="BF108" s="213"/>
      <c r="BG108" s="213"/>
      <c r="BH108" s="213"/>
      <c r="BI108" s="213"/>
      <c r="BJ108" s="213"/>
      <c r="BK108" s="213"/>
      <c r="BL108" s="213"/>
      <c r="BM108" s="213"/>
      <c r="BN108" s="213"/>
      <c r="BO108" s="213"/>
      <c r="BP108" s="213"/>
      <c r="BQ108" s="213"/>
      <c r="BR108" s="213"/>
      <c r="BS108" s="213"/>
      <c r="BT108" s="213"/>
      <c r="BU108" s="213"/>
      <c r="BV108" s="213"/>
      <c r="BW108" s="213"/>
      <c r="BX108" s="213"/>
    </row>
    <row r="109" spans="1:76" s="209" customFormat="1" ht="22.5" customHeight="1">
      <c r="A109" s="235">
        <v>104</v>
      </c>
      <c r="B109" s="235"/>
      <c r="C109" s="235"/>
      <c r="D109" s="203"/>
      <c r="E109" s="204"/>
      <c r="F109" s="235"/>
      <c r="G109" s="235"/>
      <c r="H109" s="203"/>
      <c r="I109" s="203"/>
      <c r="J109" s="203"/>
      <c r="K109" s="205"/>
      <c r="L109" s="206"/>
      <c r="M109" s="203"/>
      <c r="N109" s="207"/>
      <c r="O109" s="207"/>
      <c r="P109" s="207"/>
      <c r="Q109" s="207"/>
      <c r="R109" s="206"/>
      <c r="S109" s="205"/>
      <c r="T109" s="205"/>
      <c r="U109" s="207"/>
      <c r="V109" s="226"/>
      <c r="W109" s="208"/>
      <c r="X109" s="208"/>
      <c r="Y109" s="208"/>
      <c r="Z109" s="208"/>
      <c r="AA109" s="208"/>
      <c r="AB109" s="210"/>
      <c r="AC109" s="210"/>
      <c r="AD109" s="210"/>
      <c r="AE109" s="210"/>
      <c r="AF109" s="210"/>
      <c r="AG109" s="210"/>
      <c r="AH109" s="210"/>
      <c r="AI109" s="93"/>
      <c r="AJ109" s="93">
        <f t="shared" ca="1" si="3"/>
        <v>0</v>
      </c>
      <c r="AK109" s="93">
        <f t="shared" ca="1" si="4"/>
        <v>0</v>
      </c>
      <c r="AL109" s="213"/>
      <c r="AM109" s="213"/>
      <c r="AN109" s="213"/>
      <c r="AO109" s="213"/>
      <c r="AP109" s="213"/>
      <c r="AQ109" s="213"/>
      <c r="AR109" s="213"/>
      <c r="AS109" s="213"/>
      <c r="AT109" s="213"/>
      <c r="AU109" s="213"/>
      <c r="AV109" s="213"/>
      <c r="AW109" s="213"/>
      <c r="AX109" s="213"/>
      <c r="AY109" s="213"/>
      <c r="AZ109" s="213"/>
      <c r="BA109" s="213"/>
      <c r="BB109" s="213"/>
      <c r="BC109" s="213"/>
      <c r="BD109" s="213"/>
      <c r="BE109" s="213"/>
      <c r="BF109" s="213"/>
      <c r="BG109" s="213"/>
      <c r="BH109" s="213"/>
      <c r="BI109" s="213"/>
      <c r="BJ109" s="213"/>
      <c r="BK109" s="213"/>
      <c r="BL109" s="213"/>
      <c r="BM109" s="213"/>
      <c r="BN109" s="213"/>
      <c r="BO109" s="213"/>
      <c r="BP109" s="213"/>
      <c r="BQ109" s="213"/>
      <c r="BR109" s="213"/>
      <c r="BS109" s="213"/>
      <c r="BT109" s="213"/>
      <c r="BU109" s="213"/>
      <c r="BV109" s="213"/>
      <c r="BW109" s="213"/>
      <c r="BX109" s="213"/>
    </row>
    <row r="110" spans="1:76" s="209" customFormat="1" ht="22.5" customHeight="1">
      <c r="A110" s="235">
        <v>105</v>
      </c>
      <c r="B110" s="235"/>
      <c r="C110" s="235"/>
      <c r="D110" s="203"/>
      <c r="E110" s="204"/>
      <c r="F110" s="235"/>
      <c r="G110" s="235"/>
      <c r="H110" s="203"/>
      <c r="I110" s="203"/>
      <c r="J110" s="203"/>
      <c r="K110" s="205"/>
      <c r="L110" s="206"/>
      <c r="M110" s="203"/>
      <c r="N110" s="207"/>
      <c r="O110" s="207"/>
      <c r="P110" s="207"/>
      <c r="Q110" s="207"/>
      <c r="R110" s="206"/>
      <c r="S110" s="205"/>
      <c r="T110" s="205"/>
      <c r="U110" s="207"/>
      <c r="V110" s="226"/>
      <c r="W110" s="208"/>
      <c r="X110" s="208"/>
      <c r="Y110" s="208"/>
      <c r="Z110" s="208"/>
      <c r="AA110" s="208"/>
      <c r="AB110" s="210"/>
      <c r="AC110" s="210"/>
      <c r="AD110" s="210"/>
      <c r="AE110" s="210"/>
      <c r="AF110" s="210"/>
      <c r="AG110" s="210"/>
      <c r="AH110" s="210"/>
      <c r="AI110" s="93"/>
      <c r="AJ110" s="93">
        <f t="shared" ref="AJ110:AJ173" ca="1" si="5">IF(TRIM(K110)&lt;&gt;"",DATEDIF(K110,TODAY(),"y"),0)</f>
        <v>0</v>
      </c>
      <c r="AK110" s="93">
        <f t="shared" ref="AK110:AK173" ca="1" si="6">IF(TRIM(P110)&lt;&gt;"",DATEDIF(P110,TODAY(),"m"),0)</f>
        <v>0</v>
      </c>
      <c r="AL110" s="213"/>
      <c r="AM110" s="213"/>
      <c r="AN110" s="213"/>
      <c r="AO110" s="213"/>
      <c r="AP110" s="213"/>
      <c r="AQ110" s="213"/>
      <c r="AR110" s="213"/>
      <c r="AS110" s="213"/>
      <c r="AT110" s="213"/>
      <c r="AU110" s="213"/>
      <c r="AV110" s="213"/>
      <c r="AW110" s="213"/>
      <c r="AX110" s="213"/>
      <c r="AY110" s="213"/>
      <c r="AZ110" s="213"/>
      <c r="BA110" s="213"/>
      <c r="BB110" s="213"/>
      <c r="BC110" s="213"/>
      <c r="BD110" s="213"/>
      <c r="BE110" s="213"/>
      <c r="BF110" s="213"/>
      <c r="BG110" s="213"/>
      <c r="BH110" s="213"/>
      <c r="BI110" s="213"/>
      <c r="BJ110" s="213"/>
      <c r="BK110" s="213"/>
      <c r="BL110" s="213"/>
      <c r="BM110" s="213"/>
      <c r="BN110" s="213"/>
      <c r="BO110" s="213"/>
      <c r="BP110" s="213"/>
      <c r="BQ110" s="213"/>
      <c r="BR110" s="213"/>
      <c r="BS110" s="213"/>
      <c r="BT110" s="213"/>
      <c r="BU110" s="213"/>
      <c r="BV110" s="213"/>
      <c r="BW110" s="213"/>
      <c r="BX110" s="213"/>
    </row>
    <row r="111" spans="1:76" s="209" customFormat="1" ht="22.5" customHeight="1">
      <c r="A111" s="235">
        <v>106</v>
      </c>
      <c r="B111" s="235"/>
      <c r="C111" s="235"/>
      <c r="D111" s="203"/>
      <c r="E111" s="204"/>
      <c r="F111" s="235"/>
      <c r="G111" s="235"/>
      <c r="H111" s="203"/>
      <c r="I111" s="203"/>
      <c r="J111" s="203"/>
      <c r="K111" s="205"/>
      <c r="L111" s="206"/>
      <c r="M111" s="203"/>
      <c r="N111" s="207"/>
      <c r="O111" s="207"/>
      <c r="P111" s="207"/>
      <c r="Q111" s="207"/>
      <c r="R111" s="206"/>
      <c r="S111" s="205"/>
      <c r="T111" s="205"/>
      <c r="U111" s="207"/>
      <c r="V111" s="226"/>
      <c r="W111" s="208"/>
      <c r="X111" s="208"/>
      <c r="Y111" s="208"/>
      <c r="Z111" s="208"/>
      <c r="AA111" s="208"/>
      <c r="AB111" s="210"/>
      <c r="AC111" s="210"/>
      <c r="AD111" s="210"/>
      <c r="AE111" s="210"/>
      <c r="AF111" s="210"/>
      <c r="AG111" s="210"/>
      <c r="AH111" s="210"/>
      <c r="AI111" s="93"/>
      <c r="AJ111" s="93">
        <f t="shared" ca="1" si="5"/>
        <v>0</v>
      </c>
      <c r="AK111" s="93">
        <f t="shared" ca="1" si="6"/>
        <v>0</v>
      </c>
      <c r="AL111" s="213"/>
      <c r="AM111" s="213"/>
      <c r="AN111" s="213"/>
      <c r="AO111" s="213"/>
      <c r="AP111" s="213"/>
      <c r="AQ111" s="213"/>
      <c r="AR111" s="213"/>
      <c r="AS111" s="213"/>
      <c r="AT111" s="213"/>
      <c r="AU111" s="213"/>
      <c r="AV111" s="213"/>
      <c r="AW111" s="213"/>
      <c r="AX111" s="213"/>
      <c r="AY111" s="213"/>
      <c r="AZ111" s="213"/>
      <c r="BA111" s="213"/>
      <c r="BB111" s="213"/>
      <c r="BC111" s="213"/>
      <c r="BD111" s="213"/>
      <c r="BE111" s="213"/>
      <c r="BF111" s="213"/>
      <c r="BG111" s="213"/>
      <c r="BH111" s="213"/>
      <c r="BI111" s="213"/>
      <c r="BJ111" s="213"/>
      <c r="BK111" s="213"/>
      <c r="BL111" s="213"/>
      <c r="BM111" s="213"/>
      <c r="BN111" s="213"/>
      <c r="BO111" s="213"/>
      <c r="BP111" s="213"/>
      <c r="BQ111" s="213"/>
      <c r="BR111" s="213"/>
      <c r="BS111" s="213"/>
      <c r="BT111" s="213"/>
      <c r="BU111" s="213"/>
      <c r="BV111" s="213"/>
      <c r="BW111" s="213"/>
      <c r="BX111" s="213"/>
    </row>
    <row r="112" spans="1:76" s="209" customFormat="1" ht="22.5" customHeight="1">
      <c r="A112" s="235">
        <v>107</v>
      </c>
      <c r="B112" s="235"/>
      <c r="C112" s="235"/>
      <c r="D112" s="203"/>
      <c r="E112" s="204"/>
      <c r="F112" s="235"/>
      <c r="G112" s="235"/>
      <c r="H112" s="203"/>
      <c r="I112" s="203"/>
      <c r="J112" s="203"/>
      <c r="K112" s="205"/>
      <c r="L112" s="206"/>
      <c r="M112" s="203"/>
      <c r="N112" s="207"/>
      <c r="O112" s="207"/>
      <c r="P112" s="207"/>
      <c r="Q112" s="207"/>
      <c r="R112" s="206"/>
      <c r="S112" s="205"/>
      <c r="T112" s="205"/>
      <c r="U112" s="207"/>
      <c r="V112" s="226"/>
      <c r="W112" s="208"/>
      <c r="X112" s="208"/>
      <c r="Y112" s="208"/>
      <c r="Z112" s="208"/>
      <c r="AA112" s="208"/>
      <c r="AB112" s="210"/>
      <c r="AC112" s="210"/>
      <c r="AD112" s="210"/>
      <c r="AE112" s="210"/>
      <c r="AF112" s="210"/>
      <c r="AG112" s="210"/>
      <c r="AH112" s="210"/>
      <c r="AI112" s="93"/>
      <c r="AJ112" s="93">
        <f t="shared" ca="1" si="5"/>
        <v>0</v>
      </c>
      <c r="AK112" s="93">
        <f t="shared" ca="1" si="6"/>
        <v>0</v>
      </c>
      <c r="AL112" s="213"/>
      <c r="AM112" s="213"/>
      <c r="AN112" s="213"/>
      <c r="AO112" s="213"/>
      <c r="AP112" s="213"/>
      <c r="AQ112" s="213"/>
      <c r="AR112" s="213"/>
      <c r="AS112" s="213"/>
      <c r="AT112" s="213"/>
      <c r="AU112" s="213"/>
      <c r="AV112" s="213"/>
      <c r="AW112" s="213"/>
      <c r="AX112" s="213"/>
      <c r="AY112" s="213"/>
      <c r="AZ112" s="213"/>
      <c r="BA112" s="213"/>
      <c r="BB112" s="213"/>
      <c r="BC112" s="213"/>
      <c r="BD112" s="213"/>
      <c r="BE112" s="213"/>
      <c r="BF112" s="213"/>
      <c r="BG112" s="213"/>
      <c r="BH112" s="213"/>
      <c r="BI112" s="213"/>
      <c r="BJ112" s="213"/>
      <c r="BK112" s="213"/>
      <c r="BL112" s="213"/>
      <c r="BM112" s="213"/>
      <c r="BN112" s="213"/>
      <c r="BO112" s="213"/>
      <c r="BP112" s="213"/>
      <c r="BQ112" s="213"/>
      <c r="BR112" s="213"/>
      <c r="BS112" s="213"/>
      <c r="BT112" s="213"/>
      <c r="BU112" s="213"/>
      <c r="BV112" s="213"/>
      <c r="BW112" s="213"/>
      <c r="BX112" s="213"/>
    </row>
    <row r="113" spans="1:76" s="209" customFormat="1" ht="22.5" customHeight="1">
      <c r="A113" s="235">
        <v>108</v>
      </c>
      <c r="B113" s="235"/>
      <c r="C113" s="235"/>
      <c r="D113" s="203"/>
      <c r="E113" s="204"/>
      <c r="F113" s="235"/>
      <c r="G113" s="235"/>
      <c r="H113" s="203"/>
      <c r="I113" s="203"/>
      <c r="J113" s="203"/>
      <c r="K113" s="205"/>
      <c r="L113" s="206"/>
      <c r="M113" s="203"/>
      <c r="N113" s="207"/>
      <c r="O113" s="207"/>
      <c r="P113" s="207"/>
      <c r="Q113" s="207"/>
      <c r="R113" s="206"/>
      <c r="S113" s="205"/>
      <c r="T113" s="205"/>
      <c r="U113" s="207"/>
      <c r="V113" s="226"/>
      <c r="W113" s="208"/>
      <c r="X113" s="208"/>
      <c r="Y113" s="208"/>
      <c r="Z113" s="208"/>
      <c r="AA113" s="208"/>
      <c r="AB113" s="210"/>
      <c r="AC113" s="210"/>
      <c r="AD113" s="210"/>
      <c r="AE113" s="210"/>
      <c r="AF113" s="210"/>
      <c r="AG113" s="210"/>
      <c r="AH113" s="210"/>
      <c r="AI113" s="93"/>
      <c r="AJ113" s="93">
        <f t="shared" ca="1" si="5"/>
        <v>0</v>
      </c>
      <c r="AK113" s="93">
        <f t="shared" ca="1" si="6"/>
        <v>0</v>
      </c>
      <c r="AL113" s="213"/>
      <c r="AM113" s="213"/>
      <c r="AN113" s="213"/>
      <c r="AO113" s="213"/>
      <c r="AP113" s="213"/>
      <c r="AQ113" s="213"/>
      <c r="AR113" s="213"/>
      <c r="AS113" s="213"/>
      <c r="AT113" s="213"/>
      <c r="AU113" s="213"/>
      <c r="AV113" s="213"/>
      <c r="AW113" s="213"/>
      <c r="AX113" s="213"/>
      <c r="AY113" s="213"/>
      <c r="AZ113" s="213"/>
      <c r="BA113" s="213"/>
      <c r="BB113" s="213"/>
      <c r="BC113" s="213"/>
      <c r="BD113" s="213"/>
      <c r="BE113" s="213"/>
      <c r="BF113" s="213"/>
      <c r="BG113" s="213"/>
      <c r="BH113" s="213"/>
      <c r="BI113" s="213"/>
      <c r="BJ113" s="213"/>
      <c r="BK113" s="213"/>
      <c r="BL113" s="213"/>
      <c r="BM113" s="213"/>
      <c r="BN113" s="213"/>
      <c r="BO113" s="213"/>
      <c r="BP113" s="213"/>
      <c r="BQ113" s="213"/>
      <c r="BR113" s="213"/>
      <c r="BS113" s="213"/>
      <c r="BT113" s="213"/>
      <c r="BU113" s="213"/>
      <c r="BV113" s="213"/>
      <c r="BW113" s="213"/>
      <c r="BX113" s="213"/>
    </row>
    <row r="114" spans="1:76" s="209" customFormat="1" ht="22.5" customHeight="1">
      <c r="A114" s="235">
        <v>109</v>
      </c>
      <c r="B114" s="235"/>
      <c r="C114" s="235"/>
      <c r="D114" s="203"/>
      <c r="E114" s="204"/>
      <c r="F114" s="235"/>
      <c r="G114" s="235"/>
      <c r="H114" s="203"/>
      <c r="I114" s="203"/>
      <c r="J114" s="203"/>
      <c r="K114" s="205"/>
      <c r="L114" s="206"/>
      <c r="M114" s="203"/>
      <c r="N114" s="207"/>
      <c r="O114" s="207"/>
      <c r="P114" s="207"/>
      <c r="Q114" s="207"/>
      <c r="R114" s="206"/>
      <c r="S114" s="205"/>
      <c r="T114" s="205"/>
      <c r="U114" s="207"/>
      <c r="V114" s="226"/>
      <c r="W114" s="208"/>
      <c r="X114" s="208"/>
      <c r="Y114" s="208"/>
      <c r="Z114" s="208"/>
      <c r="AA114" s="208"/>
      <c r="AB114" s="210"/>
      <c r="AC114" s="210"/>
      <c r="AD114" s="210"/>
      <c r="AE114" s="210"/>
      <c r="AF114" s="210"/>
      <c r="AG114" s="210"/>
      <c r="AH114" s="210"/>
      <c r="AI114" s="93"/>
      <c r="AJ114" s="93">
        <f t="shared" ca="1" si="5"/>
        <v>0</v>
      </c>
      <c r="AK114" s="93">
        <f t="shared" ca="1" si="6"/>
        <v>0</v>
      </c>
      <c r="AL114" s="213"/>
      <c r="AM114" s="213"/>
      <c r="AN114" s="213"/>
      <c r="AO114" s="213"/>
      <c r="AP114" s="213"/>
      <c r="AQ114" s="213"/>
      <c r="AR114" s="213"/>
      <c r="AS114" s="213"/>
      <c r="AT114" s="213"/>
      <c r="AU114" s="213"/>
      <c r="AV114" s="213"/>
      <c r="AW114" s="213"/>
      <c r="AX114" s="213"/>
      <c r="AY114" s="213"/>
      <c r="AZ114" s="213"/>
      <c r="BA114" s="213"/>
      <c r="BB114" s="213"/>
      <c r="BC114" s="213"/>
      <c r="BD114" s="213"/>
      <c r="BE114" s="213"/>
      <c r="BF114" s="213"/>
      <c r="BG114" s="213"/>
      <c r="BH114" s="213"/>
      <c r="BI114" s="213"/>
      <c r="BJ114" s="213"/>
      <c r="BK114" s="213"/>
      <c r="BL114" s="213"/>
      <c r="BM114" s="213"/>
      <c r="BN114" s="213"/>
      <c r="BO114" s="213"/>
      <c r="BP114" s="213"/>
      <c r="BQ114" s="213"/>
      <c r="BR114" s="213"/>
      <c r="BS114" s="213"/>
      <c r="BT114" s="213"/>
      <c r="BU114" s="213"/>
      <c r="BV114" s="213"/>
      <c r="BW114" s="213"/>
      <c r="BX114" s="213"/>
    </row>
    <row r="115" spans="1:76" s="209" customFormat="1" ht="22.5" customHeight="1">
      <c r="A115" s="235">
        <v>110</v>
      </c>
      <c r="B115" s="235"/>
      <c r="C115" s="235"/>
      <c r="D115" s="203"/>
      <c r="E115" s="204"/>
      <c r="F115" s="235"/>
      <c r="G115" s="235"/>
      <c r="H115" s="203"/>
      <c r="I115" s="203"/>
      <c r="J115" s="203"/>
      <c r="K115" s="205"/>
      <c r="L115" s="206"/>
      <c r="M115" s="203"/>
      <c r="N115" s="207"/>
      <c r="O115" s="207"/>
      <c r="P115" s="207"/>
      <c r="Q115" s="207"/>
      <c r="R115" s="206"/>
      <c r="S115" s="205"/>
      <c r="T115" s="205"/>
      <c r="U115" s="207"/>
      <c r="V115" s="226"/>
      <c r="W115" s="208"/>
      <c r="X115" s="208"/>
      <c r="Y115" s="208"/>
      <c r="Z115" s="208"/>
      <c r="AA115" s="208"/>
      <c r="AB115" s="210"/>
      <c r="AC115" s="210"/>
      <c r="AD115" s="210"/>
      <c r="AE115" s="210"/>
      <c r="AF115" s="210"/>
      <c r="AG115" s="210"/>
      <c r="AH115" s="210"/>
      <c r="AI115" s="93"/>
      <c r="AJ115" s="93">
        <f t="shared" ca="1" si="5"/>
        <v>0</v>
      </c>
      <c r="AK115" s="93">
        <f t="shared" ca="1" si="6"/>
        <v>0</v>
      </c>
      <c r="AL115" s="213"/>
      <c r="AM115" s="213"/>
      <c r="AN115" s="213"/>
      <c r="AO115" s="213"/>
      <c r="AP115" s="213"/>
      <c r="AQ115" s="213"/>
      <c r="AR115" s="213"/>
      <c r="AS115" s="213"/>
      <c r="AT115" s="213"/>
      <c r="AU115" s="213"/>
      <c r="AV115" s="213"/>
      <c r="AW115" s="213"/>
      <c r="AX115" s="213"/>
      <c r="AY115" s="213"/>
      <c r="AZ115" s="213"/>
      <c r="BA115" s="213"/>
      <c r="BB115" s="213"/>
      <c r="BC115" s="213"/>
      <c r="BD115" s="213"/>
      <c r="BE115" s="213"/>
      <c r="BF115" s="213"/>
      <c r="BG115" s="213"/>
      <c r="BH115" s="213"/>
      <c r="BI115" s="213"/>
      <c r="BJ115" s="213"/>
      <c r="BK115" s="213"/>
      <c r="BL115" s="213"/>
      <c r="BM115" s="213"/>
      <c r="BN115" s="213"/>
      <c r="BO115" s="213"/>
      <c r="BP115" s="213"/>
      <c r="BQ115" s="213"/>
      <c r="BR115" s="213"/>
      <c r="BS115" s="213"/>
      <c r="BT115" s="213"/>
      <c r="BU115" s="213"/>
      <c r="BV115" s="213"/>
      <c r="BW115" s="213"/>
      <c r="BX115" s="213"/>
    </row>
    <row r="116" spans="1:76" s="209" customFormat="1" ht="22.5" customHeight="1">
      <c r="A116" s="235">
        <v>111</v>
      </c>
      <c r="B116" s="235"/>
      <c r="C116" s="235"/>
      <c r="D116" s="203"/>
      <c r="E116" s="204"/>
      <c r="F116" s="235"/>
      <c r="G116" s="235"/>
      <c r="H116" s="203"/>
      <c r="I116" s="203"/>
      <c r="J116" s="203"/>
      <c r="K116" s="205"/>
      <c r="L116" s="206"/>
      <c r="M116" s="203"/>
      <c r="N116" s="207"/>
      <c r="O116" s="207"/>
      <c r="P116" s="207"/>
      <c r="Q116" s="207"/>
      <c r="R116" s="206"/>
      <c r="S116" s="205"/>
      <c r="T116" s="205"/>
      <c r="U116" s="207"/>
      <c r="V116" s="226"/>
      <c r="W116" s="208"/>
      <c r="X116" s="208"/>
      <c r="Y116" s="208"/>
      <c r="Z116" s="208"/>
      <c r="AA116" s="208"/>
      <c r="AB116" s="210"/>
      <c r="AC116" s="210"/>
      <c r="AD116" s="210"/>
      <c r="AE116" s="210"/>
      <c r="AF116" s="210"/>
      <c r="AG116" s="210"/>
      <c r="AH116" s="210"/>
      <c r="AI116" s="93"/>
      <c r="AJ116" s="93">
        <f t="shared" ca="1" si="5"/>
        <v>0</v>
      </c>
      <c r="AK116" s="93">
        <f t="shared" ca="1" si="6"/>
        <v>0</v>
      </c>
      <c r="AL116" s="213"/>
      <c r="AM116" s="213"/>
      <c r="AN116" s="213"/>
      <c r="AO116" s="213"/>
      <c r="AP116" s="213"/>
      <c r="AQ116" s="213"/>
      <c r="AR116" s="213"/>
      <c r="AS116" s="213"/>
      <c r="AT116" s="213"/>
      <c r="AU116" s="213"/>
      <c r="AV116" s="213"/>
      <c r="AW116" s="213"/>
      <c r="AX116" s="213"/>
      <c r="AY116" s="213"/>
      <c r="AZ116" s="213"/>
      <c r="BA116" s="213"/>
      <c r="BB116" s="213"/>
      <c r="BC116" s="213"/>
      <c r="BD116" s="213"/>
      <c r="BE116" s="213"/>
      <c r="BF116" s="213"/>
      <c r="BG116" s="213"/>
      <c r="BH116" s="213"/>
      <c r="BI116" s="213"/>
      <c r="BJ116" s="213"/>
      <c r="BK116" s="213"/>
      <c r="BL116" s="213"/>
      <c r="BM116" s="213"/>
      <c r="BN116" s="213"/>
      <c r="BO116" s="213"/>
      <c r="BP116" s="213"/>
      <c r="BQ116" s="213"/>
      <c r="BR116" s="213"/>
      <c r="BS116" s="213"/>
      <c r="BT116" s="213"/>
      <c r="BU116" s="213"/>
      <c r="BV116" s="213"/>
      <c r="BW116" s="213"/>
      <c r="BX116" s="213"/>
    </row>
    <row r="117" spans="1:76" s="209" customFormat="1" ht="22.5" customHeight="1">
      <c r="A117" s="235">
        <v>112</v>
      </c>
      <c r="B117" s="235"/>
      <c r="C117" s="235"/>
      <c r="D117" s="203"/>
      <c r="E117" s="204"/>
      <c r="F117" s="235"/>
      <c r="G117" s="235"/>
      <c r="H117" s="203"/>
      <c r="I117" s="203"/>
      <c r="J117" s="203"/>
      <c r="K117" s="205"/>
      <c r="L117" s="206"/>
      <c r="M117" s="203"/>
      <c r="N117" s="207"/>
      <c r="O117" s="207"/>
      <c r="P117" s="207"/>
      <c r="Q117" s="207"/>
      <c r="R117" s="206"/>
      <c r="S117" s="205"/>
      <c r="T117" s="205"/>
      <c r="U117" s="207"/>
      <c r="V117" s="226"/>
      <c r="W117" s="208"/>
      <c r="X117" s="208"/>
      <c r="Y117" s="208"/>
      <c r="Z117" s="208"/>
      <c r="AA117" s="208"/>
      <c r="AB117" s="210"/>
      <c r="AC117" s="210"/>
      <c r="AD117" s="210"/>
      <c r="AE117" s="210"/>
      <c r="AF117" s="210"/>
      <c r="AG117" s="210"/>
      <c r="AH117" s="210"/>
      <c r="AI117" s="93"/>
      <c r="AJ117" s="93">
        <f t="shared" ca="1" si="5"/>
        <v>0</v>
      </c>
      <c r="AK117" s="93">
        <f t="shared" ca="1" si="6"/>
        <v>0</v>
      </c>
      <c r="AL117" s="213"/>
      <c r="AM117" s="213"/>
      <c r="AN117" s="213"/>
      <c r="AO117" s="213"/>
      <c r="AP117" s="213"/>
      <c r="AQ117" s="213"/>
      <c r="AR117" s="213"/>
      <c r="AS117" s="213"/>
      <c r="AT117" s="213"/>
      <c r="AU117" s="213"/>
      <c r="AV117" s="213"/>
      <c r="AW117" s="213"/>
      <c r="AX117" s="213"/>
      <c r="AY117" s="213"/>
      <c r="AZ117" s="213"/>
      <c r="BA117" s="213"/>
      <c r="BB117" s="213"/>
      <c r="BC117" s="213"/>
      <c r="BD117" s="213"/>
      <c r="BE117" s="213"/>
      <c r="BF117" s="213"/>
      <c r="BG117" s="213"/>
      <c r="BH117" s="213"/>
      <c r="BI117" s="213"/>
      <c r="BJ117" s="213"/>
      <c r="BK117" s="213"/>
      <c r="BL117" s="213"/>
      <c r="BM117" s="213"/>
      <c r="BN117" s="213"/>
      <c r="BO117" s="213"/>
      <c r="BP117" s="213"/>
      <c r="BQ117" s="213"/>
      <c r="BR117" s="213"/>
      <c r="BS117" s="213"/>
      <c r="BT117" s="213"/>
      <c r="BU117" s="213"/>
      <c r="BV117" s="213"/>
      <c r="BW117" s="213"/>
      <c r="BX117" s="213"/>
    </row>
    <row r="118" spans="1:76" s="209" customFormat="1" ht="22.5" customHeight="1">
      <c r="A118" s="235">
        <v>113</v>
      </c>
      <c r="B118" s="235"/>
      <c r="C118" s="235"/>
      <c r="D118" s="203"/>
      <c r="E118" s="204"/>
      <c r="F118" s="235"/>
      <c r="G118" s="235"/>
      <c r="H118" s="203"/>
      <c r="I118" s="203"/>
      <c r="J118" s="203"/>
      <c r="K118" s="205"/>
      <c r="L118" s="206"/>
      <c r="M118" s="203"/>
      <c r="N118" s="207"/>
      <c r="O118" s="207"/>
      <c r="P118" s="207"/>
      <c r="Q118" s="207"/>
      <c r="R118" s="206"/>
      <c r="S118" s="205"/>
      <c r="T118" s="205"/>
      <c r="U118" s="207"/>
      <c r="V118" s="226"/>
      <c r="W118" s="208"/>
      <c r="X118" s="208"/>
      <c r="Y118" s="208"/>
      <c r="Z118" s="208"/>
      <c r="AA118" s="208"/>
      <c r="AB118" s="210"/>
      <c r="AC118" s="210"/>
      <c r="AD118" s="210"/>
      <c r="AE118" s="210"/>
      <c r="AF118" s="210"/>
      <c r="AG118" s="210"/>
      <c r="AH118" s="210"/>
      <c r="AI118" s="93"/>
      <c r="AJ118" s="93">
        <f t="shared" ca="1" si="5"/>
        <v>0</v>
      </c>
      <c r="AK118" s="93">
        <f t="shared" ca="1" si="6"/>
        <v>0</v>
      </c>
      <c r="AL118" s="213"/>
      <c r="AM118" s="213"/>
      <c r="AN118" s="213"/>
      <c r="AO118" s="213"/>
      <c r="AP118" s="213"/>
      <c r="AQ118" s="213"/>
      <c r="AR118" s="213"/>
      <c r="AS118" s="213"/>
      <c r="AT118" s="213"/>
      <c r="AU118" s="213"/>
      <c r="AV118" s="213"/>
      <c r="AW118" s="213"/>
      <c r="AX118" s="213"/>
      <c r="AY118" s="213"/>
      <c r="AZ118" s="213"/>
      <c r="BA118" s="213"/>
      <c r="BB118" s="213"/>
      <c r="BC118" s="213"/>
      <c r="BD118" s="213"/>
      <c r="BE118" s="213"/>
      <c r="BF118" s="213"/>
      <c r="BG118" s="213"/>
      <c r="BH118" s="213"/>
      <c r="BI118" s="213"/>
      <c r="BJ118" s="213"/>
      <c r="BK118" s="213"/>
      <c r="BL118" s="213"/>
      <c r="BM118" s="213"/>
      <c r="BN118" s="213"/>
      <c r="BO118" s="213"/>
      <c r="BP118" s="213"/>
      <c r="BQ118" s="213"/>
      <c r="BR118" s="213"/>
      <c r="BS118" s="213"/>
      <c r="BT118" s="213"/>
      <c r="BU118" s="213"/>
      <c r="BV118" s="213"/>
      <c r="BW118" s="213"/>
      <c r="BX118" s="213"/>
    </row>
    <row r="119" spans="1:76" s="209" customFormat="1" ht="22.5" customHeight="1">
      <c r="A119" s="235">
        <v>114</v>
      </c>
      <c r="B119" s="235"/>
      <c r="C119" s="235"/>
      <c r="D119" s="203"/>
      <c r="E119" s="204"/>
      <c r="F119" s="235"/>
      <c r="G119" s="235"/>
      <c r="H119" s="203"/>
      <c r="I119" s="203"/>
      <c r="J119" s="203"/>
      <c r="K119" s="205"/>
      <c r="L119" s="206"/>
      <c r="M119" s="203"/>
      <c r="N119" s="207"/>
      <c r="O119" s="207"/>
      <c r="P119" s="207"/>
      <c r="Q119" s="207"/>
      <c r="R119" s="206"/>
      <c r="S119" s="205"/>
      <c r="T119" s="205"/>
      <c r="U119" s="207"/>
      <c r="V119" s="226"/>
      <c r="W119" s="208"/>
      <c r="X119" s="208"/>
      <c r="Y119" s="208"/>
      <c r="Z119" s="208"/>
      <c r="AA119" s="208"/>
      <c r="AB119" s="210"/>
      <c r="AC119" s="210"/>
      <c r="AD119" s="210"/>
      <c r="AE119" s="210"/>
      <c r="AF119" s="210"/>
      <c r="AG119" s="210"/>
      <c r="AH119" s="210"/>
      <c r="AI119" s="93"/>
      <c r="AJ119" s="93">
        <f t="shared" ca="1" si="5"/>
        <v>0</v>
      </c>
      <c r="AK119" s="93">
        <f t="shared" ca="1" si="6"/>
        <v>0</v>
      </c>
      <c r="AL119" s="213"/>
      <c r="AM119" s="213"/>
      <c r="AN119" s="213"/>
      <c r="AO119" s="213"/>
      <c r="AP119" s="213"/>
      <c r="AQ119" s="213"/>
      <c r="AR119" s="213"/>
      <c r="AS119" s="213"/>
      <c r="AT119" s="213"/>
      <c r="AU119" s="213"/>
      <c r="AV119" s="213"/>
      <c r="AW119" s="213"/>
      <c r="AX119" s="213"/>
      <c r="AY119" s="213"/>
      <c r="AZ119" s="213"/>
      <c r="BA119" s="213"/>
      <c r="BB119" s="213"/>
      <c r="BC119" s="213"/>
      <c r="BD119" s="213"/>
      <c r="BE119" s="213"/>
      <c r="BF119" s="213"/>
      <c r="BG119" s="213"/>
      <c r="BH119" s="213"/>
      <c r="BI119" s="213"/>
      <c r="BJ119" s="213"/>
      <c r="BK119" s="213"/>
      <c r="BL119" s="213"/>
      <c r="BM119" s="213"/>
      <c r="BN119" s="213"/>
      <c r="BO119" s="213"/>
      <c r="BP119" s="213"/>
      <c r="BQ119" s="213"/>
      <c r="BR119" s="213"/>
      <c r="BS119" s="213"/>
      <c r="BT119" s="213"/>
      <c r="BU119" s="213"/>
      <c r="BV119" s="213"/>
      <c r="BW119" s="213"/>
      <c r="BX119" s="213"/>
    </row>
    <row r="120" spans="1:76" s="209" customFormat="1" ht="22.5" customHeight="1">
      <c r="A120" s="235">
        <v>115</v>
      </c>
      <c r="B120" s="235"/>
      <c r="C120" s="235"/>
      <c r="D120" s="203"/>
      <c r="E120" s="204"/>
      <c r="F120" s="235"/>
      <c r="G120" s="235"/>
      <c r="H120" s="203"/>
      <c r="I120" s="203"/>
      <c r="J120" s="203"/>
      <c r="K120" s="205"/>
      <c r="L120" s="206"/>
      <c r="M120" s="203"/>
      <c r="N120" s="207"/>
      <c r="O120" s="207"/>
      <c r="P120" s="207"/>
      <c r="Q120" s="207"/>
      <c r="R120" s="206"/>
      <c r="S120" s="205"/>
      <c r="T120" s="205"/>
      <c r="U120" s="207"/>
      <c r="V120" s="226"/>
      <c r="W120" s="208"/>
      <c r="X120" s="208"/>
      <c r="Y120" s="208"/>
      <c r="Z120" s="208"/>
      <c r="AA120" s="208"/>
      <c r="AB120" s="210"/>
      <c r="AC120" s="210"/>
      <c r="AD120" s="210"/>
      <c r="AE120" s="210"/>
      <c r="AF120" s="210"/>
      <c r="AG120" s="210"/>
      <c r="AH120" s="210"/>
      <c r="AI120" s="93"/>
      <c r="AJ120" s="93">
        <f t="shared" ca="1" si="5"/>
        <v>0</v>
      </c>
      <c r="AK120" s="93">
        <f t="shared" ca="1" si="6"/>
        <v>0</v>
      </c>
      <c r="AL120" s="213"/>
      <c r="AM120" s="213"/>
      <c r="AN120" s="213"/>
      <c r="AO120" s="213"/>
      <c r="AP120" s="213"/>
      <c r="AQ120" s="213"/>
      <c r="AR120" s="213"/>
      <c r="AS120" s="213"/>
      <c r="AT120" s="213"/>
      <c r="AU120" s="213"/>
      <c r="AV120" s="213"/>
      <c r="AW120" s="213"/>
      <c r="AX120" s="213"/>
      <c r="AY120" s="213"/>
      <c r="AZ120" s="213"/>
      <c r="BA120" s="213"/>
      <c r="BB120" s="213"/>
      <c r="BC120" s="213"/>
      <c r="BD120" s="213"/>
      <c r="BE120" s="213"/>
      <c r="BF120" s="213"/>
      <c r="BG120" s="213"/>
      <c r="BH120" s="213"/>
      <c r="BI120" s="213"/>
      <c r="BJ120" s="213"/>
      <c r="BK120" s="213"/>
      <c r="BL120" s="213"/>
      <c r="BM120" s="213"/>
      <c r="BN120" s="213"/>
      <c r="BO120" s="213"/>
      <c r="BP120" s="213"/>
      <c r="BQ120" s="213"/>
      <c r="BR120" s="213"/>
      <c r="BS120" s="213"/>
      <c r="BT120" s="213"/>
      <c r="BU120" s="213"/>
      <c r="BV120" s="213"/>
      <c r="BW120" s="213"/>
      <c r="BX120" s="213"/>
    </row>
    <row r="121" spans="1:76" s="209" customFormat="1" ht="22.5" customHeight="1">
      <c r="A121" s="235">
        <v>116</v>
      </c>
      <c r="B121" s="235"/>
      <c r="C121" s="235"/>
      <c r="D121" s="203"/>
      <c r="E121" s="204"/>
      <c r="F121" s="235"/>
      <c r="G121" s="235"/>
      <c r="H121" s="203"/>
      <c r="I121" s="203"/>
      <c r="J121" s="203"/>
      <c r="K121" s="205"/>
      <c r="L121" s="206"/>
      <c r="M121" s="203"/>
      <c r="N121" s="207"/>
      <c r="O121" s="207"/>
      <c r="P121" s="207"/>
      <c r="Q121" s="207"/>
      <c r="R121" s="206"/>
      <c r="S121" s="205"/>
      <c r="T121" s="205"/>
      <c r="U121" s="207"/>
      <c r="V121" s="226"/>
      <c r="W121" s="208"/>
      <c r="X121" s="208"/>
      <c r="Y121" s="208"/>
      <c r="Z121" s="208"/>
      <c r="AA121" s="208"/>
      <c r="AB121" s="210"/>
      <c r="AC121" s="210"/>
      <c r="AD121" s="210"/>
      <c r="AE121" s="210"/>
      <c r="AF121" s="210"/>
      <c r="AG121" s="210"/>
      <c r="AH121" s="210"/>
      <c r="AI121" s="93"/>
      <c r="AJ121" s="93">
        <f t="shared" ca="1" si="5"/>
        <v>0</v>
      </c>
      <c r="AK121" s="93">
        <f t="shared" ca="1" si="6"/>
        <v>0</v>
      </c>
      <c r="AL121" s="213"/>
      <c r="AM121" s="213"/>
      <c r="AN121" s="213"/>
      <c r="AO121" s="213"/>
      <c r="AP121" s="213"/>
      <c r="AQ121" s="213"/>
      <c r="AR121" s="213"/>
      <c r="AS121" s="213"/>
      <c r="AT121" s="213"/>
      <c r="AU121" s="213"/>
      <c r="AV121" s="213"/>
      <c r="AW121" s="213"/>
      <c r="AX121" s="213"/>
      <c r="AY121" s="213"/>
      <c r="AZ121" s="213"/>
      <c r="BA121" s="213"/>
      <c r="BB121" s="213"/>
      <c r="BC121" s="213"/>
      <c r="BD121" s="213"/>
      <c r="BE121" s="213"/>
      <c r="BF121" s="213"/>
      <c r="BG121" s="213"/>
      <c r="BH121" s="213"/>
      <c r="BI121" s="213"/>
      <c r="BJ121" s="213"/>
      <c r="BK121" s="213"/>
      <c r="BL121" s="213"/>
      <c r="BM121" s="213"/>
      <c r="BN121" s="213"/>
      <c r="BO121" s="213"/>
      <c r="BP121" s="213"/>
      <c r="BQ121" s="213"/>
      <c r="BR121" s="213"/>
      <c r="BS121" s="213"/>
      <c r="BT121" s="213"/>
      <c r="BU121" s="213"/>
      <c r="BV121" s="213"/>
      <c r="BW121" s="213"/>
      <c r="BX121" s="213"/>
    </row>
    <row r="122" spans="1:76" s="209" customFormat="1" ht="22.5" customHeight="1">
      <c r="A122" s="235">
        <v>117</v>
      </c>
      <c r="B122" s="235"/>
      <c r="C122" s="235"/>
      <c r="D122" s="203"/>
      <c r="E122" s="204"/>
      <c r="F122" s="235"/>
      <c r="G122" s="235"/>
      <c r="H122" s="203"/>
      <c r="I122" s="203"/>
      <c r="J122" s="203"/>
      <c r="K122" s="205"/>
      <c r="L122" s="206"/>
      <c r="M122" s="203"/>
      <c r="N122" s="207"/>
      <c r="O122" s="207"/>
      <c r="P122" s="207"/>
      <c r="Q122" s="207"/>
      <c r="R122" s="206"/>
      <c r="S122" s="205"/>
      <c r="T122" s="205"/>
      <c r="U122" s="207"/>
      <c r="V122" s="226"/>
      <c r="W122" s="208"/>
      <c r="X122" s="208"/>
      <c r="Y122" s="208"/>
      <c r="Z122" s="208"/>
      <c r="AA122" s="208"/>
      <c r="AB122" s="210"/>
      <c r="AC122" s="210"/>
      <c r="AD122" s="210"/>
      <c r="AE122" s="210"/>
      <c r="AF122" s="210"/>
      <c r="AG122" s="210"/>
      <c r="AH122" s="210"/>
      <c r="AI122" s="93"/>
      <c r="AJ122" s="93">
        <f t="shared" ca="1" si="5"/>
        <v>0</v>
      </c>
      <c r="AK122" s="93">
        <f t="shared" ca="1" si="6"/>
        <v>0</v>
      </c>
      <c r="AL122" s="213"/>
      <c r="AM122" s="213"/>
      <c r="AN122" s="213"/>
      <c r="AO122" s="213"/>
      <c r="AP122" s="213"/>
      <c r="AQ122" s="213"/>
      <c r="AR122" s="213"/>
      <c r="AS122" s="213"/>
      <c r="AT122" s="213"/>
      <c r="AU122" s="213"/>
      <c r="AV122" s="213"/>
      <c r="AW122" s="213"/>
      <c r="AX122" s="213"/>
      <c r="AY122" s="213"/>
      <c r="AZ122" s="213"/>
      <c r="BA122" s="213"/>
      <c r="BB122" s="213"/>
      <c r="BC122" s="213"/>
      <c r="BD122" s="213"/>
      <c r="BE122" s="213"/>
      <c r="BF122" s="213"/>
      <c r="BG122" s="213"/>
      <c r="BH122" s="213"/>
      <c r="BI122" s="213"/>
      <c r="BJ122" s="213"/>
      <c r="BK122" s="213"/>
      <c r="BL122" s="213"/>
      <c r="BM122" s="213"/>
      <c r="BN122" s="213"/>
      <c r="BO122" s="213"/>
      <c r="BP122" s="213"/>
      <c r="BQ122" s="213"/>
      <c r="BR122" s="213"/>
      <c r="BS122" s="213"/>
      <c r="BT122" s="213"/>
      <c r="BU122" s="213"/>
      <c r="BV122" s="213"/>
      <c r="BW122" s="213"/>
      <c r="BX122" s="213"/>
    </row>
    <row r="123" spans="1:76" s="209" customFormat="1" ht="22.5" customHeight="1">
      <c r="A123" s="235">
        <v>118</v>
      </c>
      <c r="B123" s="235"/>
      <c r="C123" s="235"/>
      <c r="D123" s="203"/>
      <c r="E123" s="204"/>
      <c r="F123" s="235"/>
      <c r="G123" s="235"/>
      <c r="H123" s="203"/>
      <c r="I123" s="203"/>
      <c r="J123" s="203"/>
      <c r="K123" s="205"/>
      <c r="L123" s="206"/>
      <c r="M123" s="203"/>
      <c r="N123" s="207"/>
      <c r="O123" s="207"/>
      <c r="P123" s="207"/>
      <c r="Q123" s="207"/>
      <c r="R123" s="206"/>
      <c r="S123" s="205"/>
      <c r="T123" s="205"/>
      <c r="U123" s="207"/>
      <c r="V123" s="226"/>
      <c r="W123" s="208"/>
      <c r="X123" s="208"/>
      <c r="Y123" s="208"/>
      <c r="Z123" s="208"/>
      <c r="AA123" s="208"/>
      <c r="AB123" s="210"/>
      <c r="AC123" s="210"/>
      <c r="AD123" s="210"/>
      <c r="AE123" s="210"/>
      <c r="AF123" s="210"/>
      <c r="AG123" s="210"/>
      <c r="AH123" s="210"/>
      <c r="AI123" s="93"/>
      <c r="AJ123" s="93">
        <f t="shared" ca="1" si="5"/>
        <v>0</v>
      </c>
      <c r="AK123" s="93">
        <f t="shared" ca="1" si="6"/>
        <v>0</v>
      </c>
      <c r="AL123" s="213"/>
      <c r="AM123" s="213"/>
      <c r="AN123" s="213"/>
      <c r="AO123" s="213"/>
      <c r="AP123" s="213"/>
      <c r="AQ123" s="213"/>
      <c r="AR123" s="213"/>
      <c r="AS123" s="213"/>
      <c r="AT123" s="213"/>
      <c r="AU123" s="213"/>
      <c r="AV123" s="213"/>
      <c r="AW123" s="213"/>
      <c r="AX123" s="213"/>
      <c r="AY123" s="213"/>
      <c r="AZ123" s="213"/>
      <c r="BA123" s="213"/>
      <c r="BB123" s="213"/>
      <c r="BC123" s="213"/>
      <c r="BD123" s="213"/>
      <c r="BE123" s="213"/>
      <c r="BF123" s="213"/>
      <c r="BG123" s="213"/>
      <c r="BH123" s="213"/>
      <c r="BI123" s="213"/>
      <c r="BJ123" s="213"/>
      <c r="BK123" s="213"/>
      <c r="BL123" s="213"/>
      <c r="BM123" s="213"/>
      <c r="BN123" s="213"/>
      <c r="BO123" s="213"/>
      <c r="BP123" s="213"/>
      <c r="BQ123" s="213"/>
      <c r="BR123" s="213"/>
      <c r="BS123" s="213"/>
      <c r="BT123" s="213"/>
      <c r="BU123" s="213"/>
      <c r="BV123" s="213"/>
      <c r="BW123" s="213"/>
      <c r="BX123" s="213"/>
    </row>
    <row r="124" spans="1:76" s="209" customFormat="1" ht="22.5" customHeight="1">
      <c r="A124" s="235">
        <v>119</v>
      </c>
      <c r="B124" s="235"/>
      <c r="C124" s="235"/>
      <c r="D124" s="203"/>
      <c r="E124" s="204"/>
      <c r="F124" s="235"/>
      <c r="G124" s="235"/>
      <c r="H124" s="203"/>
      <c r="I124" s="203"/>
      <c r="J124" s="203"/>
      <c r="K124" s="205"/>
      <c r="L124" s="206"/>
      <c r="M124" s="203"/>
      <c r="N124" s="207"/>
      <c r="O124" s="207"/>
      <c r="P124" s="207"/>
      <c r="Q124" s="207"/>
      <c r="R124" s="206"/>
      <c r="S124" s="205"/>
      <c r="T124" s="205"/>
      <c r="U124" s="207"/>
      <c r="V124" s="226"/>
      <c r="W124" s="208"/>
      <c r="X124" s="208"/>
      <c r="Y124" s="208"/>
      <c r="Z124" s="208"/>
      <c r="AA124" s="208"/>
      <c r="AB124" s="210"/>
      <c r="AC124" s="210"/>
      <c r="AD124" s="210"/>
      <c r="AE124" s="210"/>
      <c r="AF124" s="210"/>
      <c r="AG124" s="210"/>
      <c r="AH124" s="210"/>
      <c r="AI124" s="93"/>
      <c r="AJ124" s="93">
        <f t="shared" ca="1" si="5"/>
        <v>0</v>
      </c>
      <c r="AK124" s="93">
        <f t="shared" ca="1" si="6"/>
        <v>0</v>
      </c>
      <c r="AL124" s="213"/>
      <c r="AM124" s="213"/>
      <c r="AN124" s="213"/>
      <c r="AO124" s="213"/>
      <c r="AP124" s="213"/>
      <c r="AQ124" s="213"/>
      <c r="AR124" s="213"/>
      <c r="AS124" s="213"/>
      <c r="AT124" s="213"/>
      <c r="AU124" s="213"/>
      <c r="AV124" s="213"/>
      <c r="AW124" s="213"/>
      <c r="AX124" s="213"/>
      <c r="AY124" s="213"/>
      <c r="AZ124" s="213"/>
      <c r="BA124" s="213"/>
      <c r="BB124" s="213"/>
      <c r="BC124" s="213"/>
      <c r="BD124" s="213"/>
      <c r="BE124" s="213"/>
      <c r="BF124" s="213"/>
      <c r="BG124" s="213"/>
      <c r="BH124" s="213"/>
      <c r="BI124" s="213"/>
      <c r="BJ124" s="213"/>
      <c r="BK124" s="213"/>
      <c r="BL124" s="213"/>
      <c r="BM124" s="213"/>
      <c r="BN124" s="213"/>
      <c r="BO124" s="213"/>
      <c r="BP124" s="213"/>
      <c r="BQ124" s="213"/>
      <c r="BR124" s="213"/>
      <c r="BS124" s="213"/>
      <c r="BT124" s="213"/>
      <c r="BU124" s="213"/>
      <c r="BV124" s="213"/>
      <c r="BW124" s="213"/>
      <c r="BX124" s="213"/>
    </row>
    <row r="125" spans="1:76" s="209" customFormat="1" ht="22.5" customHeight="1">
      <c r="A125" s="235">
        <v>120</v>
      </c>
      <c r="B125" s="235"/>
      <c r="C125" s="235"/>
      <c r="D125" s="203"/>
      <c r="E125" s="204"/>
      <c r="F125" s="235"/>
      <c r="G125" s="235"/>
      <c r="H125" s="203"/>
      <c r="I125" s="203"/>
      <c r="J125" s="203"/>
      <c r="K125" s="205"/>
      <c r="L125" s="206"/>
      <c r="M125" s="203"/>
      <c r="N125" s="207"/>
      <c r="O125" s="207"/>
      <c r="P125" s="207"/>
      <c r="Q125" s="207"/>
      <c r="R125" s="206"/>
      <c r="S125" s="205"/>
      <c r="T125" s="205"/>
      <c r="U125" s="207"/>
      <c r="V125" s="226"/>
      <c r="W125" s="208"/>
      <c r="X125" s="208"/>
      <c r="Y125" s="208"/>
      <c r="Z125" s="208"/>
      <c r="AA125" s="208"/>
      <c r="AB125" s="210"/>
      <c r="AC125" s="210"/>
      <c r="AD125" s="210"/>
      <c r="AE125" s="210"/>
      <c r="AF125" s="210"/>
      <c r="AG125" s="210"/>
      <c r="AH125" s="210"/>
      <c r="AI125" s="93"/>
      <c r="AJ125" s="93">
        <f t="shared" ca="1" si="5"/>
        <v>0</v>
      </c>
      <c r="AK125" s="93">
        <f t="shared" ca="1" si="6"/>
        <v>0</v>
      </c>
      <c r="AL125" s="213"/>
      <c r="AM125" s="213"/>
      <c r="AN125" s="213"/>
      <c r="AO125" s="213"/>
      <c r="AP125" s="213"/>
      <c r="AQ125" s="213"/>
      <c r="AR125" s="213"/>
      <c r="AS125" s="213"/>
      <c r="AT125" s="213"/>
      <c r="AU125" s="213"/>
      <c r="AV125" s="213"/>
      <c r="AW125" s="213"/>
      <c r="AX125" s="213"/>
      <c r="AY125" s="213"/>
      <c r="AZ125" s="213"/>
      <c r="BA125" s="213"/>
      <c r="BB125" s="213"/>
      <c r="BC125" s="213"/>
      <c r="BD125" s="213"/>
      <c r="BE125" s="213"/>
      <c r="BF125" s="213"/>
      <c r="BG125" s="213"/>
      <c r="BH125" s="213"/>
      <c r="BI125" s="213"/>
      <c r="BJ125" s="213"/>
      <c r="BK125" s="213"/>
      <c r="BL125" s="213"/>
      <c r="BM125" s="213"/>
      <c r="BN125" s="213"/>
      <c r="BO125" s="213"/>
      <c r="BP125" s="213"/>
      <c r="BQ125" s="213"/>
      <c r="BR125" s="213"/>
      <c r="BS125" s="213"/>
      <c r="BT125" s="213"/>
      <c r="BU125" s="213"/>
      <c r="BV125" s="213"/>
      <c r="BW125" s="213"/>
      <c r="BX125" s="213"/>
    </row>
    <row r="126" spans="1:76" s="209" customFormat="1" ht="22.5" customHeight="1">
      <c r="A126" s="235">
        <v>121</v>
      </c>
      <c r="B126" s="235"/>
      <c r="C126" s="235"/>
      <c r="D126" s="203"/>
      <c r="E126" s="204"/>
      <c r="F126" s="235"/>
      <c r="G126" s="235"/>
      <c r="H126" s="203"/>
      <c r="I126" s="203"/>
      <c r="J126" s="203"/>
      <c r="K126" s="205"/>
      <c r="L126" s="206"/>
      <c r="M126" s="203"/>
      <c r="N126" s="207"/>
      <c r="O126" s="207"/>
      <c r="P126" s="207"/>
      <c r="Q126" s="207"/>
      <c r="R126" s="206"/>
      <c r="S126" s="205"/>
      <c r="T126" s="205"/>
      <c r="U126" s="207"/>
      <c r="V126" s="226"/>
      <c r="W126" s="208"/>
      <c r="X126" s="208"/>
      <c r="Y126" s="208"/>
      <c r="Z126" s="208"/>
      <c r="AA126" s="208"/>
      <c r="AB126" s="210"/>
      <c r="AC126" s="210"/>
      <c r="AD126" s="210"/>
      <c r="AE126" s="210"/>
      <c r="AF126" s="210"/>
      <c r="AG126" s="210"/>
      <c r="AH126" s="210"/>
      <c r="AI126" s="93"/>
      <c r="AJ126" s="93">
        <f t="shared" ca="1" si="5"/>
        <v>0</v>
      </c>
      <c r="AK126" s="93">
        <f t="shared" ca="1" si="6"/>
        <v>0</v>
      </c>
      <c r="AL126" s="213"/>
      <c r="AM126" s="213"/>
      <c r="AN126" s="213"/>
      <c r="AO126" s="213"/>
      <c r="AP126" s="213"/>
      <c r="AQ126" s="213"/>
      <c r="AR126" s="213"/>
      <c r="AS126" s="213"/>
      <c r="AT126" s="213"/>
      <c r="AU126" s="213"/>
      <c r="AV126" s="213"/>
      <c r="AW126" s="213"/>
      <c r="AX126" s="213"/>
      <c r="AY126" s="213"/>
      <c r="AZ126" s="213"/>
      <c r="BA126" s="213"/>
      <c r="BB126" s="213"/>
      <c r="BC126" s="213"/>
      <c r="BD126" s="213"/>
      <c r="BE126" s="213"/>
      <c r="BF126" s="213"/>
      <c r="BG126" s="213"/>
      <c r="BH126" s="213"/>
      <c r="BI126" s="213"/>
      <c r="BJ126" s="213"/>
      <c r="BK126" s="213"/>
      <c r="BL126" s="213"/>
      <c r="BM126" s="213"/>
      <c r="BN126" s="213"/>
      <c r="BO126" s="213"/>
      <c r="BP126" s="213"/>
      <c r="BQ126" s="213"/>
      <c r="BR126" s="213"/>
      <c r="BS126" s="213"/>
      <c r="BT126" s="213"/>
      <c r="BU126" s="213"/>
      <c r="BV126" s="213"/>
      <c r="BW126" s="213"/>
      <c r="BX126" s="213"/>
    </row>
    <row r="127" spans="1:76" s="209" customFormat="1" ht="22.5" customHeight="1">
      <c r="A127" s="235">
        <v>122</v>
      </c>
      <c r="B127" s="235"/>
      <c r="C127" s="235"/>
      <c r="D127" s="203"/>
      <c r="E127" s="204"/>
      <c r="F127" s="235"/>
      <c r="G127" s="235"/>
      <c r="H127" s="203"/>
      <c r="I127" s="203"/>
      <c r="J127" s="203"/>
      <c r="K127" s="205"/>
      <c r="L127" s="206"/>
      <c r="M127" s="203"/>
      <c r="N127" s="207"/>
      <c r="O127" s="207"/>
      <c r="P127" s="207"/>
      <c r="Q127" s="207"/>
      <c r="R127" s="206"/>
      <c r="S127" s="205"/>
      <c r="T127" s="205"/>
      <c r="U127" s="207"/>
      <c r="V127" s="226"/>
      <c r="W127" s="208"/>
      <c r="X127" s="208"/>
      <c r="Y127" s="208"/>
      <c r="Z127" s="208"/>
      <c r="AA127" s="208"/>
      <c r="AB127" s="210"/>
      <c r="AC127" s="210"/>
      <c r="AD127" s="210"/>
      <c r="AE127" s="210"/>
      <c r="AF127" s="210"/>
      <c r="AG127" s="210"/>
      <c r="AH127" s="210"/>
      <c r="AI127" s="93"/>
      <c r="AJ127" s="93">
        <f t="shared" ca="1" si="5"/>
        <v>0</v>
      </c>
      <c r="AK127" s="93">
        <f t="shared" ca="1" si="6"/>
        <v>0</v>
      </c>
      <c r="AL127" s="213"/>
      <c r="AM127" s="213"/>
      <c r="AN127" s="213"/>
      <c r="AO127" s="213"/>
      <c r="AP127" s="213"/>
      <c r="AQ127" s="213"/>
      <c r="AR127" s="213"/>
      <c r="AS127" s="213"/>
      <c r="AT127" s="213"/>
      <c r="AU127" s="213"/>
      <c r="AV127" s="213"/>
      <c r="AW127" s="213"/>
      <c r="AX127" s="213"/>
      <c r="AY127" s="213"/>
      <c r="AZ127" s="213"/>
      <c r="BA127" s="213"/>
      <c r="BB127" s="213"/>
      <c r="BC127" s="213"/>
      <c r="BD127" s="213"/>
      <c r="BE127" s="213"/>
      <c r="BF127" s="213"/>
      <c r="BG127" s="213"/>
      <c r="BH127" s="213"/>
      <c r="BI127" s="213"/>
      <c r="BJ127" s="213"/>
      <c r="BK127" s="213"/>
      <c r="BL127" s="213"/>
      <c r="BM127" s="213"/>
      <c r="BN127" s="213"/>
      <c r="BO127" s="213"/>
      <c r="BP127" s="213"/>
      <c r="BQ127" s="213"/>
      <c r="BR127" s="213"/>
      <c r="BS127" s="213"/>
      <c r="BT127" s="213"/>
      <c r="BU127" s="213"/>
      <c r="BV127" s="213"/>
      <c r="BW127" s="213"/>
      <c r="BX127" s="213"/>
    </row>
    <row r="128" spans="1:76" s="209" customFormat="1" ht="22.5" customHeight="1">
      <c r="A128" s="235">
        <v>123</v>
      </c>
      <c r="B128" s="235"/>
      <c r="C128" s="235"/>
      <c r="D128" s="203"/>
      <c r="E128" s="204"/>
      <c r="F128" s="235"/>
      <c r="G128" s="235"/>
      <c r="H128" s="203"/>
      <c r="I128" s="203"/>
      <c r="J128" s="203"/>
      <c r="K128" s="205"/>
      <c r="L128" s="206"/>
      <c r="M128" s="203"/>
      <c r="N128" s="207"/>
      <c r="O128" s="207"/>
      <c r="P128" s="207"/>
      <c r="Q128" s="207"/>
      <c r="R128" s="206"/>
      <c r="S128" s="205"/>
      <c r="T128" s="205"/>
      <c r="U128" s="207"/>
      <c r="V128" s="226"/>
      <c r="W128" s="208"/>
      <c r="X128" s="208"/>
      <c r="Y128" s="208"/>
      <c r="Z128" s="208"/>
      <c r="AA128" s="208"/>
      <c r="AB128" s="210"/>
      <c r="AC128" s="210"/>
      <c r="AD128" s="210"/>
      <c r="AE128" s="210"/>
      <c r="AF128" s="210"/>
      <c r="AG128" s="210"/>
      <c r="AH128" s="210"/>
      <c r="AI128" s="93"/>
      <c r="AJ128" s="93">
        <f t="shared" ca="1" si="5"/>
        <v>0</v>
      </c>
      <c r="AK128" s="93">
        <f t="shared" ca="1" si="6"/>
        <v>0</v>
      </c>
      <c r="AL128" s="213"/>
      <c r="AM128" s="213"/>
      <c r="AN128" s="213"/>
      <c r="AO128" s="213"/>
      <c r="AP128" s="213"/>
      <c r="AQ128" s="213"/>
      <c r="AR128" s="213"/>
      <c r="AS128" s="213"/>
      <c r="AT128" s="213"/>
      <c r="AU128" s="213"/>
      <c r="AV128" s="213"/>
      <c r="AW128" s="213"/>
      <c r="AX128" s="213"/>
      <c r="AY128" s="213"/>
      <c r="AZ128" s="213"/>
      <c r="BA128" s="213"/>
      <c r="BB128" s="213"/>
      <c r="BC128" s="213"/>
      <c r="BD128" s="213"/>
      <c r="BE128" s="213"/>
      <c r="BF128" s="213"/>
      <c r="BG128" s="213"/>
      <c r="BH128" s="213"/>
      <c r="BI128" s="213"/>
      <c r="BJ128" s="213"/>
      <c r="BK128" s="213"/>
      <c r="BL128" s="213"/>
      <c r="BM128" s="213"/>
      <c r="BN128" s="213"/>
      <c r="BO128" s="213"/>
      <c r="BP128" s="213"/>
      <c r="BQ128" s="213"/>
      <c r="BR128" s="213"/>
      <c r="BS128" s="213"/>
      <c r="BT128" s="213"/>
      <c r="BU128" s="213"/>
      <c r="BV128" s="213"/>
      <c r="BW128" s="213"/>
      <c r="BX128" s="213"/>
    </row>
    <row r="129" spans="1:76" s="209" customFormat="1" ht="22.5" customHeight="1">
      <c r="A129" s="235">
        <v>124</v>
      </c>
      <c r="B129" s="235"/>
      <c r="C129" s="235"/>
      <c r="D129" s="203"/>
      <c r="E129" s="204"/>
      <c r="F129" s="235"/>
      <c r="G129" s="235"/>
      <c r="H129" s="203"/>
      <c r="I129" s="203"/>
      <c r="J129" s="203"/>
      <c r="K129" s="205"/>
      <c r="L129" s="206"/>
      <c r="M129" s="203"/>
      <c r="N129" s="207"/>
      <c r="O129" s="207"/>
      <c r="P129" s="207"/>
      <c r="Q129" s="207"/>
      <c r="R129" s="206"/>
      <c r="S129" s="205"/>
      <c r="T129" s="205"/>
      <c r="U129" s="207"/>
      <c r="V129" s="226"/>
      <c r="W129" s="208"/>
      <c r="X129" s="208"/>
      <c r="Y129" s="208"/>
      <c r="Z129" s="208"/>
      <c r="AA129" s="208"/>
      <c r="AB129" s="210"/>
      <c r="AC129" s="210"/>
      <c r="AD129" s="210"/>
      <c r="AE129" s="210"/>
      <c r="AF129" s="210"/>
      <c r="AG129" s="210"/>
      <c r="AH129" s="210"/>
      <c r="AI129" s="93"/>
      <c r="AJ129" s="93">
        <f t="shared" ca="1" si="5"/>
        <v>0</v>
      </c>
      <c r="AK129" s="93">
        <f t="shared" ca="1" si="6"/>
        <v>0</v>
      </c>
      <c r="AL129" s="213"/>
      <c r="AM129" s="213"/>
      <c r="AN129" s="213"/>
      <c r="AO129" s="213"/>
      <c r="AP129" s="213"/>
      <c r="AQ129" s="213"/>
      <c r="AR129" s="213"/>
      <c r="AS129" s="213"/>
      <c r="AT129" s="213"/>
      <c r="AU129" s="213"/>
      <c r="AV129" s="213"/>
      <c r="AW129" s="213"/>
      <c r="AX129" s="213"/>
      <c r="AY129" s="213"/>
      <c r="AZ129" s="213"/>
      <c r="BA129" s="213"/>
      <c r="BB129" s="213"/>
      <c r="BC129" s="213"/>
      <c r="BD129" s="213"/>
      <c r="BE129" s="213"/>
      <c r="BF129" s="213"/>
      <c r="BG129" s="213"/>
      <c r="BH129" s="213"/>
      <c r="BI129" s="213"/>
      <c r="BJ129" s="213"/>
      <c r="BK129" s="213"/>
      <c r="BL129" s="213"/>
      <c r="BM129" s="213"/>
      <c r="BN129" s="213"/>
      <c r="BO129" s="213"/>
      <c r="BP129" s="213"/>
      <c r="BQ129" s="213"/>
      <c r="BR129" s="213"/>
      <c r="BS129" s="213"/>
      <c r="BT129" s="213"/>
      <c r="BU129" s="213"/>
      <c r="BV129" s="213"/>
      <c r="BW129" s="213"/>
      <c r="BX129" s="213"/>
    </row>
    <row r="130" spans="1:76" s="209" customFormat="1" ht="22.5" customHeight="1">
      <c r="A130" s="235">
        <v>125</v>
      </c>
      <c r="B130" s="235"/>
      <c r="C130" s="235"/>
      <c r="D130" s="203"/>
      <c r="E130" s="204"/>
      <c r="F130" s="235"/>
      <c r="G130" s="235"/>
      <c r="H130" s="203"/>
      <c r="I130" s="203"/>
      <c r="J130" s="203"/>
      <c r="K130" s="205"/>
      <c r="L130" s="206"/>
      <c r="M130" s="203"/>
      <c r="N130" s="207"/>
      <c r="O130" s="207"/>
      <c r="P130" s="207"/>
      <c r="Q130" s="207"/>
      <c r="R130" s="206"/>
      <c r="S130" s="205"/>
      <c r="T130" s="205"/>
      <c r="U130" s="207"/>
      <c r="V130" s="226"/>
      <c r="W130" s="208"/>
      <c r="X130" s="208"/>
      <c r="Y130" s="208"/>
      <c r="Z130" s="208"/>
      <c r="AA130" s="208"/>
      <c r="AB130" s="210"/>
      <c r="AC130" s="210"/>
      <c r="AD130" s="210"/>
      <c r="AE130" s="210"/>
      <c r="AF130" s="210"/>
      <c r="AG130" s="210"/>
      <c r="AH130" s="210"/>
      <c r="AI130" s="93"/>
      <c r="AJ130" s="93">
        <f t="shared" ca="1" si="5"/>
        <v>0</v>
      </c>
      <c r="AK130" s="93">
        <f t="shared" ca="1" si="6"/>
        <v>0</v>
      </c>
      <c r="AL130" s="213"/>
      <c r="AM130" s="213"/>
      <c r="AN130" s="213"/>
      <c r="AO130" s="213"/>
      <c r="AP130" s="213"/>
      <c r="AQ130" s="213"/>
      <c r="AR130" s="213"/>
      <c r="AS130" s="213"/>
      <c r="AT130" s="213"/>
      <c r="AU130" s="213"/>
      <c r="AV130" s="213"/>
      <c r="AW130" s="213"/>
      <c r="AX130" s="213"/>
      <c r="AY130" s="213"/>
      <c r="AZ130" s="213"/>
      <c r="BA130" s="213"/>
      <c r="BB130" s="213"/>
      <c r="BC130" s="213"/>
      <c r="BD130" s="213"/>
      <c r="BE130" s="213"/>
      <c r="BF130" s="213"/>
      <c r="BG130" s="213"/>
      <c r="BH130" s="213"/>
      <c r="BI130" s="213"/>
      <c r="BJ130" s="213"/>
      <c r="BK130" s="213"/>
      <c r="BL130" s="213"/>
      <c r="BM130" s="213"/>
      <c r="BN130" s="213"/>
      <c r="BO130" s="213"/>
      <c r="BP130" s="213"/>
      <c r="BQ130" s="213"/>
      <c r="BR130" s="213"/>
      <c r="BS130" s="213"/>
      <c r="BT130" s="213"/>
      <c r="BU130" s="213"/>
      <c r="BV130" s="213"/>
      <c r="BW130" s="213"/>
      <c r="BX130" s="213"/>
    </row>
    <row r="131" spans="1:76" s="209" customFormat="1" ht="22.5" customHeight="1">
      <c r="A131" s="235">
        <v>126</v>
      </c>
      <c r="B131" s="235"/>
      <c r="C131" s="235"/>
      <c r="D131" s="203"/>
      <c r="E131" s="204"/>
      <c r="F131" s="235"/>
      <c r="G131" s="235"/>
      <c r="H131" s="203"/>
      <c r="I131" s="203"/>
      <c r="J131" s="203"/>
      <c r="K131" s="205"/>
      <c r="L131" s="206"/>
      <c r="M131" s="203"/>
      <c r="N131" s="207"/>
      <c r="O131" s="207"/>
      <c r="P131" s="207"/>
      <c r="Q131" s="207"/>
      <c r="R131" s="206"/>
      <c r="S131" s="205"/>
      <c r="T131" s="205"/>
      <c r="U131" s="207"/>
      <c r="V131" s="226"/>
      <c r="W131" s="208"/>
      <c r="X131" s="208"/>
      <c r="Y131" s="208"/>
      <c r="Z131" s="208"/>
      <c r="AA131" s="208"/>
      <c r="AB131" s="210"/>
      <c r="AC131" s="210"/>
      <c r="AD131" s="210"/>
      <c r="AE131" s="210"/>
      <c r="AF131" s="210"/>
      <c r="AG131" s="210"/>
      <c r="AH131" s="210"/>
      <c r="AI131" s="93"/>
      <c r="AJ131" s="93">
        <f t="shared" ca="1" si="5"/>
        <v>0</v>
      </c>
      <c r="AK131" s="93">
        <f t="shared" ca="1" si="6"/>
        <v>0</v>
      </c>
      <c r="AL131" s="213"/>
      <c r="AM131" s="213"/>
      <c r="AN131" s="213"/>
      <c r="AO131" s="213"/>
      <c r="AP131" s="213"/>
      <c r="AQ131" s="213"/>
      <c r="AR131" s="213"/>
      <c r="AS131" s="213"/>
      <c r="AT131" s="213"/>
      <c r="AU131" s="213"/>
      <c r="AV131" s="213"/>
      <c r="AW131" s="213"/>
      <c r="AX131" s="213"/>
      <c r="AY131" s="213"/>
      <c r="AZ131" s="213"/>
      <c r="BA131" s="213"/>
      <c r="BB131" s="213"/>
      <c r="BC131" s="213"/>
      <c r="BD131" s="213"/>
      <c r="BE131" s="213"/>
      <c r="BF131" s="213"/>
      <c r="BG131" s="213"/>
      <c r="BH131" s="213"/>
      <c r="BI131" s="213"/>
      <c r="BJ131" s="213"/>
      <c r="BK131" s="213"/>
      <c r="BL131" s="213"/>
      <c r="BM131" s="213"/>
      <c r="BN131" s="213"/>
      <c r="BO131" s="213"/>
      <c r="BP131" s="213"/>
      <c r="BQ131" s="213"/>
      <c r="BR131" s="213"/>
      <c r="BS131" s="213"/>
      <c r="BT131" s="213"/>
      <c r="BU131" s="213"/>
      <c r="BV131" s="213"/>
      <c r="BW131" s="213"/>
      <c r="BX131" s="213"/>
    </row>
    <row r="132" spans="1:76" s="209" customFormat="1" ht="22.5" customHeight="1">
      <c r="A132" s="235">
        <v>127</v>
      </c>
      <c r="B132" s="235"/>
      <c r="C132" s="235"/>
      <c r="D132" s="203"/>
      <c r="E132" s="204"/>
      <c r="F132" s="235"/>
      <c r="G132" s="235"/>
      <c r="H132" s="203"/>
      <c r="I132" s="203"/>
      <c r="J132" s="203"/>
      <c r="K132" s="205"/>
      <c r="L132" s="206"/>
      <c r="M132" s="203"/>
      <c r="N132" s="207"/>
      <c r="O132" s="207"/>
      <c r="P132" s="207"/>
      <c r="Q132" s="207"/>
      <c r="R132" s="206"/>
      <c r="S132" s="205"/>
      <c r="T132" s="205"/>
      <c r="U132" s="207"/>
      <c r="V132" s="226"/>
      <c r="W132" s="208"/>
      <c r="X132" s="208"/>
      <c r="Y132" s="208"/>
      <c r="Z132" s="208"/>
      <c r="AA132" s="208"/>
      <c r="AB132" s="210"/>
      <c r="AC132" s="210"/>
      <c r="AD132" s="210"/>
      <c r="AE132" s="210"/>
      <c r="AF132" s="210"/>
      <c r="AG132" s="210"/>
      <c r="AH132" s="210"/>
      <c r="AI132" s="93"/>
      <c r="AJ132" s="93">
        <f t="shared" ca="1" si="5"/>
        <v>0</v>
      </c>
      <c r="AK132" s="93">
        <f t="shared" ca="1" si="6"/>
        <v>0</v>
      </c>
      <c r="AL132" s="213"/>
      <c r="AM132" s="213"/>
      <c r="AN132" s="213"/>
      <c r="AO132" s="213"/>
      <c r="AP132" s="213"/>
      <c r="AQ132" s="213"/>
      <c r="AR132" s="213"/>
      <c r="AS132" s="213"/>
      <c r="AT132" s="213"/>
      <c r="AU132" s="213"/>
      <c r="AV132" s="213"/>
      <c r="AW132" s="213"/>
      <c r="AX132" s="213"/>
      <c r="AY132" s="213"/>
      <c r="AZ132" s="213"/>
      <c r="BA132" s="213"/>
      <c r="BB132" s="213"/>
      <c r="BC132" s="213"/>
      <c r="BD132" s="213"/>
      <c r="BE132" s="213"/>
      <c r="BF132" s="213"/>
      <c r="BG132" s="213"/>
      <c r="BH132" s="213"/>
      <c r="BI132" s="213"/>
      <c r="BJ132" s="213"/>
      <c r="BK132" s="213"/>
      <c r="BL132" s="213"/>
      <c r="BM132" s="213"/>
      <c r="BN132" s="213"/>
      <c r="BO132" s="213"/>
      <c r="BP132" s="213"/>
      <c r="BQ132" s="213"/>
      <c r="BR132" s="213"/>
      <c r="BS132" s="213"/>
      <c r="BT132" s="213"/>
      <c r="BU132" s="213"/>
      <c r="BV132" s="213"/>
      <c r="BW132" s="213"/>
      <c r="BX132" s="213"/>
    </row>
    <row r="133" spans="1:76" s="209" customFormat="1" ht="22.5" customHeight="1">
      <c r="A133" s="235">
        <v>128</v>
      </c>
      <c r="B133" s="235"/>
      <c r="C133" s="235"/>
      <c r="D133" s="203"/>
      <c r="E133" s="204"/>
      <c r="F133" s="235"/>
      <c r="G133" s="235"/>
      <c r="H133" s="203"/>
      <c r="I133" s="203"/>
      <c r="J133" s="203"/>
      <c r="K133" s="205"/>
      <c r="L133" s="206"/>
      <c r="M133" s="203"/>
      <c r="N133" s="207"/>
      <c r="O133" s="207"/>
      <c r="P133" s="207"/>
      <c r="Q133" s="207"/>
      <c r="R133" s="206"/>
      <c r="S133" s="205"/>
      <c r="T133" s="205"/>
      <c r="U133" s="207"/>
      <c r="V133" s="226"/>
      <c r="W133" s="208"/>
      <c r="X133" s="208"/>
      <c r="Y133" s="208"/>
      <c r="Z133" s="208"/>
      <c r="AA133" s="208"/>
      <c r="AB133" s="210"/>
      <c r="AC133" s="210"/>
      <c r="AD133" s="210"/>
      <c r="AE133" s="210"/>
      <c r="AF133" s="210"/>
      <c r="AG133" s="210"/>
      <c r="AH133" s="210"/>
      <c r="AI133" s="93"/>
      <c r="AJ133" s="93">
        <f t="shared" ca="1" si="5"/>
        <v>0</v>
      </c>
      <c r="AK133" s="93">
        <f t="shared" ca="1" si="6"/>
        <v>0</v>
      </c>
      <c r="AL133" s="213"/>
      <c r="AM133" s="213"/>
      <c r="AN133" s="213"/>
      <c r="AO133" s="213"/>
      <c r="AP133" s="213"/>
      <c r="AQ133" s="213"/>
      <c r="AR133" s="213"/>
      <c r="AS133" s="213"/>
      <c r="AT133" s="213"/>
      <c r="AU133" s="213"/>
      <c r="AV133" s="213"/>
      <c r="AW133" s="213"/>
      <c r="AX133" s="213"/>
      <c r="AY133" s="213"/>
      <c r="AZ133" s="213"/>
      <c r="BA133" s="213"/>
      <c r="BB133" s="213"/>
      <c r="BC133" s="213"/>
      <c r="BD133" s="213"/>
      <c r="BE133" s="213"/>
      <c r="BF133" s="213"/>
      <c r="BG133" s="213"/>
      <c r="BH133" s="213"/>
      <c r="BI133" s="213"/>
      <c r="BJ133" s="213"/>
      <c r="BK133" s="213"/>
      <c r="BL133" s="213"/>
      <c r="BM133" s="213"/>
      <c r="BN133" s="213"/>
      <c r="BO133" s="213"/>
      <c r="BP133" s="213"/>
      <c r="BQ133" s="213"/>
      <c r="BR133" s="213"/>
      <c r="BS133" s="213"/>
      <c r="BT133" s="213"/>
      <c r="BU133" s="213"/>
      <c r="BV133" s="213"/>
      <c r="BW133" s="213"/>
      <c r="BX133" s="213"/>
    </row>
    <row r="134" spans="1:76" s="209" customFormat="1" ht="22.5" customHeight="1">
      <c r="A134" s="235">
        <v>129</v>
      </c>
      <c r="B134" s="235"/>
      <c r="C134" s="235"/>
      <c r="D134" s="203"/>
      <c r="E134" s="204"/>
      <c r="F134" s="235"/>
      <c r="G134" s="235"/>
      <c r="H134" s="203"/>
      <c r="I134" s="203"/>
      <c r="J134" s="203"/>
      <c r="K134" s="205"/>
      <c r="L134" s="206"/>
      <c r="M134" s="203"/>
      <c r="N134" s="207"/>
      <c r="O134" s="207"/>
      <c r="P134" s="207"/>
      <c r="Q134" s="207"/>
      <c r="R134" s="206"/>
      <c r="S134" s="205"/>
      <c r="T134" s="205"/>
      <c r="U134" s="207"/>
      <c r="V134" s="226"/>
      <c r="W134" s="208"/>
      <c r="X134" s="208"/>
      <c r="Y134" s="208"/>
      <c r="Z134" s="208"/>
      <c r="AA134" s="208"/>
      <c r="AB134" s="210"/>
      <c r="AC134" s="210"/>
      <c r="AD134" s="210"/>
      <c r="AE134" s="210"/>
      <c r="AF134" s="210"/>
      <c r="AG134" s="210"/>
      <c r="AH134" s="210"/>
      <c r="AI134" s="93"/>
      <c r="AJ134" s="93">
        <f t="shared" ca="1" si="5"/>
        <v>0</v>
      </c>
      <c r="AK134" s="93">
        <f t="shared" ca="1" si="6"/>
        <v>0</v>
      </c>
      <c r="AL134" s="213"/>
      <c r="AM134" s="213"/>
      <c r="AN134" s="213"/>
      <c r="AO134" s="213"/>
      <c r="AP134" s="213"/>
      <c r="AQ134" s="213"/>
      <c r="AR134" s="213"/>
      <c r="AS134" s="213"/>
      <c r="AT134" s="213"/>
      <c r="AU134" s="213"/>
      <c r="AV134" s="213"/>
      <c r="AW134" s="213"/>
      <c r="AX134" s="213"/>
      <c r="AY134" s="213"/>
      <c r="AZ134" s="213"/>
      <c r="BA134" s="213"/>
      <c r="BB134" s="213"/>
      <c r="BC134" s="213"/>
      <c r="BD134" s="213"/>
      <c r="BE134" s="213"/>
      <c r="BF134" s="213"/>
      <c r="BG134" s="213"/>
      <c r="BH134" s="213"/>
      <c r="BI134" s="213"/>
      <c r="BJ134" s="213"/>
      <c r="BK134" s="213"/>
      <c r="BL134" s="213"/>
      <c r="BM134" s="213"/>
      <c r="BN134" s="213"/>
      <c r="BO134" s="213"/>
      <c r="BP134" s="213"/>
      <c r="BQ134" s="213"/>
      <c r="BR134" s="213"/>
      <c r="BS134" s="213"/>
      <c r="BT134" s="213"/>
      <c r="BU134" s="213"/>
      <c r="BV134" s="213"/>
      <c r="BW134" s="213"/>
      <c r="BX134" s="213"/>
    </row>
    <row r="135" spans="1:76" s="209" customFormat="1" ht="22.5" customHeight="1">
      <c r="A135" s="235">
        <v>130</v>
      </c>
      <c r="B135" s="235"/>
      <c r="C135" s="235"/>
      <c r="D135" s="203"/>
      <c r="E135" s="204"/>
      <c r="F135" s="235"/>
      <c r="G135" s="235"/>
      <c r="H135" s="203"/>
      <c r="I135" s="203"/>
      <c r="J135" s="203"/>
      <c r="K135" s="205"/>
      <c r="L135" s="206"/>
      <c r="M135" s="203"/>
      <c r="N135" s="207"/>
      <c r="O135" s="207"/>
      <c r="P135" s="207"/>
      <c r="Q135" s="207"/>
      <c r="R135" s="206"/>
      <c r="S135" s="205"/>
      <c r="T135" s="205"/>
      <c r="U135" s="207"/>
      <c r="V135" s="226"/>
      <c r="W135" s="208"/>
      <c r="X135" s="208"/>
      <c r="Y135" s="208"/>
      <c r="Z135" s="208"/>
      <c r="AA135" s="208"/>
      <c r="AB135" s="210"/>
      <c r="AC135" s="210"/>
      <c r="AD135" s="210"/>
      <c r="AE135" s="210"/>
      <c r="AF135" s="210"/>
      <c r="AG135" s="210"/>
      <c r="AH135" s="210"/>
      <c r="AI135" s="93"/>
      <c r="AJ135" s="93">
        <f t="shared" ca="1" si="5"/>
        <v>0</v>
      </c>
      <c r="AK135" s="93">
        <f t="shared" ca="1" si="6"/>
        <v>0</v>
      </c>
      <c r="AL135" s="213"/>
      <c r="AM135" s="213"/>
      <c r="AN135" s="213"/>
      <c r="AO135" s="213"/>
      <c r="AP135" s="213"/>
      <c r="AQ135" s="213"/>
      <c r="AR135" s="213"/>
      <c r="AS135" s="213"/>
      <c r="AT135" s="213"/>
      <c r="AU135" s="213"/>
      <c r="AV135" s="213"/>
      <c r="AW135" s="213"/>
      <c r="AX135" s="213"/>
      <c r="AY135" s="213"/>
      <c r="AZ135" s="213"/>
      <c r="BA135" s="213"/>
      <c r="BB135" s="213"/>
      <c r="BC135" s="213"/>
      <c r="BD135" s="213"/>
      <c r="BE135" s="213"/>
      <c r="BF135" s="213"/>
      <c r="BG135" s="213"/>
      <c r="BH135" s="213"/>
      <c r="BI135" s="213"/>
      <c r="BJ135" s="213"/>
      <c r="BK135" s="213"/>
      <c r="BL135" s="213"/>
      <c r="BM135" s="213"/>
      <c r="BN135" s="213"/>
      <c r="BO135" s="213"/>
      <c r="BP135" s="213"/>
      <c r="BQ135" s="213"/>
      <c r="BR135" s="213"/>
      <c r="BS135" s="213"/>
      <c r="BT135" s="213"/>
      <c r="BU135" s="213"/>
      <c r="BV135" s="213"/>
      <c r="BW135" s="213"/>
      <c r="BX135" s="213"/>
    </row>
    <row r="136" spans="1:76" s="209" customFormat="1" ht="22.5" customHeight="1">
      <c r="A136" s="235">
        <v>131</v>
      </c>
      <c r="B136" s="235"/>
      <c r="C136" s="235"/>
      <c r="D136" s="203"/>
      <c r="E136" s="204"/>
      <c r="F136" s="235"/>
      <c r="G136" s="235"/>
      <c r="H136" s="203"/>
      <c r="I136" s="203"/>
      <c r="J136" s="203"/>
      <c r="K136" s="205"/>
      <c r="L136" s="206"/>
      <c r="M136" s="203"/>
      <c r="N136" s="207"/>
      <c r="O136" s="207"/>
      <c r="P136" s="207"/>
      <c r="Q136" s="207"/>
      <c r="R136" s="206"/>
      <c r="S136" s="205"/>
      <c r="T136" s="205"/>
      <c r="U136" s="207"/>
      <c r="V136" s="226"/>
      <c r="W136" s="208"/>
      <c r="X136" s="208"/>
      <c r="Y136" s="208"/>
      <c r="Z136" s="208"/>
      <c r="AA136" s="208"/>
      <c r="AB136" s="210"/>
      <c r="AC136" s="210"/>
      <c r="AD136" s="210"/>
      <c r="AE136" s="210"/>
      <c r="AF136" s="210"/>
      <c r="AG136" s="210"/>
      <c r="AH136" s="210"/>
      <c r="AI136" s="93"/>
      <c r="AJ136" s="93">
        <f t="shared" ca="1" si="5"/>
        <v>0</v>
      </c>
      <c r="AK136" s="93">
        <f t="shared" ca="1" si="6"/>
        <v>0</v>
      </c>
      <c r="AL136" s="213"/>
      <c r="AM136" s="213"/>
      <c r="AN136" s="213"/>
      <c r="AO136" s="213"/>
      <c r="AP136" s="213"/>
      <c r="AQ136" s="213"/>
      <c r="AR136" s="213"/>
      <c r="AS136" s="213"/>
      <c r="AT136" s="213"/>
      <c r="AU136" s="213"/>
      <c r="AV136" s="213"/>
      <c r="AW136" s="213"/>
      <c r="AX136" s="213"/>
      <c r="AY136" s="213"/>
      <c r="AZ136" s="213"/>
      <c r="BA136" s="213"/>
      <c r="BB136" s="213"/>
      <c r="BC136" s="213"/>
      <c r="BD136" s="213"/>
      <c r="BE136" s="213"/>
      <c r="BF136" s="213"/>
      <c r="BG136" s="213"/>
      <c r="BH136" s="213"/>
      <c r="BI136" s="213"/>
      <c r="BJ136" s="213"/>
      <c r="BK136" s="213"/>
      <c r="BL136" s="213"/>
      <c r="BM136" s="213"/>
      <c r="BN136" s="213"/>
      <c r="BO136" s="213"/>
      <c r="BP136" s="213"/>
      <c r="BQ136" s="213"/>
      <c r="BR136" s="213"/>
      <c r="BS136" s="213"/>
      <c r="BT136" s="213"/>
      <c r="BU136" s="213"/>
      <c r="BV136" s="213"/>
      <c r="BW136" s="213"/>
      <c r="BX136" s="213"/>
    </row>
    <row r="137" spans="1:76" s="209" customFormat="1" ht="22.5" customHeight="1">
      <c r="A137" s="235">
        <v>132</v>
      </c>
      <c r="B137" s="235"/>
      <c r="C137" s="235"/>
      <c r="D137" s="203"/>
      <c r="E137" s="204"/>
      <c r="F137" s="235"/>
      <c r="G137" s="235"/>
      <c r="H137" s="203"/>
      <c r="I137" s="203"/>
      <c r="J137" s="203"/>
      <c r="K137" s="205"/>
      <c r="L137" s="206"/>
      <c r="M137" s="203"/>
      <c r="N137" s="207"/>
      <c r="O137" s="207"/>
      <c r="P137" s="207"/>
      <c r="Q137" s="207"/>
      <c r="R137" s="206"/>
      <c r="S137" s="205"/>
      <c r="T137" s="205"/>
      <c r="U137" s="207"/>
      <c r="V137" s="226"/>
      <c r="W137" s="208"/>
      <c r="X137" s="208"/>
      <c r="Y137" s="208"/>
      <c r="Z137" s="208"/>
      <c r="AA137" s="208"/>
      <c r="AB137" s="210"/>
      <c r="AC137" s="210"/>
      <c r="AD137" s="210"/>
      <c r="AE137" s="210"/>
      <c r="AF137" s="210"/>
      <c r="AG137" s="210"/>
      <c r="AH137" s="210"/>
      <c r="AI137" s="93"/>
      <c r="AJ137" s="93">
        <f t="shared" ca="1" si="5"/>
        <v>0</v>
      </c>
      <c r="AK137" s="93">
        <f t="shared" ca="1" si="6"/>
        <v>0</v>
      </c>
      <c r="AL137" s="213"/>
      <c r="AM137" s="213"/>
      <c r="AN137" s="213"/>
      <c r="AO137" s="213"/>
      <c r="AP137" s="213"/>
      <c r="AQ137" s="213"/>
      <c r="AR137" s="213"/>
      <c r="AS137" s="213"/>
      <c r="AT137" s="213"/>
      <c r="AU137" s="213"/>
      <c r="AV137" s="213"/>
      <c r="AW137" s="213"/>
      <c r="AX137" s="213"/>
      <c r="AY137" s="213"/>
      <c r="AZ137" s="213"/>
      <c r="BA137" s="213"/>
      <c r="BB137" s="213"/>
      <c r="BC137" s="213"/>
      <c r="BD137" s="213"/>
      <c r="BE137" s="213"/>
      <c r="BF137" s="213"/>
      <c r="BG137" s="213"/>
      <c r="BH137" s="213"/>
      <c r="BI137" s="213"/>
      <c r="BJ137" s="213"/>
      <c r="BK137" s="213"/>
      <c r="BL137" s="213"/>
      <c r="BM137" s="213"/>
      <c r="BN137" s="213"/>
      <c r="BO137" s="213"/>
      <c r="BP137" s="213"/>
      <c r="BQ137" s="213"/>
      <c r="BR137" s="213"/>
      <c r="BS137" s="213"/>
      <c r="BT137" s="213"/>
      <c r="BU137" s="213"/>
      <c r="BV137" s="213"/>
      <c r="BW137" s="213"/>
      <c r="BX137" s="213"/>
    </row>
    <row r="138" spans="1:76" s="209" customFormat="1" ht="22.5" customHeight="1">
      <c r="A138" s="235">
        <v>133</v>
      </c>
      <c r="B138" s="235"/>
      <c r="C138" s="235"/>
      <c r="D138" s="203"/>
      <c r="E138" s="204"/>
      <c r="F138" s="235"/>
      <c r="G138" s="235"/>
      <c r="H138" s="203"/>
      <c r="I138" s="203"/>
      <c r="J138" s="203"/>
      <c r="K138" s="205"/>
      <c r="L138" s="206"/>
      <c r="M138" s="203"/>
      <c r="N138" s="207"/>
      <c r="O138" s="207"/>
      <c r="P138" s="207"/>
      <c r="Q138" s="207"/>
      <c r="R138" s="206"/>
      <c r="S138" s="205"/>
      <c r="T138" s="205"/>
      <c r="U138" s="207"/>
      <c r="V138" s="226"/>
      <c r="W138" s="208"/>
      <c r="X138" s="208"/>
      <c r="Y138" s="208"/>
      <c r="Z138" s="208"/>
      <c r="AA138" s="208"/>
      <c r="AB138" s="210"/>
      <c r="AC138" s="210"/>
      <c r="AD138" s="210"/>
      <c r="AE138" s="210"/>
      <c r="AF138" s="210"/>
      <c r="AG138" s="210"/>
      <c r="AH138" s="210"/>
      <c r="AI138" s="93"/>
      <c r="AJ138" s="93">
        <f t="shared" ca="1" si="5"/>
        <v>0</v>
      </c>
      <c r="AK138" s="93">
        <f t="shared" ca="1" si="6"/>
        <v>0</v>
      </c>
      <c r="AL138" s="213"/>
      <c r="AM138" s="213"/>
      <c r="AN138" s="213"/>
      <c r="AO138" s="213"/>
      <c r="AP138" s="213"/>
      <c r="AQ138" s="213"/>
      <c r="AR138" s="213"/>
      <c r="AS138" s="213"/>
      <c r="AT138" s="213"/>
      <c r="AU138" s="213"/>
      <c r="AV138" s="213"/>
      <c r="AW138" s="213"/>
      <c r="AX138" s="213"/>
      <c r="AY138" s="213"/>
      <c r="AZ138" s="213"/>
      <c r="BA138" s="213"/>
      <c r="BB138" s="213"/>
      <c r="BC138" s="213"/>
      <c r="BD138" s="213"/>
      <c r="BE138" s="213"/>
      <c r="BF138" s="213"/>
      <c r="BG138" s="213"/>
      <c r="BH138" s="213"/>
      <c r="BI138" s="213"/>
      <c r="BJ138" s="213"/>
      <c r="BK138" s="213"/>
      <c r="BL138" s="213"/>
      <c r="BM138" s="213"/>
      <c r="BN138" s="213"/>
      <c r="BO138" s="213"/>
      <c r="BP138" s="213"/>
      <c r="BQ138" s="213"/>
      <c r="BR138" s="213"/>
      <c r="BS138" s="213"/>
      <c r="BT138" s="213"/>
      <c r="BU138" s="213"/>
      <c r="BV138" s="213"/>
      <c r="BW138" s="213"/>
      <c r="BX138" s="213"/>
    </row>
    <row r="139" spans="1:76" s="209" customFormat="1" ht="22.5" customHeight="1">
      <c r="A139" s="235">
        <v>134</v>
      </c>
      <c r="B139" s="235"/>
      <c r="C139" s="235"/>
      <c r="D139" s="203"/>
      <c r="E139" s="204"/>
      <c r="F139" s="235"/>
      <c r="G139" s="235"/>
      <c r="H139" s="203"/>
      <c r="I139" s="203"/>
      <c r="J139" s="203"/>
      <c r="K139" s="205"/>
      <c r="L139" s="206"/>
      <c r="M139" s="203"/>
      <c r="N139" s="207"/>
      <c r="O139" s="207"/>
      <c r="P139" s="207"/>
      <c r="Q139" s="207"/>
      <c r="R139" s="206"/>
      <c r="S139" s="205"/>
      <c r="T139" s="205"/>
      <c r="U139" s="207"/>
      <c r="V139" s="226"/>
      <c r="W139" s="208"/>
      <c r="X139" s="208"/>
      <c r="Y139" s="208"/>
      <c r="Z139" s="208"/>
      <c r="AA139" s="208"/>
      <c r="AB139" s="210"/>
      <c r="AC139" s="210"/>
      <c r="AD139" s="210"/>
      <c r="AE139" s="210"/>
      <c r="AF139" s="210"/>
      <c r="AG139" s="210"/>
      <c r="AH139" s="210"/>
      <c r="AI139" s="93"/>
      <c r="AJ139" s="93">
        <f t="shared" ca="1" si="5"/>
        <v>0</v>
      </c>
      <c r="AK139" s="93">
        <f t="shared" ca="1" si="6"/>
        <v>0</v>
      </c>
      <c r="AL139" s="213"/>
      <c r="AM139" s="213"/>
      <c r="AN139" s="213"/>
      <c r="AO139" s="213"/>
      <c r="AP139" s="213"/>
      <c r="AQ139" s="213"/>
      <c r="AR139" s="213"/>
      <c r="AS139" s="213"/>
      <c r="AT139" s="213"/>
      <c r="AU139" s="213"/>
      <c r="AV139" s="213"/>
      <c r="AW139" s="213"/>
      <c r="AX139" s="213"/>
      <c r="AY139" s="213"/>
      <c r="AZ139" s="213"/>
      <c r="BA139" s="213"/>
      <c r="BB139" s="213"/>
      <c r="BC139" s="213"/>
      <c r="BD139" s="213"/>
      <c r="BE139" s="213"/>
      <c r="BF139" s="213"/>
      <c r="BG139" s="213"/>
      <c r="BH139" s="213"/>
      <c r="BI139" s="213"/>
      <c r="BJ139" s="213"/>
      <c r="BK139" s="213"/>
      <c r="BL139" s="213"/>
      <c r="BM139" s="213"/>
      <c r="BN139" s="213"/>
      <c r="BO139" s="213"/>
      <c r="BP139" s="213"/>
      <c r="BQ139" s="213"/>
      <c r="BR139" s="213"/>
      <c r="BS139" s="213"/>
      <c r="BT139" s="213"/>
      <c r="BU139" s="213"/>
      <c r="BV139" s="213"/>
      <c r="BW139" s="213"/>
      <c r="BX139" s="213"/>
    </row>
    <row r="140" spans="1:76" s="209" customFormat="1" ht="22.5" customHeight="1">
      <c r="A140" s="235">
        <v>135</v>
      </c>
      <c r="B140" s="235"/>
      <c r="C140" s="235"/>
      <c r="D140" s="203"/>
      <c r="E140" s="204"/>
      <c r="F140" s="235"/>
      <c r="G140" s="235"/>
      <c r="H140" s="203"/>
      <c r="I140" s="203"/>
      <c r="J140" s="203"/>
      <c r="K140" s="205"/>
      <c r="L140" s="206"/>
      <c r="M140" s="203"/>
      <c r="N140" s="207"/>
      <c r="O140" s="207"/>
      <c r="P140" s="207"/>
      <c r="Q140" s="207"/>
      <c r="R140" s="206"/>
      <c r="S140" s="205"/>
      <c r="T140" s="205"/>
      <c r="U140" s="207"/>
      <c r="V140" s="226"/>
      <c r="W140" s="208"/>
      <c r="X140" s="208"/>
      <c r="Y140" s="208"/>
      <c r="Z140" s="208"/>
      <c r="AA140" s="208"/>
      <c r="AB140" s="210"/>
      <c r="AC140" s="210"/>
      <c r="AD140" s="210"/>
      <c r="AE140" s="210"/>
      <c r="AF140" s="210"/>
      <c r="AG140" s="210"/>
      <c r="AH140" s="210"/>
      <c r="AI140" s="93"/>
      <c r="AJ140" s="93">
        <f t="shared" ca="1" si="5"/>
        <v>0</v>
      </c>
      <c r="AK140" s="93">
        <f t="shared" ca="1" si="6"/>
        <v>0</v>
      </c>
      <c r="AL140" s="213"/>
      <c r="AM140" s="213"/>
      <c r="AN140" s="213"/>
      <c r="AO140" s="213"/>
      <c r="AP140" s="213"/>
      <c r="AQ140" s="213"/>
      <c r="AR140" s="213"/>
      <c r="AS140" s="213"/>
      <c r="AT140" s="213"/>
      <c r="AU140" s="213"/>
      <c r="AV140" s="213"/>
      <c r="AW140" s="213"/>
      <c r="AX140" s="213"/>
      <c r="AY140" s="213"/>
      <c r="AZ140" s="213"/>
      <c r="BA140" s="213"/>
      <c r="BB140" s="213"/>
      <c r="BC140" s="213"/>
      <c r="BD140" s="213"/>
      <c r="BE140" s="213"/>
      <c r="BF140" s="213"/>
      <c r="BG140" s="213"/>
      <c r="BH140" s="213"/>
      <c r="BI140" s="213"/>
      <c r="BJ140" s="213"/>
      <c r="BK140" s="213"/>
      <c r="BL140" s="213"/>
      <c r="BM140" s="213"/>
      <c r="BN140" s="213"/>
      <c r="BO140" s="213"/>
      <c r="BP140" s="213"/>
      <c r="BQ140" s="213"/>
      <c r="BR140" s="213"/>
      <c r="BS140" s="213"/>
      <c r="BT140" s="213"/>
      <c r="BU140" s="213"/>
      <c r="BV140" s="213"/>
      <c r="BW140" s="213"/>
      <c r="BX140" s="213"/>
    </row>
    <row r="141" spans="1:76" s="209" customFormat="1" ht="22.5" customHeight="1">
      <c r="A141" s="235">
        <v>136</v>
      </c>
      <c r="B141" s="235"/>
      <c r="C141" s="235"/>
      <c r="D141" s="203"/>
      <c r="E141" s="204"/>
      <c r="F141" s="235"/>
      <c r="G141" s="235"/>
      <c r="H141" s="203"/>
      <c r="I141" s="203"/>
      <c r="J141" s="203"/>
      <c r="K141" s="205"/>
      <c r="L141" s="206"/>
      <c r="M141" s="203"/>
      <c r="N141" s="207"/>
      <c r="O141" s="207"/>
      <c r="P141" s="207"/>
      <c r="Q141" s="207"/>
      <c r="R141" s="206"/>
      <c r="S141" s="205"/>
      <c r="T141" s="205"/>
      <c r="U141" s="207"/>
      <c r="V141" s="226"/>
      <c r="W141" s="208"/>
      <c r="X141" s="208"/>
      <c r="Y141" s="208"/>
      <c r="Z141" s="208"/>
      <c r="AA141" s="208"/>
      <c r="AB141" s="210"/>
      <c r="AC141" s="210"/>
      <c r="AD141" s="210"/>
      <c r="AE141" s="210"/>
      <c r="AF141" s="210"/>
      <c r="AG141" s="210"/>
      <c r="AH141" s="210"/>
      <c r="AI141" s="93"/>
      <c r="AJ141" s="93">
        <f t="shared" ca="1" si="5"/>
        <v>0</v>
      </c>
      <c r="AK141" s="93">
        <f t="shared" ca="1" si="6"/>
        <v>0</v>
      </c>
      <c r="AL141" s="213"/>
      <c r="AM141" s="213"/>
      <c r="AN141" s="213"/>
      <c r="AO141" s="213"/>
      <c r="AP141" s="213"/>
      <c r="AQ141" s="213"/>
      <c r="AR141" s="213"/>
      <c r="AS141" s="213"/>
      <c r="AT141" s="213"/>
      <c r="AU141" s="213"/>
      <c r="AV141" s="213"/>
      <c r="AW141" s="213"/>
      <c r="AX141" s="213"/>
      <c r="AY141" s="213"/>
      <c r="AZ141" s="213"/>
      <c r="BA141" s="213"/>
      <c r="BB141" s="213"/>
      <c r="BC141" s="213"/>
      <c r="BD141" s="213"/>
      <c r="BE141" s="213"/>
      <c r="BF141" s="213"/>
      <c r="BG141" s="213"/>
      <c r="BH141" s="213"/>
      <c r="BI141" s="213"/>
      <c r="BJ141" s="213"/>
      <c r="BK141" s="213"/>
      <c r="BL141" s="213"/>
      <c r="BM141" s="213"/>
      <c r="BN141" s="213"/>
      <c r="BO141" s="213"/>
      <c r="BP141" s="213"/>
      <c r="BQ141" s="213"/>
      <c r="BR141" s="213"/>
      <c r="BS141" s="213"/>
      <c r="BT141" s="213"/>
      <c r="BU141" s="213"/>
      <c r="BV141" s="213"/>
      <c r="BW141" s="213"/>
      <c r="BX141" s="213"/>
    </row>
    <row r="142" spans="1:76" s="209" customFormat="1" ht="22.5" customHeight="1">
      <c r="A142" s="235">
        <v>137</v>
      </c>
      <c r="B142" s="235"/>
      <c r="C142" s="235"/>
      <c r="D142" s="203"/>
      <c r="E142" s="204"/>
      <c r="F142" s="235"/>
      <c r="G142" s="235"/>
      <c r="H142" s="203"/>
      <c r="I142" s="203"/>
      <c r="J142" s="203"/>
      <c r="K142" s="205"/>
      <c r="L142" s="206"/>
      <c r="M142" s="203"/>
      <c r="N142" s="207"/>
      <c r="O142" s="207"/>
      <c r="P142" s="207"/>
      <c r="Q142" s="207"/>
      <c r="R142" s="206"/>
      <c r="S142" s="205"/>
      <c r="T142" s="205"/>
      <c r="U142" s="207"/>
      <c r="V142" s="226"/>
      <c r="W142" s="208"/>
      <c r="X142" s="208"/>
      <c r="Y142" s="208"/>
      <c r="Z142" s="208"/>
      <c r="AA142" s="208"/>
      <c r="AB142" s="210"/>
      <c r="AC142" s="210"/>
      <c r="AD142" s="210"/>
      <c r="AE142" s="210"/>
      <c r="AF142" s="210"/>
      <c r="AG142" s="210"/>
      <c r="AH142" s="210"/>
      <c r="AI142" s="93"/>
      <c r="AJ142" s="93">
        <f t="shared" ca="1" si="5"/>
        <v>0</v>
      </c>
      <c r="AK142" s="93">
        <f t="shared" ca="1" si="6"/>
        <v>0</v>
      </c>
      <c r="AL142" s="213"/>
      <c r="AM142" s="213"/>
      <c r="AN142" s="213"/>
      <c r="AO142" s="213"/>
      <c r="AP142" s="213"/>
      <c r="AQ142" s="213"/>
      <c r="AR142" s="213"/>
      <c r="AS142" s="213"/>
      <c r="AT142" s="213"/>
      <c r="AU142" s="213"/>
      <c r="AV142" s="213"/>
      <c r="AW142" s="213"/>
      <c r="AX142" s="213"/>
      <c r="AY142" s="213"/>
      <c r="AZ142" s="213"/>
      <c r="BA142" s="213"/>
      <c r="BB142" s="213"/>
      <c r="BC142" s="213"/>
      <c r="BD142" s="213"/>
      <c r="BE142" s="213"/>
      <c r="BF142" s="213"/>
      <c r="BG142" s="213"/>
      <c r="BH142" s="213"/>
      <c r="BI142" s="213"/>
      <c r="BJ142" s="213"/>
      <c r="BK142" s="213"/>
      <c r="BL142" s="213"/>
      <c r="BM142" s="213"/>
      <c r="BN142" s="213"/>
      <c r="BO142" s="213"/>
      <c r="BP142" s="213"/>
      <c r="BQ142" s="213"/>
      <c r="BR142" s="213"/>
      <c r="BS142" s="213"/>
      <c r="BT142" s="213"/>
      <c r="BU142" s="213"/>
      <c r="BV142" s="213"/>
      <c r="BW142" s="213"/>
      <c r="BX142" s="213"/>
    </row>
    <row r="143" spans="1:76" s="209" customFormat="1" ht="22.5" customHeight="1">
      <c r="A143" s="235">
        <v>138</v>
      </c>
      <c r="B143" s="235"/>
      <c r="C143" s="235"/>
      <c r="D143" s="203"/>
      <c r="E143" s="204"/>
      <c r="F143" s="235"/>
      <c r="G143" s="235"/>
      <c r="H143" s="203"/>
      <c r="I143" s="203"/>
      <c r="J143" s="203"/>
      <c r="K143" s="205"/>
      <c r="L143" s="206"/>
      <c r="M143" s="203"/>
      <c r="N143" s="207"/>
      <c r="O143" s="207"/>
      <c r="P143" s="207"/>
      <c r="Q143" s="207"/>
      <c r="R143" s="206"/>
      <c r="S143" s="205"/>
      <c r="T143" s="205"/>
      <c r="U143" s="207"/>
      <c r="V143" s="226"/>
      <c r="W143" s="208"/>
      <c r="X143" s="208"/>
      <c r="Y143" s="208"/>
      <c r="Z143" s="208"/>
      <c r="AA143" s="208"/>
      <c r="AB143" s="210"/>
      <c r="AC143" s="210"/>
      <c r="AD143" s="210"/>
      <c r="AE143" s="210"/>
      <c r="AF143" s="210"/>
      <c r="AG143" s="210"/>
      <c r="AH143" s="210"/>
      <c r="AI143" s="93"/>
      <c r="AJ143" s="93">
        <f t="shared" ca="1" si="5"/>
        <v>0</v>
      </c>
      <c r="AK143" s="93">
        <f t="shared" ca="1" si="6"/>
        <v>0</v>
      </c>
      <c r="AL143" s="213"/>
      <c r="AM143" s="213"/>
      <c r="AN143" s="213"/>
      <c r="AO143" s="213"/>
      <c r="AP143" s="213"/>
      <c r="AQ143" s="213"/>
      <c r="AR143" s="213"/>
      <c r="AS143" s="213"/>
      <c r="AT143" s="213"/>
      <c r="AU143" s="213"/>
      <c r="AV143" s="213"/>
      <c r="AW143" s="213"/>
      <c r="AX143" s="213"/>
      <c r="AY143" s="213"/>
      <c r="AZ143" s="213"/>
      <c r="BA143" s="213"/>
      <c r="BB143" s="213"/>
      <c r="BC143" s="213"/>
      <c r="BD143" s="213"/>
      <c r="BE143" s="213"/>
      <c r="BF143" s="213"/>
      <c r="BG143" s="213"/>
      <c r="BH143" s="213"/>
      <c r="BI143" s="213"/>
      <c r="BJ143" s="213"/>
      <c r="BK143" s="213"/>
      <c r="BL143" s="213"/>
      <c r="BM143" s="213"/>
      <c r="BN143" s="213"/>
      <c r="BO143" s="213"/>
      <c r="BP143" s="213"/>
      <c r="BQ143" s="213"/>
      <c r="BR143" s="213"/>
      <c r="BS143" s="213"/>
      <c r="BT143" s="213"/>
      <c r="BU143" s="213"/>
      <c r="BV143" s="213"/>
      <c r="BW143" s="213"/>
      <c r="BX143" s="213"/>
    </row>
    <row r="144" spans="1:76" s="209" customFormat="1" ht="22.5" customHeight="1">
      <c r="A144" s="235">
        <v>139</v>
      </c>
      <c r="B144" s="235"/>
      <c r="C144" s="235"/>
      <c r="D144" s="203"/>
      <c r="E144" s="204"/>
      <c r="F144" s="235"/>
      <c r="G144" s="235"/>
      <c r="H144" s="203"/>
      <c r="I144" s="203"/>
      <c r="J144" s="203"/>
      <c r="K144" s="205"/>
      <c r="L144" s="206"/>
      <c r="M144" s="203"/>
      <c r="N144" s="207"/>
      <c r="O144" s="207"/>
      <c r="P144" s="207"/>
      <c r="Q144" s="207"/>
      <c r="R144" s="206"/>
      <c r="S144" s="205"/>
      <c r="T144" s="205"/>
      <c r="U144" s="207"/>
      <c r="V144" s="226"/>
      <c r="W144" s="208"/>
      <c r="X144" s="208"/>
      <c r="Y144" s="208"/>
      <c r="Z144" s="208"/>
      <c r="AA144" s="208"/>
      <c r="AB144" s="210"/>
      <c r="AC144" s="210"/>
      <c r="AD144" s="210"/>
      <c r="AE144" s="210"/>
      <c r="AF144" s="210"/>
      <c r="AG144" s="210"/>
      <c r="AH144" s="210"/>
      <c r="AI144" s="93"/>
      <c r="AJ144" s="93">
        <f t="shared" ca="1" si="5"/>
        <v>0</v>
      </c>
      <c r="AK144" s="93">
        <f t="shared" ca="1" si="6"/>
        <v>0</v>
      </c>
      <c r="AL144" s="213"/>
      <c r="AM144" s="213"/>
      <c r="AN144" s="213"/>
      <c r="AO144" s="213"/>
      <c r="AP144" s="213"/>
      <c r="AQ144" s="213"/>
      <c r="AR144" s="213"/>
      <c r="AS144" s="213"/>
      <c r="AT144" s="213"/>
      <c r="AU144" s="213"/>
      <c r="AV144" s="213"/>
      <c r="AW144" s="213"/>
      <c r="AX144" s="213"/>
      <c r="AY144" s="213"/>
      <c r="AZ144" s="213"/>
      <c r="BA144" s="213"/>
      <c r="BB144" s="213"/>
      <c r="BC144" s="213"/>
      <c r="BD144" s="213"/>
      <c r="BE144" s="213"/>
      <c r="BF144" s="213"/>
      <c r="BG144" s="213"/>
      <c r="BH144" s="213"/>
      <c r="BI144" s="213"/>
      <c r="BJ144" s="213"/>
      <c r="BK144" s="213"/>
      <c r="BL144" s="213"/>
      <c r="BM144" s="213"/>
      <c r="BN144" s="213"/>
      <c r="BO144" s="213"/>
      <c r="BP144" s="213"/>
      <c r="BQ144" s="213"/>
      <c r="BR144" s="213"/>
      <c r="BS144" s="213"/>
      <c r="BT144" s="213"/>
      <c r="BU144" s="213"/>
      <c r="BV144" s="213"/>
      <c r="BW144" s="213"/>
      <c r="BX144" s="213"/>
    </row>
    <row r="145" spans="1:76" s="209" customFormat="1" ht="22.5" customHeight="1">
      <c r="A145" s="235">
        <v>140</v>
      </c>
      <c r="B145" s="235"/>
      <c r="C145" s="235"/>
      <c r="D145" s="203"/>
      <c r="E145" s="204"/>
      <c r="F145" s="235"/>
      <c r="G145" s="235"/>
      <c r="H145" s="203"/>
      <c r="I145" s="203"/>
      <c r="J145" s="203"/>
      <c r="K145" s="205"/>
      <c r="L145" s="206"/>
      <c r="M145" s="203"/>
      <c r="N145" s="207"/>
      <c r="O145" s="207"/>
      <c r="P145" s="207"/>
      <c r="Q145" s="207"/>
      <c r="R145" s="206"/>
      <c r="S145" s="205"/>
      <c r="T145" s="205"/>
      <c r="U145" s="207"/>
      <c r="V145" s="226"/>
      <c r="W145" s="208"/>
      <c r="X145" s="208"/>
      <c r="Y145" s="208"/>
      <c r="Z145" s="208"/>
      <c r="AA145" s="208"/>
      <c r="AB145" s="210"/>
      <c r="AC145" s="210"/>
      <c r="AD145" s="210"/>
      <c r="AE145" s="210"/>
      <c r="AF145" s="210"/>
      <c r="AG145" s="210"/>
      <c r="AH145" s="210"/>
      <c r="AI145" s="93"/>
      <c r="AJ145" s="93">
        <f t="shared" ca="1" si="5"/>
        <v>0</v>
      </c>
      <c r="AK145" s="93">
        <f t="shared" ca="1" si="6"/>
        <v>0</v>
      </c>
      <c r="AL145" s="213"/>
      <c r="AM145" s="213"/>
      <c r="AN145" s="213"/>
      <c r="AO145" s="213"/>
      <c r="AP145" s="213"/>
      <c r="AQ145" s="213"/>
      <c r="AR145" s="213"/>
      <c r="AS145" s="213"/>
      <c r="AT145" s="213"/>
      <c r="AU145" s="213"/>
      <c r="AV145" s="213"/>
      <c r="AW145" s="213"/>
      <c r="AX145" s="213"/>
      <c r="AY145" s="213"/>
      <c r="AZ145" s="213"/>
      <c r="BA145" s="213"/>
      <c r="BB145" s="213"/>
      <c r="BC145" s="213"/>
      <c r="BD145" s="213"/>
      <c r="BE145" s="213"/>
      <c r="BF145" s="213"/>
      <c r="BG145" s="213"/>
      <c r="BH145" s="213"/>
      <c r="BI145" s="213"/>
      <c r="BJ145" s="213"/>
      <c r="BK145" s="213"/>
      <c r="BL145" s="213"/>
      <c r="BM145" s="213"/>
      <c r="BN145" s="213"/>
      <c r="BO145" s="213"/>
      <c r="BP145" s="213"/>
      <c r="BQ145" s="213"/>
      <c r="BR145" s="213"/>
      <c r="BS145" s="213"/>
      <c r="BT145" s="213"/>
      <c r="BU145" s="213"/>
      <c r="BV145" s="213"/>
      <c r="BW145" s="213"/>
      <c r="BX145" s="213"/>
    </row>
    <row r="146" spans="1:76" s="209" customFormat="1" ht="22.5" customHeight="1">
      <c r="A146" s="235">
        <v>141</v>
      </c>
      <c r="B146" s="235"/>
      <c r="C146" s="235"/>
      <c r="D146" s="203"/>
      <c r="E146" s="204"/>
      <c r="F146" s="235"/>
      <c r="G146" s="235"/>
      <c r="H146" s="203"/>
      <c r="I146" s="203"/>
      <c r="J146" s="203"/>
      <c r="K146" s="205"/>
      <c r="L146" s="206"/>
      <c r="M146" s="203"/>
      <c r="N146" s="207"/>
      <c r="O146" s="207"/>
      <c r="P146" s="207"/>
      <c r="Q146" s="207"/>
      <c r="R146" s="206"/>
      <c r="S146" s="205"/>
      <c r="T146" s="205"/>
      <c r="U146" s="207"/>
      <c r="V146" s="226"/>
      <c r="W146" s="208"/>
      <c r="X146" s="208"/>
      <c r="Y146" s="208"/>
      <c r="Z146" s="208"/>
      <c r="AA146" s="208"/>
      <c r="AB146" s="210"/>
      <c r="AC146" s="210"/>
      <c r="AD146" s="210"/>
      <c r="AE146" s="210"/>
      <c r="AF146" s="210"/>
      <c r="AG146" s="210"/>
      <c r="AH146" s="210"/>
      <c r="AI146" s="93"/>
      <c r="AJ146" s="93">
        <f t="shared" ca="1" si="5"/>
        <v>0</v>
      </c>
      <c r="AK146" s="93">
        <f t="shared" ca="1" si="6"/>
        <v>0</v>
      </c>
      <c r="AL146" s="213"/>
      <c r="AM146" s="213"/>
      <c r="AN146" s="213"/>
      <c r="AO146" s="213"/>
      <c r="AP146" s="213"/>
      <c r="AQ146" s="213"/>
      <c r="AR146" s="213"/>
      <c r="AS146" s="213"/>
      <c r="AT146" s="213"/>
      <c r="AU146" s="213"/>
      <c r="AV146" s="213"/>
      <c r="AW146" s="213"/>
      <c r="AX146" s="213"/>
      <c r="AY146" s="213"/>
      <c r="AZ146" s="213"/>
      <c r="BA146" s="213"/>
      <c r="BB146" s="213"/>
      <c r="BC146" s="213"/>
      <c r="BD146" s="213"/>
      <c r="BE146" s="213"/>
      <c r="BF146" s="213"/>
      <c r="BG146" s="213"/>
      <c r="BH146" s="213"/>
      <c r="BI146" s="213"/>
      <c r="BJ146" s="213"/>
      <c r="BK146" s="213"/>
      <c r="BL146" s="213"/>
      <c r="BM146" s="213"/>
      <c r="BN146" s="213"/>
      <c r="BO146" s="213"/>
      <c r="BP146" s="213"/>
      <c r="BQ146" s="213"/>
      <c r="BR146" s="213"/>
      <c r="BS146" s="213"/>
      <c r="BT146" s="213"/>
      <c r="BU146" s="213"/>
      <c r="BV146" s="213"/>
      <c r="BW146" s="213"/>
      <c r="BX146" s="213"/>
    </row>
    <row r="147" spans="1:76" s="209" customFormat="1" ht="22.5" customHeight="1">
      <c r="A147" s="235">
        <v>142</v>
      </c>
      <c r="B147" s="235"/>
      <c r="C147" s="235"/>
      <c r="D147" s="203"/>
      <c r="E147" s="204"/>
      <c r="F147" s="235"/>
      <c r="G147" s="235"/>
      <c r="H147" s="203"/>
      <c r="I147" s="203"/>
      <c r="J147" s="203"/>
      <c r="K147" s="205"/>
      <c r="L147" s="206"/>
      <c r="M147" s="203"/>
      <c r="N147" s="207"/>
      <c r="O147" s="207"/>
      <c r="P147" s="207"/>
      <c r="Q147" s="207"/>
      <c r="R147" s="206"/>
      <c r="S147" s="205"/>
      <c r="T147" s="205"/>
      <c r="U147" s="207"/>
      <c r="V147" s="226"/>
      <c r="W147" s="208"/>
      <c r="X147" s="208"/>
      <c r="Y147" s="208"/>
      <c r="Z147" s="208"/>
      <c r="AA147" s="208"/>
      <c r="AB147" s="210"/>
      <c r="AC147" s="210"/>
      <c r="AD147" s="210"/>
      <c r="AE147" s="210"/>
      <c r="AF147" s="210"/>
      <c r="AG147" s="210"/>
      <c r="AH147" s="210"/>
      <c r="AI147" s="93"/>
      <c r="AJ147" s="93">
        <f t="shared" ca="1" si="5"/>
        <v>0</v>
      </c>
      <c r="AK147" s="93">
        <f t="shared" ca="1" si="6"/>
        <v>0</v>
      </c>
      <c r="AL147" s="213"/>
      <c r="AM147" s="213"/>
      <c r="AN147" s="213"/>
      <c r="AO147" s="213"/>
      <c r="AP147" s="213"/>
      <c r="AQ147" s="213"/>
      <c r="AR147" s="213"/>
      <c r="AS147" s="213"/>
      <c r="AT147" s="213"/>
      <c r="AU147" s="213"/>
      <c r="AV147" s="213"/>
      <c r="AW147" s="213"/>
      <c r="AX147" s="213"/>
      <c r="AY147" s="213"/>
      <c r="AZ147" s="213"/>
      <c r="BA147" s="213"/>
      <c r="BB147" s="213"/>
      <c r="BC147" s="213"/>
      <c r="BD147" s="213"/>
      <c r="BE147" s="213"/>
      <c r="BF147" s="213"/>
      <c r="BG147" s="213"/>
      <c r="BH147" s="213"/>
      <c r="BI147" s="213"/>
      <c r="BJ147" s="213"/>
      <c r="BK147" s="213"/>
      <c r="BL147" s="213"/>
      <c r="BM147" s="213"/>
      <c r="BN147" s="213"/>
      <c r="BO147" s="213"/>
      <c r="BP147" s="213"/>
      <c r="BQ147" s="213"/>
      <c r="BR147" s="213"/>
      <c r="BS147" s="213"/>
      <c r="BT147" s="213"/>
      <c r="BU147" s="213"/>
      <c r="BV147" s="213"/>
      <c r="BW147" s="213"/>
      <c r="BX147" s="213"/>
    </row>
    <row r="148" spans="1:76" s="209" customFormat="1" ht="22.5" customHeight="1">
      <c r="A148" s="235">
        <v>143</v>
      </c>
      <c r="B148" s="235"/>
      <c r="C148" s="235"/>
      <c r="D148" s="203"/>
      <c r="E148" s="204"/>
      <c r="F148" s="235"/>
      <c r="G148" s="235"/>
      <c r="H148" s="203"/>
      <c r="I148" s="203"/>
      <c r="J148" s="203"/>
      <c r="K148" s="205"/>
      <c r="L148" s="206"/>
      <c r="M148" s="203"/>
      <c r="N148" s="207"/>
      <c r="O148" s="207"/>
      <c r="P148" s="207"/>
      <c r="Q148" s="207"/>
      <c r="R148" s="206"/>
      <c r="S148" s="205"/>
      <c r="T148" s="205"/>
      <c r="U148" s="207"/>
      <c r="V148" s="226"/>
      <c r="W148" s="208"/>
      <c r="X148" s="208"/>
      <c r="Y148" s="208"/>
      <c r="Z148" s="208"/>
      <c r="AA148" s="208"/>
      <c r="AB148" s="210"/>
      <c r="AC148" s="210"/>
      <c r="AD148" s="210"/>
      <c r="AE148" s="210"/>
      <c r="AF148" s="210"/>
      <c r="AG148" s="210"/>
      <c r="AH148" s="210"/>
      <c r="AI148" s="93"/>
      <c r="AJ148" s="93">
        <f t="shared" ca="1" si="5"/>
        <v>0</v>
      </c>
      <c r="AK148" s="93">
        <f t="shared" ca="1" si="6"/>
        <v>0</v>
      </c>
      <c r="AL148" s="213"/>
      <c r="AM148" s="213"/>
      <c r="AN148" s="213"/>
      <c r="AO148" s="213"/>
      <c r="AP148" s="213"/>
      <c r="AQ148" s="213"/>
      <c r="AR148" s="213"/>
      <c r="AS148" s="213"/>
      <c r="AT148" s="213"/>
      <c r="AU148" s="213"/>
      <c r="AV148" s="213"/>
      <c r="AW148" s="213"/>
      <c r="AX148" s="213"/>
      <c r="AY148" s="213"/>
      <c r="AZ148" s="213"/>
      <c r="BA148" s="213"/>
      <c r="BB148" s="213"/>
      <c r="BC148" s="213"/>
      <c r="BD148" s="213"/>
      <c r="BE148" s="213"/>
      <c r="BF148" s="213"/>
      <c r="BG148" s="213"/>
      <c r="BH148" s="213"/>
      <c r="BI148" s="213"/>
      <c r="BJ148" s="213"/>
      <c r="BK148" s="213"/>
      <c r="BL148" s="213"/>
      <c r="BM148" s="213"/>
      <c r="BN148" s="213"/>
      <c r="BO148" s="213"/>
      <c r="BP148" s="213"/>
      <c r="BQ148" s="213"/>
      <c r="BR148" s="213"/>
      <c r="BS148" s="213"/>
      <c r="BT148" s="213"/>
      <c r="BU148" s="213"/>
      <c r="BV148" s="213"/>
      <c r="BW148" s="213"/>
      <c r="BX148" s="213"/>
    </row>
    <row r="149" spans="1:76" s="209" customFormat="1" ht="22.5" customHeight="1">
      <c r="A149" s="235">
        <v>144</v>
      </c>
      <c r="B149" s="235"/>
      <c r="C149" s="235"/>
      <c r="D149" s="203"/>
      <c r="E149" s="204"/>
      <c r="F149" s="235"/>
      <c r="G149" s="235"/>
      <c r="H149" s="203"/>
      <c r="I149" s="203"/>
      <c r="J149" s="203"/>
      <c r="K149" s="205"/>
      <c r="L149" s="206"/>
      <c r="M149" s="203"/>
      <c r="N149" s="207"/>
      <c r="O149" s="207"/>
      <c r="P149" s="207"/>
      <c r="Q149" s="207"/>
      <c r="R149" s="206"/>
      <c r="S149" s="205"/>
      <c r="T149" s="205"/>
      <c r="U149" s="207"/>
      <c r="V149" s="226"/>
      <c r="W149" s="208"/>
      <c r="X149" s="208"/>
      <c r="Y149" s="208"/>
      <c r="Z149" s="208"/>
      <c r="AA149" s="208"/>
      <c r="AB149" s="210"/>
      <c r="AC149" s="210"/>
      <c r="AD149" s="210"/>
      <c r="AE149" s="210"/>
      <c r="AF149" s="210"/>
      <c r="AG149" s="210"/>
      <c r="AH149" s="210"/>
      <c r="AI149" s="93"/>
      <c r="AJ149" s="93">
        <f t="shared" ca="1" si="5"/>
        <v>0</v>
      </c>
      <c r="AK149" s="93">
        <f t="shared" ca="1" si="6"/>
        <v>0</v>
      </c>
      <c r="AL149" s="213"/>
      <c r="AM149" s="213"/>
      <c r="AN149" s="213"/>
      <c r="AO149" s="213"/>
      <c r="AP149" s="213"/>
      <c r="AQ149" s="213"/>
      <c r="AR149" s="213"/>
      <c r="AS149" s="213"/>
      <c r="AT149" s="213"/>
      <c r="AU149" s="213"/>
      <c r="AV149" s="213"/>
      <c r="AW149" s="213"/>
      <c r="AX149" s="213"/>
      <c r="AY149" s="213"/>
      <c r="AZ149" s="213"/>
      <c r="BA149" s="213"/>
      <c r="BB149" s="213"/>
      <c r="BC149" s="213"/>
      <c r="BD149" s="213"/>
      <c r="BE149" s="213"/>
      <c r="BF149" s="213"/>
      <c r="BG149" s="213"/>
      <c r="BH149" s="213"/>
      <c r="BI149" s="213"/>
      <c r="BJ149" s="213"/>
      <c r="BK149" s="213"/>
      <c r="BL149" s="213"/>
      <c r="BM149" s="213"/>
      <c r="BN149" s="213"/>
      <c r="BO149" s="213"/>
      <c r="BP149" s="213"/>
      <c r="BQ149" s="213"/>
      <c r="BR149" s="213"/>
      <c r="BS149" s="213"/>
      <c r="BT149" s="213"/>
      <c r="BU149" s="213"/>
      <c r="BV149" s="213"/>
      <c r="BW149" s="213"/>
      <c r="BX149" s="213"/>
    </row>
    <row r="150" spans="1:76" s="209" customFormat="1" ht="22.5" customHeight="1">
      <c r="A150" s="235">
        <v>145</v>
      </c>
      <c r="B150" s="235"/>
      <c r="C150" s="235"/>
      <c r="D150" s="203"/>
      <c r="E150" s="204"/>
      <c r="F150" s="235"/>
      <c r="G150" s="235"/>
      <c r="H150" s="203"/>
      <c r="I150" s="203"/>
      <c r="J150" s="203"/>
      <c r="K150" s="205"/>
      <c r="L150" s="206"/>
      <c r="M150" s="203"/>
      <c r="N150" s="207"/>
      <c r="O150" s="207"/>
      <c r="P150" s="207"/>
      <c r="Q150" s="207"/>
      <c r="R150" s="206"/>
      <c r="S150" s="205"/>
      <c r="T150" s="205"/>
      <c r="U150" s="207"/>
      <c r="V150" s="226"/>
      <c r="W150" s="208"/>
      <c r="X150" s="208"/>
      <c r="Y150" s="208"/>
      <c r="Z150" s="208"/>
      <c r="AA150" s="208"/>
      <c r="AB150" s="210"/>
      <c r="AC150" s="210"/>
      <c r="AD150" s="210"/>
      <c r="AE150" s="210"/>
      <c r="AF150" s="210"/>
      <c r="AG150" s="210"/>
      <c r="AH150" s="210"/>
      <c r="AI150" s="93"/>
      <c r="AJ150" s="93">
        <f t="shared" ca="1" si="5"/>
        <v>0</v>
      </c>
      <c r="AK150" s="93">
        <f t="shared" ca="1" si="6"/>
        <v>0</v>
      </c>
      <c r="AL150" s="213"/>
      <c r="AM150" s="213"/>
      <c r="AN150" s="213"/>
      <c r="AO150" s="213"/>
      <c r="AP150" s="213"/>
      <c r="AQ150" s="213"/>
      <c r="AR150" s="213"/>
      <c r="AS150" s="213"/>
      <c r="AT150" s="213"/>
      <c r="AU150" s="213"/>
      <c r="AV150" s="213"/>
      <c r="AW150" s="213"/>
      <c r="AX150" s="213"/>
      <c r="AY150" s="213"/>
      <c r="AZ150" s="213"/>
      <c r="BA150" s="213"/>
      <c r="BB150" s="213"/>
      <c r="BC150" s="213"/>
      <c r="BD150" s="213"/>
      <c r="BE150" s="213"/>
      <c r="BF150" s="213"/>
      <c r="BG150" s="213"/>
      <c r="BH150" s="213"/>
      <c r="BI150" s="213"/>
      <c r="BJ150" s="213"/>
      <c r="BK150" s="213"/>
      <c r="BL150" s="213"/>
      <c r="BM150" s="213"/>
      <c r="BN150" s="213"/>
      <c r="BO150" s="213"/>
      <c r="BP150" s="213"/>
      <c r="BQ150" s="213"/>
      <c r="BR150" s="213"/>
      <c r="BS150" s="213"/>
      <c r="BT150" s="213"/>
      <c r="BU150" s="213"/>
      <c r="BV150" s="213"/>
      <c r="BW150" s="213"/>
      <c r="BX150" s="213"/>
    </row>
    <row r="151" spans="1:76" s="209" customFormat="1" ht="22.5" customHeight="1">
      <c r="A151" s="235">
        <v>146</v>
      </c>
      <c r="B151" s="235"/>
      <c r="C151" s="235"/>
      <c r="D151" s="203"/>
      <c r="E151" s="204"/>
      <c r="F151" s="235"/>
      <c r="G151" s="235"/>
      <c r="H151" s="203"/>
      <c r="I151" s="203"/>
      <c r="J151" s="203"/>
      <c r="K151" s="205"/>
      <c r="L151" s="206"/>
      <c r="M151" s="203"/>
      <c r="N151" s="207"/>
      <c r="O151" s="207"/>
      <c r="P151" s="207"/>
      <c r="Q151" s="207"/>
      <c r="R151" s="206"/>
      <c r="S151" s="205"/>
      <c r="T151" s="205"/>
      <c r="U151" s="207"/>
      <c r="V151" s="226"/>
      <c r="W151" s="208"/>
      <c r="X151" s="208"/>
      <c r="Y151" s="208"/>
      <c r="Z151" s="208"/>
      <c r="AA151" s="208"/>
      <c r="AB151" s="210"/>
      <c r="AC151" s="210"/>
      <c r="AD151" s="210"/>
      <c r="AE151" s="210"/>
      <c r="AF151" s="210"/>
      <c r="AG151" s="210"/>
      <c r="AH151" s="210"/>
      <c r="AI151" s="93"/>
      <c r="AJ151" s="93">
        <f t="shared" ca="1" si="5"/>
        <v>0</v>
      </c>
      <c r="AK151" s="93">
        <f t="shared" ca="1" si="6"/>
        <v>0</v>
      </c>
      <c r="AL151" s="213"/>
      <c r="AM151" s="213"/>
      <c r="AN151" s="213"/>
      <c r="AO151" s="213"/>
      <c r="AP151" s="213"/>
      <c r="AQ151" s="213"/>
      <c r="AR151" s="213"/>
      <c r="AS151" s="213"/>
      <c r="AT151" s="213"/>
      <c r="AU151" s="213"/>
      <c r="AV151" s="213"/>
      <c r="AW151" s="213"/>
      <c r="AX151" s="213"/>
      <c r="AY151" s="213"/>
      <c r="AZ151" s="213"/>
      <c r="BA151" s="213"/>
      <c r="BB151" s="213"/>
      <c r="BC151" s="213"/>
      <c r="BD151" s="213"/>
      <c r="BE151" s="213"/>
      <c r="BF151" s="213"/>
      <c r="BG151" s="213"/>
      <c r="BH151" s="213"/>
      <c r="BI151" s="213"/>
      <c r="BJ151" s="213"/>
      <c r="BK151" s="213"/>
      <c r="BL151" s="213"/>
      <c r="BM151" s="213"/>
      <c r="BN151" s="213"/>
      <c r="BO151" s="213"/>
      <c r="BP151" s="213"/>
      <c r="BQ151" s="213"/>
      <c r="BR151" s="213"/>
      <c r="BS151" s="213"/>
      <c r="BT151" s="213"/>
      <c r="BU151" s="213"/>
      <c r="BV151" s="213"/>
      <c r="BW151" s="213"/>
      <c r="BX151" s="213"/>
    </row>
    <row r="152" spans="1:76" s="209" customFormat="1" ht="22.5" customHeight="1">
      <c r="A152" s="235">
        <v>147</v>
      </c>
      <c r="B152" s="235"/>
      <c r="C152" s="235"/>
      <c r="D152" s="203"/>
      <c r="E152" s="204"/>
      <c r="F152" s="235"/>
      <c r="G152" s="235"/>
      <c r="H152" s="203"/>
      <c r="I152" s="203"/>
      <c r="J152" s="203"/>
      <c r="K152" s="205"/>
      <c r="L152" s="206"/>
      <c r="M152" s="203"/>
      <c r="N152" s="207"/>
      <c r="O152" s="207"/>
      <c r="P152" s="207"/>
      <c r="Q152" s="207"/>
      <c r="R152" s="206"/>
      <c r="S152" s="205"/>
      <c r="T152" s="205"/>
      <c r="U152" s="207"/>
      <c r="V152" s="226"/>
      <c r="W152" s="208"/>
      <c r="X152" s="208"/>
      <c r="Y152" s="208"/>
      <c r="Z152" s="208"/>
      <c r="AA152" s="208"/>
      <c r="AB152" s="210"/>
      <c r="AC152" s="210"/>
      <c r="AD152" s="210"/>
      <c r="AE152" s="210"/>
      <c r="AF152" s="210"/>
      <c r="AG152" s="210"/>
      <c r="AH152" s="210"/>
      <c r="AI152" s="93"/>
      <c r="AJ152" s="93">
        <f t="shared" ca="1" si="5"/>
        <v>0</v>
      </c>
      <c r="AK152" s="93">
        <f t="shared" ca="1" si="6"/>
        <v>0</v>
      </c>
      <c r="AL152" s="213"/>
      <c r="AM152" s="213"/>
      <c r="AN152" s="213"/>
      <c r="AO152" s="213"/>
      <c r="AP152" s="213"/>
      <c r="AQ152" s="213"/>
      <c r="AR152" s="213"/>
      <c r="AS152" s="213"/>
      <c r="AT152" s="213"/>
      <c r="AU152" s="213"/>
      <c r="AV152" s="213"/>
      <c r="AW152" s="213"/>
      <c r="AX152" s="213"/>
      <c r="AY152" s="213"/>
      <c r="AZ152" s="213"/>
      <c r="BA152" s="213"/>
      <c r="BB152" s="213"/>
      <c r="BC152" s="213"/>
      <c r="BD152" s="213"/>
      <c r="BE152" s="213"/>
      <c r="BF152" s="213"/>
      <c r="BG152" s="213"/>
      <c r="BH152" s="213"/>
      <c r="BI152" s="213"/>
      <c r="BJ152" s="213"/>
      <c r="BK152" s="213"/>
      <c r="BL152" s="213"/>
      <c r="BM152" s="213"/>
      <c r="BN152" s="213"/>
      <c r="BO152" s="213"/>
      <c r="BP152" s="213"/>
      <c r="BQ152" s="213"/>
      <c r="BR152" s="213"/>
      <c r="BS152" s="213"/>
      <c r="BT152" s="213"/>
      <c r="BU152" s="213"/>
      <c r="BV152" s="213"/>
      <c r="BW152" s="213"/>
      <c r="BX152" s="213"/>
    </row>
    <row r="153" spans="1:76" s="209" customFormat="1" ht="22.5" customHeight="1">
      <c r="A153" s="235">
        <v>148</v>
      </c>
      <c r="B153" s="235"/>
      <c r="C153" s="235"/>
      <c r="D153" s="203"/>
      <c r="E153" s="204"/>
      <c r="F153" s="235"/>
      <c r="G153" s="235"/>
      <c r="H153" s="203"/>
      <c r="I153" s="203"/>
      <c r="J153" s="203"/>
      <c r="K153" s="205"/>
      <c r="L153" s="206"/>
      <c r="M153" s="203"/>
      <c r="N153" s="207"/>
      <c r="O153" s="207"/>
      <c r="P153" s="207"/>
      <c r="Q153" s="207"/>
      <c r="R153" s="206"/>
      <c r="S153" s="205"/>
      <c r="T153" s="205"/>
      <c r="U153" s="207"/>
      <c r="V153" s="226"/>
      <c r="W153" s="208"/>
      <c r="X153" s="208"/>
      <c r="Y153" s="208"/>
      <c r="Z153" s="208"/>
      <c r="AA153" s="208"/>
      <c r="AB153" s="210"/>
      <c r="AC153" s="210"/>
      <c r="AD153" s="210"/>
      <c r="AE153" s="210"/>
      <c r="AF153" s="210"/>
      <c r="AG153" s="210"/>
      <c r="AH153" s="210"/>
      <c r="AI153" s="93"/>
      <c r="AJ153" s="93">
        <f t="shared" ca="1" si="5"/>
        <v>0</v>
      </c>
      <c r="AK153" s="93">
        <f t="shared" ca="1" si="6"/>
        <v>0</v>
      </c>
      <c r="AL153" s="213"/>
      <c r="AM153" s="213"/>
      <c r="AN153" s="213"/>
      <c r="AO153" s="213"/>
      <c r="AP153" s="213"/>
      <c r="AQ153" s="213"/>
      <c r="AR153" s="213"/>
      <c r="AS153" s="213"/>
      <c r="AT153" s="213"/>
      <c r="AU153" s="213"/>
      <c r="AV153" s="213"/>
      <c r="AW153" s="213"/>
      <c r="AX153" s="213"/>
      <c r="AY153" s="213"/>
      <c r="AZ153" s="213"/>
      <c r="BA153" s="213"/>
      <c r="BB153" s="213"/>
      <c r="BC153" s="213"/>
      <c r="BD153" s="213"/>
      <c r="BE153" s="213"/>
      <c r="BF153" s="213"/>
      <c r="BG153" s="213"/>
      <c r="BH153" s="213"/>
      <c r="BI153" s="213"/>
      <c r="BJ153" s="213"/>
      <c r="BK153" s="213"/>
      <c r="BL153" s="213"/>
      <c r="BM153" s="213"/>
      <c r="BN153" s="213"/>
      <c r="BO153" s="213"/>
      <c r="BP153" s="213"/>
      <c r="BQ153" s="213"/>
      <c r="BR153" s="213"/>
      <c r="BS153" s="213"/>
      <c r="BT153" s="213"/>
      <c r="BU153" s="213"/>
      <c r="BV153" s="213"/>
      <c r="BW153" s="213"/>
      <c r="BX153" s="213"/>
    </row>
    <row r="154" spans="1:76" s="209" customFormat="1" ht="22.5" customHeight="1">
      <c r="A154" s="235">
        <v>149</v>
      </c>
      <c r="B154" s="235"/>
      <c r="C154" s="235"/>
      <c r="D154" s="203"/>
      <c r="E154" s="204"/>
      <c r="F154" s="235"/>
      <c r="G154" s="235"/>
      <c r="H154" s="203"/>
      <c r="I154" s="203"/>
      <c r="J154" s="203"/>
      <c r="K154" s="205"/>
      <c r="L154" s="206"/>
      <c r="M154" s="203"/>
      <c r="N154" s="207"/>
      <c r="O154" s="207"/>
      <c r="P154" s="207"/>
      <c r="Q154" s="207"/>
      <c r="R154" s="206"/>
      <c r="S154" s="205"/>
      <c r="T154" s="205"/>
      <c r="U154" s="207"/>
      <c r="V154" s="226"/>
      <c r="W154" s="208"/>
      <c r="X154" s="208"/>
      <c r="Y154" s="208"/>
      <c r="Z154" s="208"/>
      <c r="AA154" s="208"/>
      <c r="AB154" s="210"/>
      <c r="AC154" s="210"/>
      <c r="AD154" s="210"/>
      <c r="AE154" s="210"/>
      <c r="AF154" s="210"/>
      <c r="AG154" s="210"/>
      <c r="AH154" s="210"/>
      <c r="AI154" s="93"/>
      <c r="AJ154" s="93">
        <f t="shared" ca="1" si="5"/>
        <v>0</v>
      </c>
      <c r="AK154" s="93">
        <f t="shared" ca="1" si="6"/>
        <v>0</v>
      </c>
      <c r="AL154" s="213"/>
      <c r="AM154" s="213"/>
      <c r="AN154" s="213"/>
      <c r="AO154" s="213"/>
      <c r="AP154" s="213"/>
      <c r="AQ154" s="213"/>
      <c r="AR154" s="213"/>
      <c r="AS154" s="213"/>
      <c r="AT154" s="213"/>
      <c r="AU154" s="213"/>
      <c r="AV154" s="213"/>
      <c r="AW154" s="213"/>
      <c r="AX154" s="213"/>
      <c r="AY154" s="213"/>
      <c r="AZ154" s="213"/>
      <c r="BA154" s="213"/>
      <c r="BB154" s="213"/>
      <c r="BC154" s="213"/>
      <c r="BD154" s="213"/>
      <c r="BE154" s="213"/>
      <c r="BF154" s="213"/>
      <c r="BG154" s="213"/>
      <c r="BH154" s="213"/>
      <c r="BI154" s="213"/>
      <c r="BJ154" s="213"/>
      <c r="BK154" s="213"/>
      <c r="BL154" s="213"/>
      <c r="BM154" s="213"/>
      <c r="BN154" s="213"/>
      <c r="BO154" s="213"/>
      <c r="BP154" s="213"/>
      <c r="BQ154" s="213"/>
      <c r="BR154" s="213"/>
      <c r="BS154" s="213"/>
      <c r="BT154" s="213"/>
      <c r="BU154" s="213"/>
      <c r="BV154" s="213"/>
      <c r="BW154" s="213"/>
      <c r="BX154" s="213"/>
    </row>
    <row r="155" spans="1:76" s="209" customFormat="1" ht="22.5" customHeight="1">
      <c r="A155" s="235">
        <v>150</v>
      </c>
      <c r="B155" s="235"/>
      <c r="C155" s="235"/>
      <c r="D155" s="203"/>
      <c r="E155" s="204"/>
      <c r="F155" s="235"/>
      <c r="G155" s="235"/>
      <c r="H155" s="203"/>
      <c r="I155" s="203"/>
      <c r="J155" s="203"/>
      <c r="K155" s="205"/>
      <c r="L155" s="206"/>
      <c r="M155" s="203"/>
      <c r="N155" s="207"/>
      <c r="O155" s="207"/>
      <c r="P155" s="207"/>
      <c r="Q155" s="207"/>
      <c r="R155" s="206"/>
      <c r="S155" s="205"/>
      <c r="T155" s="205"/>
      <c r="U155" s="207"/>
      <c r="V155" s="226"/>
      <c r="W155" s="208"/>
      <c r="X155" s="208"/>
      <c r="Y155" s="208"/>
      <c r="Z155" s="208"/>
      <c r="AA155" s="208"/>
      <c r="AB155" s="210"/>
      <c r="AC155" s="210"/>
      <c r="AD155" s="210"/>
      <c r="AE155" s="210"/>
      <c r="AF155" s="210"/>
      <c r="AG155" s="210"/>
      <c r="AH155" s="210"/>
      <c r="AI155" s="93"/>
      <c r="AJ155" s="93">
        <f t="shared" ca="1" si="5"/>
        <v>0</v>
      </c>
      <c r="AK155" s="93">
        <f t="shared" ca="1" si="6"/>
        <v>0</v>
      </c>
      <c r="AL155" s="213"/>
      <c r="AM155" s="213"/>
      <c r="AN155" s="213"/>
      <c r="AO155" s="213"/>
      <c r="AP155" s="213"/>
      <c r="AQ155" s="213"/>
      <c r="AR155" s="213"/>
      <c r="AS155" s="213"/>
      <c r="AT155" s="213"/>
      <c r="AU155" s="213"/>
      <c r="AV155" s="213"/>
      <c r="AW155" s="213"/>
      <c r="AX155" s="213"/>
      <c r="AY155" s="213"/>
      <c r="AZ155" s="213"/>
      <c r="BA155" s="213"/>
      <c r="BB155" s="213"/>
      <c r="BC155" s="213"/>
      <c r="BD155" s="213"/>
      <c r="BE155" s="213"/>
      <c r="BF155" s="213"/>
      <c r="BG155" s="213"/>
      <c r="BH155" s="213"/>
      <c r="BI155" s="213"/>
      <c r="BJ155" s="213"/>
      <c r="BK155" s="213"/>
      <c r="BL155" s="213"/>
      <c r="BM155" s="213"/>
      <c r="BN155" s="213"/>
      <c r="BO155" s="213"/>
      <c r="BP155" s="213"/>
      <c r="BQ155" s="213"/>
      <c r="BR155" s="213"/>
      <c r="BS155" s="213"/>
      <c r="BT155" s="213"/>
      <c r="BU155" s="213"/>
      <c r="BV155" s="213"/>
      <c r="BW155" s="213"/>
      <c r="BX155" s="213"/>
    </row>
    <row r="156" spans="1:76" s="209" customFormat="1" ht="22.5" customHeight="1">
      <c r="A156" s="235">
        <v>151</v>
      </c>
      <c r="B156" s="235"/>
      <c r="C156" s="235"/>
      <c r="D156" s="203"/>
      <c r="E156" s="204"/>
      <c r="F156" s="235"/>
      <c r="G156" s="235"/>
      <c r="H156" s="203"/>
      <c r="I156" s="203"/>
      <c r="J156" s="203"/>
      <c r="K156" s="205"/>
      <c r="L156" s="206"/>
      <c r="M156" s="203"/>
      <c r="N156" s="207"/>
      <c r="O156" s="207"/>
      <c r="P156" s="207"/>
      <c r="Q156" s="207"/>
      <c r="R156" s="206"/>
      <c r="S156" s="205"/>
      <c r="T156" s="205"/>
      <c r="U156" s="207"/>
      <c r="V156" s="226"/>
      <c r="W156" s="208"/>
      <c r="X156" s="208"/>
      <c r="Y156" s="208"/>
      <c r="Z156" s="208"/>
      <c r="AA156" s="208"/>
      <c r="AB156" s="210"/>
      <c r="AC156" s="210"/>
      <c r="AD156" s="210"/>
      <c r="AE156" s="210"/>
      <c r="AF156" s="210"/>
      <c r="AG156" s="210"/>
      <c r="AH156" s="210"/>
      <c r="AI156" s="93"/>
      <c r="AJ156" s="93">
        <f t="shared" ca="1" si="5"/>
        <v>0</v>
      </c>
      <c r="AK156" s="93">
        <f t="shared" ca="1" si="6"/>
        <v>0</v>
      </c>
      <c r="AL156" s="213"/>
      <c r="AM156" s="213"/>
      <c r="AN156" s="213"/>
      <c r="AO156" s="213"/>
      <c r="AP156" s="213"/>
      <c r="AQ156" s="213"/>
      <c r="AR156" s="213"/>
      <c r="AS156" s="213"/>
      <c r="AT156" s="213"/>
      <c r="AU156" s="213"/>
      <c r="AV156" s="213"/>
      <c r="AW156" s="213"/>
      <c r="AX156" s="213"/>
      <c r="AY156" s="213"/>
      <c r="AZ156" s="213"/>
      <c r="BA156" s="213"/>
      <c r="BB156" s="213"/>
      <c r="BC156" s="213"/>
      <c r="BD156" s="213"/>
      <c r="BE156" s="213"/>
      <c r="BF156" s="213"/>
      <c r="BG156" s="213"/>
      <c r="BH156" s="213"/>
      <c r="BI156" s="213"/>
      <c r="BJ156" s="213"/>
      <c r="BK156" s="213"/>
      <c r="BL156" s="213"/>
      <c r="BM156" s="213"/>
      <c r="BN156" s="213"/>
      <c r="BO156" s="213"/>
      <c r="BP156" s="213"/>
      <c r="BQ156" s="213"/>
      <c r="BR156" s="213"/>
      <c r="BS156" s="213"/>
      <c r="BT156" s="213"/>
      <c r="BU156" s="213"/>
      <c r="BV156" s="213"/>
      <c r="BW156" s="213"/>
      <c r="BX156" s="213"/>
    </row>
    <row r="157" spans="1:76" s="209" customFormat="1" ht="22.5" customHeight="1">
      <c r="A157" s="235">
        <v>152</v>
      </c>
      <c r="B157" s="235"/>
      <c r="C157" s="235"/>
      <c r="D157" s="203"/>
      <c r="E157" s="204"/>
      <c r="F157" s="235"/>
      <c r="G157" s="235"/>
      <c r="H157" s="203"/>
      <c r="I157" s="203"/>
      <c r="J157" s="203"/>
      <c r="K157" s="205"/>
      <c r="L157" s="206"/>
      <c r="M157" s="203"/>
      <c r="N157" s="207"/>
      <c r="O157" s="207"/>
      <c r="P157" s="207"/>
      <c r="Q157" s="207"/>
      <c r="R157" s="206"/>
      <c r="S157" s="205"/>
      <c r="T157" s="205"/>
      <c r="U157" s="207"/>
      <c r="V157" s="226"/>
      <c r="W157" s="208"/>
      <c r="X157" s="208"/>
      <c r="Y157" s="208"/>
      <c r="Z157" s="208"/>
      <c r="AA157" s="208"/>
      <c r="AB157" s="210"/>
      <c r="AC157" s="210"/>
      <c r="AD157" s="210"/>
      <c r="AE157" s="210"/>
      <c r="AF157" s="210"/>
      <c r="AG157" s="210"/>
      <c r="AH157" s="210"/>
      <c r="AI157" s="93"/>
      <c r="AJ157" s="93">
        <f t="shared" ca="1" si="5"/>
        <v>0</v>
      </c>
      <c r="AK157" s="93">
        <f t="shared" ca="1" si="6"/>
        <v>0</v>
      </c>
      <c r="AL157" s="213"/>
      <c r="AM157" s="213"/>
      <c r="AN157" s="213"/>
      <c r="AO157" s="213"/>
      <c r="AP157" s="213"/>
      <c r="AQ157" s="213"/>
      <c r="AR157" s="213"/>
      <c r="AS157" s="213"/>
      <c r="AT157" s="213"/>
      <c r="AU157" s="213"/>
      <c r="AV157" s="213"/>
      <c r="AW157" s="213"/>
      <c r="AX157" s="213"/>
      <c r="AY157" s="213"/>
      <c r="AZ157" s="213"/>
      <c r="BA157" s="213"/>
      <c r="BB157" s="213"/>
      <c r="BC157" s="213"/>
      <c r="BD157" s="213"/>
      <c r="BE157" s="213"/>
      <c r="BF157" s="213"/>
      <c r="BG157" s="213"/>
      <c r="BH157" s="213"/>
      <c r="BI157" s="213"/>
      <c r="BJ157" s="213"/>
      <c r="BK157" s="213"/>
      <c r="BL157" s="213"/>
      <c r="BM157" s="213"/>
      <c r="BN157" s="213"/>
      <c r="BO157" s="213"/>
      <c r="BP157" s="213"/>
      <c r="BQ157" s="213"/>
      <c r="BR157" s="213"/>
      <c r="BS157" s="213"/>
      <c r="BT157" s="213"/>
      <c r="BU157" s="213"/>
      <c r="BV157" s="213"/>
      <c r="BW157" s="213"/>
      <c r="BX157" s="213"/>
    </row>
    <row r="158" spans="1:76" s="209" customFormat="1" ht="22.5" customHeight="1">
      <c r="A158" s="235">
        <v>153</v>
      </c>
      <c r="B158" s="235"/>
      <c r="C158" s="235"/>
      <c r="D158" s="203"/>
      <c r="E158" s="204"/>
      <c r="F158" s="235"/>
      <c r="G158" s="235"/>
      <c r="H158" s="203"/>
      <c r="I158" s="203"/>
      <c r="J158" s="203"/>
      <c r="K158" s="205"/>
      <c r="L158" s="206"/>
      <c r="M158" s="203"/>
      <c r="N158" s="207"/>
      <c r="O158" s="207"/>
      <c r="P158" s="207"/>
      <c r="Q158" s="207"/>
      <c r="R158" s="206"/>
      <c r="S158" s="205"/>
      <c r="T158" s="205"/>
      <c r="U158" s="207"/>
      <c r="V158" s="226"/>
      <c r="W158" s="208"/>
      <c r="X158" s="208"/>
      <c r="Y158" s="208"/>
      <c r="Z158" s="208"/>
      <c r="AA158" s="208"/>
      <c r="AB158" s="210"/>
      <c r="AC158" s="210"/>
      <c r="AD158" s="210"/>
      <c r="AE158" s="210"/>
      <c r="AF158" s="210"/>
      <c r="AG158" s="210"/>
      <c r="AH158" s="210"/>
      <c r="AI158" s="93"/>
      <c r="AJ158" s="93">
        <f t="shared" ca="1" si="5"/>
        <v>0</v>
      </c>
      <c r="AK158" s="93">
        <f t="shared" ca="1" si="6"/>
        <v>0</v>
      </c>
      <c r="AL158" s="213"/>
      <c r="AM158" s="213"/>
      <c r="AN158" s="213"/>
      <c r="AO158" s="213"/>
      <c r="AP158" s="213"/>
      <c r="AQ158" s="213"/>
      <c r="AR158" s="213"/>
      <c r="AS158" s="213"/>
      <c r="AT158" s="213"/>
      <c r="AU158" s="213"/>
      <c r="AV158" s="213"/>
      <c r="AW158" s="213"/>
      <c r="AX158" s="213"/>
      <c r="AY158" s="213"/>
      <c r="AZ158" s="213"/>
      <c r="BA158" s="213"/>
      <c r="BB158" s="213"/>
      <c r="BC158" s="213"/>
      <c r="BD158" s="213"/>
      <c r="BE158" s="213"/>
      <c r="BF158" s="213"/>
      <c r="BG158" s="213"/>
      <c r="BH158" s="213"/>
      <c r="BI158" s="213"/>
      <c r="BJ158" s="213"/>
      <c r="BK158" s="213"/>
      <c r="BL158" s="213"/>
      <c r="BM158" s="213"/>
      <c r="BN158" s="213"/>
      <c r="BO158" s="213"/>
      <c r="BP158" s="213"/>
      <c r="BQ158" s="213"/>
      <c r="BR158" s="213"/>
      <c r="BS158" s="213"/>
      <c r="BT158" s="213"/>
      <c r="BU158" s="213"/>
      <c r="BV158" s="213"/>
      <c r="BW158" s="213"/>
      <c r="BX158" s="213"/>
    </row>
    <row r="159" spans="1:76" s="209" customFormat="1" ht="22.5" customHeight="1">
      <c r="A159" s="235">
        <v>154</v>
      </c>
      <c r="B159" s="235"/>
      <c r="C159" s="235"/>
      <c r="D159" s="203"/>
      <c r="E159" s="204"/>
      <c r="F159" s="235"/>
      <c r="G159" s="235"/>
      <c r="H159" s="203"/>
      <c r="I159" s="203"/>
      <c r="J159" s="203"/>
      <c r="K159" s="205"/>
      <c r="L159" s="206"/>
      <c r="M159" s="203"/>
      <c r="N159" s="207"/>
      <c r="O159" s="207"/>
      <c r="P159" s="207"/>
      <c r="Q159" s="207"/>
      <c r="R159" s="206"/>
      <c r="S159" s="205"/>
      <c r="T159" s="205"/>
      <c r="U159" s="207"/>
      <c r="V159" s="226"/>
      <c r="W159" s="208"/>
      <c r="X159" s="208"/>
      <c r="Y159" s="208"/>
      <c r="Z159" s="208"/>
      <c r="AA159" s="208"/>
      <c r="AB159" s="210"/>
      <c r="AC159" s="210"/>
      <c r="AD159" s="210"/>
      <c r="AE159" s="210"/>
      <c r="AF159" s="210"/>
      <c r="AG159" s="210"/>
      <c r="AH159" s="210"/>
      <c r="AI159" s="93"/>
      <c r="AJ159" s="93">
        <f t="shared" ca="1" si="5"/>
        <v>0</v>
      </c>
      <c r="AK159" s="93">
        <f t="shared" ca="1" si="6"/>
        <v>0</v>
      </c>
      <c r="AL159" s="213"/>
      <c r="AM159" s="213"/>
      <c r="AN159" s="213"/>
      <c r="AO159" s="213"/>
      <c r="AP159" s="213"/>
      <c r="AQ159" s="213"/>
      <c r="AR159" s="213"/>
      <c r="AS159" s="213"/>
      <c r="AT159" s="213"/>
      <c r="AU159" s="213"/>
      <c r="AV159" s="213"/>
      <c r="AW159" s="213"/>
      <c r="AX159" s="213"/>
      <c r="AY159" s="213"/>
      <c r="AZ159" s="213"/>
      <c r="BA159" s="213"/>
      <c r="BB159" s="213"/>
      <c r="BC159" s="213"/>
      <c r="BD159" s="213"/>
      <c r="BE159" s="213"/>
      <c r="BF159" s="213"/>
      <c r="BG159" s="213"/>
      <c r="BH159" s="213"/>
      <c r="BI159" s="213"/>
      <c r="BJ159" s="213"/>
      <c r="BK159" s="213"/>
      <c r="BL159" s="213"/>
      <c r="BM159" s="213"/>
      <c r="BN159" s="213"/>
      <c r="BO159" s="213"/>
      <c r="BP159" s="213"/>
      <c r="BQ159" s="213"/>
      <c r="BR159" s="213"/>
      <c r="BS159" s="213"/>
      <c r="BT159" s="213"/>
      <c r="BU159" s="213"/>
      <c r="BV159" s="213"/>
      <c r="BW159" s="213"/>
      <c r="BX159" s="213"/>
    </row>
    <row r="160" spans="1:76" s="209" customFormat="1" ht="22.5" customHeight="1">
      <c r="A160" s="235">
        <v>155</v>
      </c>
      <c r="B160" s="235"/>
      <c r="C160" s="235"/>
      <c r="D160" s="203"/>
      <c r="E160" s="204"/>
      <c r="F160" s="235"/>
      <c r="G160" s="235"/>
      <c r="H160" s="203"/>
      <c r="I160" s="203"/>
      <c r="J160" s="203"/>
      <c r="K160" s="205"/>
      <c r="L160" s="206"/>
      <c r="M160" s="203"/>
      <c r="N160" s="207"/>
      <c r="O160" s="207"/>
      <c r="P160" s="207"/>
      <c r="Q160" s="207"/>
      <c r="R160" s="206"/>
      <c r="S160" s="205"/>
      <c r="T160" s="205"/>
      <c r="U160" s="207"/>
      <c r="V160" s="226"/>
      <c r="W160" s="208"/>
      <c r="X160" s="208"/>
      <c r="Y160" s="208"/>
      <c r="Z160" s="208"/>
      <c r="AA160" s="208"/>
      <c r="AB160" s="210"/>
      <c r="AC160" s="210"/>
      <c r="AD160" s="210"/>
      <c r="AE160" s="210"/>
      <c r="AF160" s="210"/>
      <c r="AG160" s="210"/>
      <c r="AH160" s="210"/>
      <c r="AI160" s="93"/>
      <c r="AJ160" s="93">
        <f t="shared" ca="1" si="5"/>
        <v>0</v>
      </c>
      <c r="AK160" s="93">
        <f t="shared" ca="1" si="6"/>
        <v>0</v>
      </c>
      <c r="AL160" s="213"/>
      <c r="AM160" s="213"/>
      <c r="AN160" s="213"/>
      <c r="AO160" s="213"/>
      <c r="AP160" s="213"/>
      <c r="AQ160" s="213"/>
      <c r="AR160" s="213"/>
      <c r="AS160" s="213"/>
      <c r="AT160" s="213"/>
      <c r="AU160" s="213"/>
      <c r="AV160" s="213"/>
      <c r="AW160" s="213"/>
      <c r="AX160" s="213"/>
      <c r="AY160" s="213"/>
      <c r="AZ160" s="213"/>
      <c r="BA160" s="213"/>
      <c r="BB160" s="213"/>
      <c r="BC160" s="213"/>
      <c r="BD160" s="213"/>
      <c r="BE160" s="213"/>
      <c r="BF160" s="213"/>
      <c r="BG160" s="213"/>
      <c r="BH160" s="213"/>
      <c r="BI160" s="213"/>
      <c r="BJ160" s="213"/>
      <c r="BK160" s="213"/>
      <c r="BL160" s="213"/>
      <c r="BM160" s="213"/>
      <c r="BN160" s="213"/>
      <c r="BO160" s="213"/>
      <c r="BP160" s="213"/>
      <c r="BQ160" s="213"/>
      <c r="BR160" s="213"/>
      <c r="BS160" s="213"/>
      <c r="BT160" s="213"/>
      <c r="BU160" s="213"/>
      <c r="BV160" s="213"/>
      <c r="BW160" s="213"/>
      <c r="BX160" s="213"/>
    </row>
    <row r="161" spans="1:76" s="209" customFormat="1" ht="22.5" customHeight="1">
      <c r="A161" s="235">
        <v>156</v>
      </c>
      <c r="B161" s="235"/>
      <c r="C161" s="235"/>
      <c r="D161" s="203"/>
      <c r="E161" s="204"/>
      <c r="F161" s="235"/>
      <c r="G161" s="235"/>
      <c r="H161" s="203"/>
      <c r="I161" s="203"/>
      <c r="J161" s="203"/>
      <c r="K161" s="205"/>
      <c r="L161" s="206"/>
      <c r="M161" s="203"/>
      <c r="N161" s="207"/>
      <c r="O161" s="207"/>
      <c r="P161" s="207"/>
      <c r="Q161" s="207"/>
      <c r="R161" s="206"/>
      <c r="S161" s="205"/>
      <c r="T161" s="205"/>
      <c r="U161" s="207"/>
      <c r="V161" s="226"/>
      <c r="W161" s="208"/>
      <c r="X161" s="208"/>
      <c r="Y161" s="208"/>
      <c r="Z161" s="208"/>
      <c r="AA161" s="208"/>
      <c r="AB161" s="210"/>
      <c r="AC161" s="210"/>
      <c r="AD161" s="210"/>
      <c r="AE161" s="210"/>
      <c r="AF161" s="210"/>
      <c r="AG161" s="210"/>
      <c r="AH161" s="210"/>
      <c r="AI161" s="93"/>
      <c r="AJ161" s="93">
        <f t="shared" ca="1" si="5"/>
        <v>0</v>
      </c>
      <c r="AK161" s="93">
        <f t="shared" ca="1" si="6"/>
        <v>0</v>
      </c>
      <c r="AL161" s="213"/>
      <c r="AM161" s="213"/>
      <c r="AN161" s="213"/>
      <c r="AO161" s="213"/>
      <c r="AP161" s="213"/>
      <c r="AQ161" s="213"/>
      <c r="AR161" s="213"/>
      <c r="AS161" s="213"/>
      <c r="AT161" s="213"/>
      <c r="AU161" s="213"/>
      <c r="AV161" s="213"/>
      <c r="AW161" s="213"/>
      <c r="AX161" s="213"/>
      <c r="AY161" s="213"/>
      <c r="AZ161" s="213"/>
      <c r="BA161" s="213"/>
      <c r="BB161" s="213"/>
      <c r="BC161" s="213"/>
      <c r="BD161" s="213"/>
      <c r="BE161" s="213"/>
      <c r="BF161" s="213"/>
      <c r="BG161" s="213"/>
      <c r="BH161" s="213"/>
      <c r="BI161" s="213"/>
      <c r="BJ161" s="213"/>
      <c r="BK161" s="213"/>
      <c r="BL161" s="213"/>
      <c r="BM161" s="213"/>
      <c r="BN161" s="213"/>
      <c r="BO161" s="213"/>
      <c r="BP161" s="213"/>
      <c r="BQ161" s="213"/>
      <c r="BR161" s="213"/>
      <c r="BS161" s="213"/>
      <c r="BT161" s="213"/>
      <c r="BU161" s="213"/>
      <c r="BV161" s="213"/>
      <c r="BW161" s="213"/>
      <c r="BX161" s="213"/>
    </row>
    <row r="162" spans="1:76" s="209" customFormat="1" ht="22.5" customHeight="1">
      <c r="A162" s="235">
        <v>157</v>
      </c>
      <c r="B162" s="235"/>
      <c r="C162" s="235"/>
      <c r="D162" s="203"/>
      <c r="E162" s="204"/>
      <c r="F162" s="235"/>
      <c r="G162" s="235"/>
      <c r="H162" s="203"/>
      <c r="I162" s="203"/>
      <c r="J162" s="203"/>
      <c r="K162" s="205"/>
      <c r="L162" s="206"/>
      <c r="M162" s="203"/>
      <c r="N162" s="207"/>
      <c r="O162" s="207"/>
      <c r="P162" s="207"/>
      <c r="Q162" s="207"/>
      <c r="R162" s="206"/>
      <c r="S162" s="205"/>
      <c r="T162" s="205"/>
      <c r="U162" s="207"/>
      <c r="V162" s="226"/>
      <c r="W162" s="208"/>
      <c r="X162" s="208"/>
      <c r="Y162" s="208"/>
      <c r="Z162" s="208"/>
      <c r="AA162" s="208"/>
      <c r="AB162" s="210"/>
      <c r="AC162" s="210"/>
      <c r="AD162" s="210"/>
      <c r="AE162" s="210"/>
      <c r="AF162" s="210"/>
      <c r="AG162" s="210"/>
      <c r="AH162" s="210"/>
      <c r="AI162" s="93"/>
      <c r="AJ162" s="93">
        <f t="shared" ca="1" si="5"/>
        <v>0</v>
      </c>
      <c r="AK162" s="93">
        <f t="shared" ca="1" si="6"/>
        <v>0</v>
      </c>
      <c r="AL162" s="213"/>
      <c r="AM162" s="213"/>
      <c r="AN162" s="213"/>
      <c r="AO162" s="213"/>
      <c r="AP162" s="213"/>
      <c r="AQ162" s="213"/>
      <c r="AR162" s="213"/>
      <c r="AS162" s="213"/>
      <c r="AT162" s="213"/>
      <c r="AU162" s="213"/>
      <c r="AV162" s="213"/>
      <c r="AW162" s="213"/>
      <c r="AX162" s="213"/>
      <c r="AY162" s="213"/>
      <c r="AZ162" s="213"/>
      <c r="BA162" s="213"/>
      <c r="BB162" s="213"/>
      <c r="BC162" s="213"/>
      <c r="BD162" s="213"/>
      <c r="BE162" s="213"/>
      <c r="BF162" s="213"/>
      <c r="BG162" s="213"/>
      <c r="BH162" s="213"/>
      <c r="BI162" s="213"/>
      <c r="BJ162" s="213"/>
      <c r="BK162" s="213"/>
      <c r="BL162" s="213"/>
      <c r="BM162" s="213"/>
      <c r="BN162" s="213"/>
      <c r="BO162" s="213"/>
      <c r="BP162" s="213"/>
      <c r="BQ162" s="213"/>
      <c r="BR162" s="213"/>
      <c r="BS162" s="213"/>
      <c r="BT162" s="213"/>
      <c r="BU162" s="213"/>
      <c r="BV162" s="213"/>
      <c r="BW162" s="213"/>
      <c r="BX162" s="213"/>
    </row>
    <row r="163" spans="1:76" s="209" customFormat="1" ht="22.5" customHeight="1">
      <c r="A163" s="235">
        <v>158</v>
      </c>
      <c r="B163" s="235"/>
      <c r="C163" s="235"/>
      <c r="D163" s="203"/>
      <c r="E163" s="204"/>
      <c r="F163" s="235"/>
      <c r="G163" s="235"/>
      <c r="H163" s="203"/>
      <c r="I163" s="203"/>
      <c r="J163" s="203"/>
      <c r="K163" s="205"/>
      <c r="L163" s="206"/>
      <c r="M163" s="203"/>
      <c r="N163" s="207"/>
      <c r="O163" s="207"/>
      <c r="P163" s="207"/>
      <c r="Q163" s="207"/>
      <c r="R163" s="206"/>
      <c r="S163" s="205"/>
      <c r="T163" s="205"/>
      <c r="U163" s="207"/>
      <c r="V163" s="226"/>
      <c r="W163" s="208"/>
      <c r="X163" s="208"/>
      <c r="Y163" s="208"/>
      <c r="Z163" s="208"/>
      <c r="AA163" s="208"/>
      <c r="AB163" s="210"/>
      <c r="AC163" s="210"/>
      <c r="AD163" s="210"/>
      <c r="AE163" s="210"/>
      <c r="AF163" s="210"/>
      <c r="AG163" s="210"/>
      <c r="AH163" s="210"/>
      <c r="AI163" s="93"/>
      <c r="AJ163" s="93">
        <f t="shared" ca="1" si="5"/>
        <v>0</v>
      </c>
      <c r="AK163" s="93">
        <f t="shared" ca="1" si="6"/>
        <v>0</v>
      </c>
      <c r="AL163" s="213"/>
      <c r="AM163" s="213"/>
      <c r="AN163" s="213"/>
      <c r="AO163" s="213"/>
      <c r="AP163" s="213"/>
      <c r="AQ163" s="213"/>
      <c r="AR163" s="213"/>
      <c r="AS163" s="213"/>
      <c r="AT163" s="213"/>
      <c r="AU163" s="213"/>
      <c r="AV163" s="213"/>
      <c r="AW163" s="213"/>
      <c r="AX163" s="213"/>
      <c r="AY163" s="213"/>
      <c r="AZ163" s="213"/>
      <c r="BA163" s="213"/>
      <c r="BB163" s="213"/>
      <c r="BC163" s="213"/>
      <c r="BD163" s="213"/>
      <c r="BE163" s="213"/>
      <c r="BF163" s="213"/>
      <c r="BG163" s="213"/>
      <c r="BH163" s="213"/>
      <c r="BI163" s="213"/>
      <c r="BJ163" s="213"/>
      <c r="BK163" s="213"/>
      <c r="BL163" s="213"/>
      <c r="BM163" s="213"/>
      <c r="BN163" s="213"/>
      <c r="BO163" s="213"/>
      <c r="BP163" s="213"/>
      <c r="BQ163" s="213"/>
      <c r="BR163" s="213"/>
      <c r="BS163" s="213"/>
      <c r="BT163" s="213"/>
      <c r="BU163" s="213"/>
      <c r="BV163" s="213"/>
      <c r="BW163" s="213"/>
      <c r="BX163" s="213"/>
    </row>
    <row r="164" spans="1:76" s="209" customFormat="1" ht="22.5" customHeight="1">
      <c r="A164" s="235">
        <v>159</v>
      </c>
      <c r="B164" s="235"/>
      <c r="C164" s="235"/>
      <c r="D164" s="203"/>
      <c r="E164" s="204"/>
      <c r="F164" s="235"/>
      <c r="G164" s="235"/>
      <c r="H164" s="203"/>
      <c r="I164" s="203"/>
      <c r="J164" s="203"/>
      <c r="K164" s="205"/>
      <c r="L164" s="206"/>
      <c r="M164" s="203"/>
      <c r="N164" s="207"/>
      <c r="O164" s="207"/>
      <c r="P164" s="207"/>
      <c r="Q164" s="207"/>
      <c r="R164" s="206"/>
      <c r="S164" s="205"/>
      <c r="T164" s="205"/>
      <c r="U164" s="207"/>
      <c r="V164" s="226"/>
      <c r="W164" s="208"/>
      <c r="X164" s="208"/>
      <c r="Y164" s="208"/>
      <c r="Z164" s="208"/>
      <c r="AA164" s="208"/>
      <c r="AB164" s="210"/>
      <c r="AC164" s="210"/>
      <c r="AD164" s="210"/>
      <c r="AE164" s="210"/>
      <c r="AF164" s="210"/>
      <c r="AG164" s="210"/>
      <c r="AH164" s="210"/>
      <c r="AI164" s="93"/>
      <c r="AJ164" s="93">
        <f t="shared" ca="1" si="5"/>
        <v>0</v>
      </c>
      <c r="AK164" s="93">
        <f t="shared" ca="1" si="6"/>
        <v>0</v>
      </c>
      <c r="AL164" s="213"/>
      <c r="AM164" s="213"/>
      <c r="AN164" s="213"/>
      <c r="AO164" s="213"/>
      <c r="AP164" s="213"/>
      <c r="AQ164" s="213"/>
      <c r="AR164" s="213"/>
      <c r="AS164" s="213"/>
      <c r="AT164" s="213"/>
      <c r="AU164" s="213"/>
      <c r="AV164" s="213"/>
      <c r="AW164" s="213"/>
      <c r="AX164" s="213"/>
      <c r="AY164" s="213"/>
      <c r="AZ164" s="213"/>
      <c r="BA164" s="213"/>
      <c r="BB164" s="213"/>
      <c r="BC164" s="213"/>
      <c r="BD164" s="213"/>
      <c r="BE164" s="213"/>
      <c r="BF164" s="213"/>
      <c r="BG164" s="213"/>
      <c r="BH164" s="213"/>
      <c r="BI164" s="213"/>
      <c r="BJ164" s="213"/>
      <c r="BK164" s="213"/>
      <c r="BL164" s="213"/>
      <c r="BM164" s="213"/>
      <c r="BN164" s="213"/>
      <c r="BO164" s="213"/>
      <c r="BP164" s="213"/>
      <c r="BQ164" s="213"/>
      <c r="BR164" s="213"/>
      <c r="BS164" s="213"/>
      <c r="BT164" s="213"/>
      <c r="BU164" s="213"/>
      <c r="BV164" s="213"/>
      <c r="BW164" s="213"/>
      <c r="BX164" s="213"/>
    </row>
    <row r="165" spans="1:76" s="209" customFormat="1" ht="22.5" customHeight="1">
      <c r="A165" s="235">
        <v>160</v>
      </c>
      <c r="B165" s="235"/>
      <c r="C165" s="235"/>
      <c r="D165" s="203"/>
      <c r="E165" s="204"/>
      <c r="F165" s="235"/>
      <c r="G165" s="235"/>
      <c r="H165" s="203"/>
      <c r="I165" s="203"/>
      <c r="J165" s="203"/>
      <c r="K165" s="205"/>
      <c r="L165" s="206"/>
      <c r="M165" s="203"/>
      <c r="N165" s="207"/>
      <c r="O165" s="207"/>
      <c r="P165" s="207"/>
      <c r="Q165" s="207"/>
      <c r="R165" s="206"/>
      <c r="S165" s="205"/>
      <c r="T165" s="205"/>
      <c r="U165" s="207"/>
      <c r="V165" s="226"/>
      <c r="W165" s="208"/>
      <c r="X165" s="208"/>
      <c r="Y165" s="208"/>
      <c r="Z165" s="208"/>
      <c r="AA165" s="208"/>
      <c r="AB165" s="210"/>
      <c r="AC165" s="210"/>
      <c r="AD165" s="210"/>
      <c r="AE165" s="210"/>
      <c r="AF165" s="210"/>
      <c r="AG165" s="210"/>
      <c r="AH165" s="210"/>
      <c r="AI165" s="93"/>
      <c r="AJ165" s="93">
        <f t="shared" ca="1" si="5"/>
        <v>0</v>
      </c>
      <c r="AK165" s="93">
        <f t="shared" ca="1" si="6"/>
        <v>0</v>
      </c>
      <c r="AL165" s="213"/>
      <c r="AM165" s="213"/>
      <c r="AN165" s="213"/>
      <c r="AO165" s="213"/>
      <c r="AP165" s="213"/>
      <c r="AQ165" s="213"/>
      <c r="AR165" s="213"/>
      <c r="AS165" s="213"/>
      <c r="AT165" s="213"/>
      <c r="AU165" s="213"/>
      <c r="AV165" s="213"/>
      <c r="AW165" s="213"/>
      <c r="AX165" s="213"/>
      <c r="AY165" s="213"/>
      <c r="AZ165" s="213"/>
      <c r="BA165" s="213"/>
      <c r="BB165" s="213"/>
      <c r="BC165" s="213"/>
      <c r="BD165" s="213"/>
      <c r="BE165" s="213"/>
      <c r="BF165" s="213"/>
      <c r="BG165" s="213"/>
      <c r="BH165" s="213"/>
      <c r="BI165" s="213"/>
      <c r="BJ165" s="213"/>
      <c r="BK165" s="213"/>
      <c r="BL165" s="213"/>
      <c r="BM165" s="213"/>
      <c r="BN165" s="213"/>
      <c r="BO165" s="213"/>
      <c r="BP165" s="213"/>
      <c r="BQ165" s="213"/>
      <c r="BR165" s="213"/>
      <c r="BS165" s="213"/>
      <c r="BT165" s="213"/>
      <c r="BU165" s="213"/>
      <c r="BV165" s="213"/>
      <c r="BW165" s="213"/>
      <c r="BX165" s="213"/>
    </row>
    <row r="166" spans="1:76" s="209" customFormat="1" ht="22.5" customHeight="1">
      <c r="A166" s="235">
        <v>161</v>
      </c>
      <c r="B166" s="235"/>
      <c r="C166" s="235"/>
      <c r="D166" s="203"/>
      <c r="E166" s="204"/>
      <c r="F166" s="235"/>
      <c r="G166" s="235"/>
      <c r="H166" s="203"/>
      <c r="I166" s="203"/>
      <c r="J166" s="203"/>
      <c r="K166" s="205"/>
      <c r="L166" s="206"/>
      <c r="M166" s="203"/>
      <c r="N166" s="207"/>
      <c r="O166" s="207"/>
      <c r="P166" s="207"/>
      <c r="Q166" s="207"/>
      <c r="R166" s="206"/>
      <c r="S166" s="205"/>
      <c r="T166" s="205"/>
      <c r="U166" s="207"/>
      <c r="V166" s="226"/>
      <c r="W166" s="208"/>
      <c r="X166" s="208"/>
      <c r="Y166" s="208"/>
      <c r="Z166" s="208"/>
      <c r="AA166" s="208"/>
      <c r="AB166" s="210"/>
      <c r="AC166" s="210"/>
      <c r="AD166" s="210"/>
      <c r="AE166" s="210"/>
      <c r="AF166" s="210"/>
      <c r="AG166" s="210"/>
      <c r="AH166" s="210"/>
      <c r="AI166" s="93"/>
      <c r="AJ166" s="93">
        <f t="shared" ca="1" si="5"/>
        <v>0</v>
      </c>
      <c r="AK166" s="93">
        <f t="shared" ca="1" si="6"/>
        <v>0</v>
      </c>
      <c r="AL166" s="213"/>
      <c r="AM166" s="213"/>
      <c r="AN166" s="213"/>
      <c r="AO166" s="213"/>
      <c r="AP166" s="213"/>
      <c r="AQ166" s="213"/>
      <c r="AR166" s="213"/>
      <c r="AS166" s="213"/>
      <c r="AT166" s="213"/>
      <c r="AU166" s="213"/>
      <c r="AV166" s="213"/>
      <c r="AW166" s="213"/>
      <c r="AX166" s="213"/>
      <c r="AY166" s="213"/>
      <c r="AZ166" s="213"/>
      <c r="BA166" s="213"/>
      <c r="BB166" s="213"/>
      <c r="BC166" s="213"/>
      <c r="BD166" s="213"/>
      <c r="BE166" s="213"/>
      <c r="BF166" s="213"/>
      <c r="BG166" s="213"/>
      <c r="BH166" s="213"/>
      <c r="BI166" s="213"/>
      <c r="BJ166" s="213"/>
      <c r="BK166" s="213"/>
      <c r="BL166" s="213"/>
      <c r="BM166" s="213"/>
      <c r="BN166" s="213"/>
      <c r="BO166" s="213"/>
      <c r="BP166" s="213"/>
      <c r="BQ166" s="213"/>
      <c r="BR166" s="213"/>
      <c r="BS166" s="213"/>
      <c r="BT166" s="213"/>
      <c r="BU166" s="213"/>
      <c r="BV166" s="213"/>
      <c r="BW166" s="213"/>
      <c r="BX166" s="213"/>
    </row>
    <row r="167" spans="1:76" s="209" customFormat="1" ht="22.5" customHeight="1">
      <c r="A167" s="235">
        <v>162</v>
      </c>
      <c r="B167" s="235"/>
      <c r="C167" s="235"/>
      <c r="D167" s="203"/>
      <c r="E167" s="204"/>
      <c r="F167" s="235"/>
      <c r="G167" s="235"/>
      <c r="H167" s="203"/>
      <c r="I167" s="203"/>
      <c r="J167" s="203"/>
      <c r="K167" s="205"/>
      <c r="L167" s="206"/>
      <c r="M167" s="203"/>
      <c r="N167" s="207"/>
      <c r="O167" s="207"/>
      <c r="P167" s="207"/>
      <c r="Q167" s="207"/>
      <c r="R167" s="206"/>
      <c r="S167" s="205"/>
      <c r="T167" s="205"/>
      <c r="U167" s="207"/>
      <c r="V167" s="226"/>
      <c r="W167" s="208"/>
      <c r="X167" s="208"/>
      <c r="Y167" s="208"/>
      <c r="Z167" s="208"/>
      <c r="AA167" s="208"/>
      <c r="AB167" s="210"/>
      <c r="AC167" s="210"/>
      <c r="AD167" s="210"/>
      <c r="AE167" s="210"/>
      <c r="AF167" s="210"/>
      <c r="AG167" s="210"/>
      <c r="AH167" s="210"/>
      <c r="AI167" s="93"/>
      <c r="AJ167" s="93">
        <f t="shared" ca="1" si="5"/>
        <v>0</v>
      </c>
      <c r="AK167" s="93">
        <f t="shared" ca="1" si="6"/>
        <v>0</v>
      </c>
      <c r="AL167" s="213"/>
      <c r="AM167" s="213"/>
      <c r="AN167" s="213"/>
      <c r="AO167" s="213"/>
      <c r="AP167" s="213"/>
      <c r="AQ167" s="213"/>
      <c r="AR167" s="213"/>
      <c r="AS167" s="213"/>
      <c r="AT167" s="213"/>
      <c r="AU167" s="213"/>
      <c r="AV167" s="213"/>
      <c r="AW167" s="213"/>
      <c r="AX167" s="213"/>
      <c r="AY167" s="213"/>
      <c r="AZ167" s="213"/>
      <c r="BA167" s="213"/>
      <c r="BB167" s="213"/>
      <c r="BC167" s="213"/>
      <c r="BD167" s="213"/>
      <c r="BE167" s="213"/>
      <c r="BF167" s="213"/>
      <c r="BG167" s="213"/>
      <c r="BH167" s="213"/>
      <c r="BI167" s="213"/>
      <c r="BJ167" s="213"/>
      <c r="BK167" s="213"/>
      <c r="BL167" s="213"/>
      <c r="BM167" s="213"/>
      <c r="BN167" s="213"/>
      <c r="BO167" s="213"/>
      <c r="BP167" s="213"/>
      <c r="BQ167" s="213"/>
      <c r="BR167" s="213"/>
      <c r="BS167" s="213"/>
      <c r="BT167" s="213"/>
      <c r="BU167" s="213"/>
      <c r="BV167" s="213"/>
      <c r="BW167" s="213"/>
      <c r="BX167" s="213"/>
    </row>
    <row r="168" spans="1:76" s="209" customFormat="1" ht="22.5" customHeight="1">
      <c r="A168" s="235">
        <v>163</v>
      </c>
      <c r="B168" s="235"/>
      <c r="C168" s="235"/>
      <c r="D168" s="203"/>
      <c r="E168" s="204"/>
      <c r="F168" s="235"/>
      <c r="G168" s="235"/>
      <c r="H168" s="203"/>
      <c r="I168" s="203"/>
      <c r="J168" s="203"/>
      <c r="K168" s="205"/>
      <c r="L168" s="206"/>
      <c r="M168" s="203"/>
      <c r="N168" s="207"/>
      <c r="O168" s="207"/>
      <c r="P168" s="207"/>
      <c r="Q168" s="207"/>
      <c r="R168" s="206"/>
      <c r="S168" s="205"/>
      <c r="T168" s="205"/>
      <c r="U168" s="207"/>
      <c r="V168" s="226"/>
      <c r="W168" s="208"/>
      <c r="X168" s="208"/>
      <c r="Y168" s="208"/>
      <c r="Z168" s="208"/>
      <c r="AA168" s="208"/>
      <c r="AB168" s="210"/>
      <c r="AC168" s="210"/>
      <c r="AD168" s="210"/>
      <c r="AE168" s="210"/>
      <c r="AF168" s="210"/>
      <c r="AG168" s="210"/>
      <c r="AH168" s="210"/>
      <c r="AI168" s="93"/>
      <c r="AJ168" s="93">
        <f t="shared" ca="1" si="5"/>
        <v>0</v>
      </c>
      <c r="AK168" s="93">
        <f t="shared" ca="1" si="6"/>
        <v>0</v>
      </c>
      <c r="AL168" s="213"/>
      <c r="AM168" s="213"/>
      <c r="AN168" s="213"/>
      <c r="AO168" s="213"/>
      <c r="AP168" s="213"/>
      <c r="AQ168" s="213"/>
      <c r="AR168" s="213"/>
      <c r="AS168" s="213"/>
      <c r="AT168" s="213"/>
      <c r="AU168" s="213"/>
      <c r="AV168" s="213"/>
      <c r="AW168" s="213"/>
      <c r="AX168" s="213"/>
      <c r="AY168" s="213"/>
      <c r="AZ168" s="213"/>
      <c r="BA168" s="213"/>
      <c r="BB168" s="213"/>
      <c r="BC168" s="213"/>
      <c r="BD168" s="213"/>
      <c r="BE168" s="213"/>
      <c r="BF168" s="213"/>
      <c r="BG168" s="213"/>
      <c r="BH168" s="213"/>
      <c r="BI168" s="213"/>
      <c r="BJ168" s="213"/>
      <c r="BK168" s="213"/>
      <c r="BL168" s="213"/>
      <c r="BM168" s="213"/>
      <c r="BN168" s="213"/>
      <c r="BO168" s="213"/>
      <c r="BP168" s="213"/>
      <c r="BQ168" s="213"/>
      <c r="BR168" s="213"/>
      <c r="BS168" s="213"/>
      <c r="BT168" s="213"/>
      <c r="BU168" s="213"/>
      <c r="BV168" s="213"/>
      <c r="BW168" s="213"/>
      <c r="BX168" s="213"/>
    </row>
    <row r="169" spans="1:76" s="209" customFormat="1" ht="22.5" customHeight="1">
      <c r="A169" s="235">
        <v>164</v>
      </c>
      <c r="B169" s="235"/>
      <c r="C169" s="235"/>
      <c r="D169" s="203"/>
      <c r="E169" s="204"/>
      <c r="F169" s="235"/>
      <c r="G169" s="235"/>
      <c r="H169" s="203"/>
      <c r="I169" s="203"/>
      <c r="J169" s="203"/>
      <c r="K169" s="205"/>
      <c r="L169" s="206"/>
      <c r="M169" s="203"/>
      <c r="N169" s="207"/>
      <c r="O169" s="207"/>
      <c r="P169" s="207"/>
      <c r="Q169" s="207"/>
      <c r="R169" s="206"/>
      <c r="S169" s="205"/>
      <c r="T169" s="205"/>
      <c r="U169" s="207"/>
      <c r="V169" s="226"/>
      <c r="W169" s="208"/>
      <c r="X169" s="208"/>
      <c r="Y169" s="208"/>
      <c r="Z169" s="208"/>
      <c r="AA169" s="208"/>
      <c r="AB169" s="210"/>
      <c r="AC169" s="210"/>
      <c r="AD169" s="210"/>
      <c r="AE169" s="210"/>
      <c r="AF169" s="210"/>
      <c r="AG169" s="210"/>
      <c r="AH169" s="210"/>
      <c r="AI169" s="93"/>
      <c r="AJ169" s="93">
        <f t="shared" ca="1" si="5"/>
        <v>0</v>
      </c>
      <c r="AK169" s="93">
        <f t="shared" ca="1" si="6"/>
        <v>0</v>
      </c>
      <c r="AL169" s="213"/>
      <c r="AM169" s="213"/>
      <c r="AN169" s="213"/>
      <c r="AO169" s="213"/>
      <c r="AP169" s="213"/>
      <c r="AQ169" s="213"/>
      <c r="AR169" s="213"/>
      <c r="AS169" s="213"/>
      <c r="AT169" s="213"/>
      <c r="AU169" s="213"/>
      <c r="AV169" s="213"/>
      <c r="AW169" s="213"/>
      <c r="AX169" s="213"/>
      <c r="AY169" s="213"/>
      <c r="AZ169" s="213"/>
      <c r="BA169" s="213"/>
      <c r="BB169" s="213"/>
      <c r="BC169" s="213"/>
      <c r="BD169" s="213"/>
      <c r="BE169" s="213"/>
      <c r="BF169" s="213"/>
      <c r="BG169" s="213"/>
      <c r="BH169" s="213"/>
      <c r="BI169" s="213"/>
      <c r="BJ169" s="213"/>
      <c r="BK169" s="213"/>
      <c r="BL169" s="213"/>
      <c r="BM169" s="213"/>
      <c r="BN169" s="213"/>
      <c r="BO169" s="213"/>
      <c r="BP169" s="213"/>
      <c r="BQ169" s="213"/>
      <c r="BR169" s="213"/>
      <c r="BS169" s="213"/>
      <c r="BT169" s="213"/>
      <c r="BU169" s="213"/>
      <c r="BV169" s="213"/>
      <c r="BW169" s="213"/>
      <c r="BX169" s="213"/>
    </row>
    <row r="170" spans="1:76" s="209" customFormat="1" ht="22.5" customHeight="1">
      <c r="A170" s="235">
        <v>165</v>
      </c>
      <c r="B170" s="235"/>
      <c r="C170" s="235"/>
      <c r="D170" s="203"/>
      <c r="E170" s="204"/>
      <c r="F170" s="235"/>
      <c r="G170" s="235"/>
      <c r="H170" s="203"/>
      <c r="I170" s="203"/>
      <c r="J170" s="203"/>
      <c r="K170" s="205"/>
      <c r="L170" s="206"/>
      <c r="M170" s="203"/>
      <c r="N170" s="207"/>
      <c r="O170" s="207"/>
      <c r="P170" s="207"/>
      <c r="Q170" s="207"/>
      <c r="R170" s="206"/>
      <c r="S170" s="205"/>
      <c r="T170" s="205"/>
      <c r="U170" s="207"/>
      <c r="V170" s="226"/>
      <c r="W170" s="208"/>
      <c r="X170" s="208"/>
      <c r="Y170" s="208"/>
      <c r="Z170" s="208"/>
      <c r="AA170" s="208"/>
      <c r="AB170" s="210"/>
      <c r="AC170" s="210"/>
      <c r="AD170" s="210"/>
      <c r="AE170" s="210"/>
      <c r="AF170" s="210"/>
      <c r="AG170" s="210"/>
      <c r="AH170" s="210"/>
      <c r="AI170" s="93"/>
      <c r="AJ170" s="93">
        <f t="shared" ca="1" si="5"/>
        <v>0</v>
      </c>
      <c r="AK170" s="93">
        <f t="shared" ca="1" si="6"/>
        <v>0</v>
      </c>
      <c r="AL170" s="213"/>
      <c r="AM170" s="213"/>
      <c r="AN170" s="213"/>
      <c r="AO170" s="213"/>
      <c r="AP170" s="213"/>
      <c r="AQ170" s="213"/>
      <c r="AR170" s="213"/>
      <c r="AS170" s="213"/>
      <c r="AT170" s="213"/>
      <c r="AU170" s="213"/>
      <c r="AV170" s="213"/>
      <c r="AW170" s="213"/>
      <c r="AX170" s="213"/>
      <c r="AY170" s="213"/>
      <c r="AZ170" s="213"/>
      <c r="BA170" s="213"/>
      <c r="BB170" s="213"/>
      <c r="BC170" s="213"/>
      <c r="BD170" s="213"/>
      <c r="BE170" s="213"/>
      <c r="BF170" s="213"/>
      <c r="BG170" s="213"/>
      <c r="BH170" s="213"/>
      <c r="BI170" s="213"/>
      <c r="BJ170" s="213"/>
      <c r="BK170" s="213"/>
      <c r="BL170" s="213"/>
      <c r="BM170" s="213"/>
      <c r="BN170" s="213"/>
      <c r="BO170" s="213"/>
      <c r="BP170" s="213"/>
      <c r="BQ170" s="213"/>
      <c r="BR170" s="213"/>
      <c r="BS170" s="213"/>
      <c r="BT170" s="213"/>
      <c r="BU170" s="213"/>
      <c r="BV170" s="213"/>
      <c r="BW170" s="213"/>
      <c r="BX170" s="213"/>
    </row>
    <row r="171" spans="1:76" s="209" customFormat="1" ht="22.5" customHeight="1">
      <c r="A171" s="235">
        <v>166</v>
      </c>
      <c r="B171" s="235"/>
      <c r="C171" s="235"/>
      <c r="D171" s="203"/>
      <c r="E171" s="204"/>
      <c r="F171" s="235"/>
      <c r="G171" s="235"/>
      <c r="H171" s="203"/>
      <c r="I171" s="203"/>
      <c r="J171" s="203"/>
      <c r="K171" s="205"/>
      <c r="L171" s="206"/>
      <c r="M171" s="203"/>
      <c r="N171" s="207"/>
      <c r="O171" s="207"/>
      <c r="P171" s="207"/>
      <c r="Q171" s="207"/>
      <c r="R171" s="206"/>
      <c r="S171" s="205"/>
      <c r="T171" s="205"/>
      <c r="U171" s="207"/>
      <c r="V171" s="226"/>
      <c r="W171" s="208"/>
      <c r="X171" s="208"/>
      <c r="Y171" s="208"/>
      <c r="Z171" s="208"/>
      <c r="AA171" s="208"/>
      <c r="AB171" s="210"/>
      <c r="AC171" s="210"/>
      <c r="AD171" s="210"/>
      <c r="AE171" s="210"/>
      <c r="AF171" s="210"/>
      <c r="AG171" s="210"/>
      <c r="AH171" s="210"/>
      <c r="AI171" s="93"/>
      <c r="AJ171" s="93">
        <f t="shared" ca="1" si="5"/>
        <v>0</v>
      </c>
      <c r="AK171" s="93">
        <f t="shared" ca="1" si="6"/>
        <v>0</v>
      </c>
      <c r="AL171" s="213"/>
      <c r="AM171" s="213"/>
      <c r="AN171" s="213"/>
      <c r="AO171" s="213"/>
      <c r="AP171" s="213"/>
      <c r="AQ171" s="213"/>
      <c r="AR171" s="213"/>
      <c r="AS171" s="213"/>
      <c r="AT171" s="213"/>
      <c r="AU171" s="213"/>
      <c r="AV171" s="213"/>
      <c r="AW171" s="213"/>
      <c r="AX171" s="213"/>
      <c r="AY171" s="213"/>
      <c r="AZ171" s="213"/>
      <c r="BA171" s="213"/>
      <c r="BB171" s="213"/>
      <c r="BC171" s="213"/>
      <c r="BD171" s="213"/>
      <c r="BE171" s="213"/>
      <c r="BF171" s="213"/>
      <c r="BG171" s="213"/>
      <c r="BH171" s="213"/>
      <c r="BI171" s="213"/>
      <c r="BJ171" s="213"/>
      <c r="BK171" s="213"/>
      <c r="BL171" s="213"/>
      <c r="BM171" s="213"/>
      <c r="BN171" s="213"/>
      <c r="BO171" s="213"/>
      <c r="BP171" s="213"/>
      <c r="BQ171" s="213"/>
      <c r="BR171" s="213"/>
      <c r="BS171" s="213"/>
      <c r="BT171" s="213"/>
      <c r="BU171" s="213"/>
      <c r="BV171" s="213"/>
      <c r="BW171" s="213"/>
      <c r="BX171" s="213"/>
    </row>
    <row r="172" spans="1:76" s="209" customFormat="1" ht="22.5" customHeight="1">
      <c r="A172" s="235">
        <v>167</v>
      </c>
      <c r="B172" s="235"/>
      <c r="C172" s="235"/>
      <c r="D172" s="203"/>
      <c r="E172" s="204"/>
      <c r="F172" s="235"/>
      <c r="G172" s="235"/>
      <c r="H172" s="203"/>
      <c r="I172" s="203"/>
      <c r="J172" s="203"/>
      <c r="K172" s="205"/>
      <c r="L172" s="206"/>
      <c r="M172" s="203"/>
      <c r="N172" s="207"/>
      <c r="O172" s="207"/>
      <c r="P172" s="207"/>
      <c r="Q172" s="207"/>
      <c r="R172" s="206"/>
      <c r="S172" s="205"/>
      <c r="T172" s="205"/>
      <c r="U172" s="207"/>
      <c r="V172" s="226"/>
      <c r="W172" s="208"/>
      <c r="X172" s="208"/>
      <c r="Y172" s="208"/>
      <c r="Z172" s="208"/>
      <c r="AA172" s="208"/>
      <c r="AB172" s="210"/>
      <c r="AC172" s="210"/>
      <c r="AD172" s="210"/>
      <c r="AE172" s="210"/>
      <c r="AF172" s="210"/>
      <c r="AG172" s="210"/>
      <c r="AH172" s="210"/>
      <c r="AI172" s="93"/>
      <c r="AJ172" s="93">
        <f t="shared" ca="1" si="5"/>
        <v>0</v>
      </c>
      <c r="AK172" s="93">
        <f t="shared" ca="1" si="6"/>
        <v>0</v>
      </c>
      <c r="AL172" s="213"/>
      <c r="AM172" s="213"/>
      <c r="AN172" s="213"/>
      <c r="AO172" s="213"/>
      <c r="AP172" s="213"/>
      <c r="AQ172" s="213"/>
      <c r="AR172" s="213"/>
      <c r="AS172" s="213"/>
      <c r="AT172" s="213"/>
      <c r="AU172" s="213"/>
      <c r="AV172" s="213"/>
      <c r="AW172" s="213"/>
      <c r="AX172" s="213"/>
      <c r="AY172" s="213"/>
      <c r="AZ172" s="213"/>
      <c r="BA172" s="213"/>
      <c r="BB172" s="213"/>
      <c r="BC172" s="213"/>
      <c r="BD172" s="213"/>
      <c r="BE172" s="213"/>
      <c r="BF172" s="213"/>
      <c r="BG172" s="213"/>
      <c r="BH172" s="213"/>
      <c r="BI172" s="213"/>
      <c r="BJ172" s="213"/>
      <c r="BK172" s="213"/>
      <c r="BL172" s="213"/>
      <c r="BM172" s="213"/>
      <c r="BN172" s="213"/>
      <c r="BO172" s="213"/>
      <c r="BP172" s="213"/>
      <c r="BQ172" s="213"/>
      <c r="BR172" s="213"/>
      <c r="BS172" s="213"/>
      <c r="BT172" s="213"/>
      <c r="BU172" s="213"/>
      <c r="BV172" s="213"/>
      <c r="BW172" s="213"/>
      <c r="BX172" s="213"/>
    </row>
    <row r="173" spans="1:76" s="209" customFormat="1" ht="22.5" customHeight="1">
      <c r="A173" s="235">
        <v>168</v>
      </c>
      <c r="B173" s="235"/>
      <c r="C173" s="235"/>
      <c r="D173" s="203"/>
      <c r="E173" s="204"/>
      <c r="F173" s="235"/>
      <c r="G173" s="235"/>
      <c r="H173" s="203"/>
      <c r="I173" s="203"/>
      <c r="J173" s="203"/>
      <c r="K173" s="205"/>
      <c r="L173" s="206"/>
      <c r="M173" s="203"/>
      <c r="N173" s="207"/>
      <c r="O173" s="207"/>
      <c r="P173" s="207"/>
      <c r="Q173" s="207"/>
      <c r="R173" s="206"/>
      <c r="S173" s="205"/>
      <c r="T173" s="205"/>
      <c r="U173" s="207"/>
      <c r="V173" s="226"/>
      <c r="W173" s="208"/>
      <c r="X173" s="208"/>
      <c r="Y173" s="208"/>
      <c r="Z173" s="208"/>
      <c r="AA173" s="208"/>
      <c r="AB173" s="210"/>
      <c r="AC173" s="210"/>
      <c r="AD173" s="210"/>
      <c r="AE173" s="210"/>
      <c r="AF173" s="210"/>
      <c r="AG173" s="210"/>
      <c r="AH173" s="210"/>
      <c r="AI173" s="93"/>
      <c r="AJ173" s="93">
        <f t="shared" ca="1" si="5"/>
        <v>0</v>
      </c>
      <c r="AK173" s="93">
        <f t="shared" ca="1" si="6"/>
        <v>0</v>
      </c>
      <c r="AL173" s="213"/>
      <c r="AM173" s="213"/>
      <c r="AN173" s="213"/>
      <c r="AO173" s="213"/>
      <c r="AP173" s="213"/>
      <c r="AQ173" s="213"/>
      <c r="AR173" s="213"/>
      <c r="AS173" s="213"/>
      <c r="AT173" s="213"/>
      <c r="AU173" s="213"/>
      <c r="AV173" s="213"/>
      <c r="AW173" s="213"/>
      <c r="AX173" s="213"/>
      <c r="AY173" s="213"/>
      <c r="AZ173" s="213"/>
      <c r="BA173" s="213"/>
      <c r="BB173" s="213"/>
      <c r="BC173" s="213"/>
      <c r="BD173" s="213"/>
      <c r="BE173" s="213"/>
      <c r="BF173" s="213"/>
      <c r="BG173" s="213"/>
      <c r="BH173" s="213"/>
      <c r="BI173" s="213"/>
      <c r="BJ173" s="213"/>
      <c r="BK173" s="213"/>
      <c r="BL173" s="213"/>
      <c r="BM173" s="213"/>
      <c r="BN173" s="213"/>
      <c r="BO173" s="213"/>
      <c r="BP173" s="213"/>
      <c r="BQ173" s="213"/>
      <c r="BR173" s="213"/>
      <c r="BS173" s="213"/>
      <c r="BT173" s="213"/>
      <c r="BU173" s="213"/>
      <c r="BV173" s="213"/>
      <c r="BW173" s="213"/>
      <c r="BX173" s="213"/>
    </row>
    <row r="174" spans="1:76" s="209" customFormat="1" ht="22.5" customHeight="1">
      <c r="A174" s="235">
        <v>169</v>
      </c>
      <c r="B174" s="235"/>
      <c r="C174" s="235"/>
      <c r="D174" s="203"/>
      <c r="E174" s="204"/>
      <c r="F174" s="235"/>
      <c r="G174" s="235"/>
      <c r="H174" s="203"/>
      <c r="I174" s="203"/>
      <c r="J174" s="203"/>
      <c r="K174" s="205"/>
      <c r="L174" s="206"/>
      <c r="M174" s="203"/>
      <c r="N174" s="207"/>
      <c r="O174" s="207"/>
      <c r="P174" s="207"/>
      <c r="Q174" s="207"/>
      <c r="R174" s="206"/>
      <c r="S174" s="205"/>
      <c r="T174" s="205"/>
      <c r="U174" s="207"/>
      <c r="V174" s="226"/>
      <c r="W174" s="208"/>
      <c r="X174" s="208"/>
      <c r="Y174" s="208"/>
      <c r="Z174" s="208"/>
      <c r="AA174" s="208"/>
      <c r="AB174" s="210"/>
      <c r="AC174" s="210"/>
      <c r="AD174" s="210"/>
      <c r="AE174" s="210"/>
      <c r="AF174" s="210"/>
      <c r="AG174" s="210"/>
      <c r="AH174" s="210"/>
      <c r="AI174" s="93"/>
      <c r="AJ174" s="93">
        <f t="shared" ref="AJ174:AJ216" ca="1" si="7">IF(TRIM(K174)&lt;&gt;"",DATEDIF(K174,TODAY(),"y"),0)</f>
        <v>0</v>
      </c>
      <c r="AK174" s="93">
        <f t="shared" ref="AK174:AK216" ca="1" si="8">IF(TRIM(P174)&lt;&gt;"",DATEDIF(P174,TODAY(),"m"),0)</f>
        <v>0</v>
      </c>
      <c r="AL174" s="213"/>
      <c r="AM174" s="213"/>
      <c r="AN174" s="213"/>
      <c r="AO174" s="213"/>
      <c r="AP174" s="213"/>
      <c r="AQ174" s="213"/>
      <c r="AR174" s="213"/>
      <c r="AS174" s="213"/>
      <c r="AT174" s="213"/>
      <c r="AU174" s="213"/>
      <c r="AV174" s="213"/>
      <c r="AW174" s="213"/>
      <c r="AX174" s="213"/>
      <c r="AY174" s="213"/>
      <c r="AZ174" s="213"/>
      <c r="BA174" s="213"/>
      <c r="BB174" s="213"/>
      <c r="BC174" s="213"/>
      <c r="BD174" s="213"/>
      <c r="BE174" s="213"/>
      <c r="BF174" s="213"/>
      <c r="BG174" s="213"/>
      <c r="BH174" s="213"/>
      <c r="BI174" s="213"/>
      <c r="BJ174" s="213"/>
      <c r="BK174" s="213"/>
      <c r="BL174" s="213"/>
      <c r="BM174" s="213"/>
      <c r="BN174" s="213"/>
      <c r="BO174" s="213"/>
      <c r="BP174" s="213"/>
      <c r="BQ174" s="213"/>
      <c r="BR174" s="213"/>
      <c r="BS174" s="213"/>
      <c r="BT174" s="213"/>
      <c r="BU174" s="213"/>
      <c r="BV174" s="213"/>
      <c r="BW174" s="213"/>
      <c r="BX174" s="213"/>
    </row>
    <row r="175" spans="1:76" s="209" customFormat="1" ht="22.5" customHeight="1">
      <c r="A175" s="235">
        <v>170</v>
      </c>
      <c r="B175" s="235"/>
      <c r="C175" s="235"/>
      <c r="D175" s="203"/>
      <c r="E175" s="204"/>
      <c r="F175" s="235"/>
      <c r="G175" s="235"/>
      <c r="H175" s="203"/>
      <c r="I175" s="203"/>
      <c r="J175" s="203"/>
      <c r="K175" s="205"/>
      <c r="L175" s="206"/>
      <c r="M175" s="203"/>
      <c r="N175" s="207"/>
      <c r="O175" s="207"/>
      <c r="P175" s="207"/>
      <c r="Q175" s="207"/>
      <c r="R175" s="206"/>
      <c r="S175" s="205"/>
      <c r="T175" s="205"/>
      <c r="U175" s="207"/>
      <c r="V175" s="226"/>
      <c r="W175" s="208"/>
      <c r="X175" s="208"/>
      <c r="Y175" s="208"/>
      <c r="Z175" s="208"/>
      <c r="AA175" s="208"/>
      <c r="AB175" s="210"/>
      <c r="AC175" s="210"/>
      <c r="AD175" s="210"/>
      <c r="AE175" s="210"/>
      <c r="AF175" s="210"/>
      <c r="AG175" s="210"/>
      <c r="AH175" s="210"/>
      <c r="AI175" s="93"/>
      <c r="AJ175" s="93">
        <f t="shared" ca="1" si="7"/>
        <v>0</v>
      </c>
      <c r="AK175" s="93">
        <f t="shared" ca="1" si="8"/>
        <v>0</v>
      </c>
      <c r="AL175" s="213"/>
      <c r="AM175" s="213"/>
      <c r="AN175" s="213"/>
      <c r="AO175" s="213"/>
      <c r="AP175" s="213"/>
      <c r="AQ175" s="213"/>
      <c r="AR175" s="213"/>
      <c r="AS175" s="213"/>
      <c r="AT175" s="213"/>
      <c r="AU175" s="213"/>
      <c r="AV175" s="213"/>
      <c r="AW175" s="213"/>
      <c r="AX175" s="213"/>
      <c r="AY175" s="213"/>
      <c r="AZ175" s="213"/>
      <c r="BA175" s="213"/>
      <c r="BB175" s="213"/>
      <c r="BC175" s="213"/>
      <c r="BD175" s="213"/>
      <c r="BE175" s="213"/>
      <c r="BF175" s="213"/>
      <c r="BG175" s="213"/>
      <c r="BH175" s="213"/>
      <c r="BI175" s="213"/>
      <c r="BJ175" s="213"/>
      <c r="BK175" s="213"/>
      <c r="BL175" s="213"/>
      <c r="BM175" s="213"/>
      <c r="BN175" s="213"/>
      <c r="BO175" s="213"/>
      <c r="BP175" s="213"/>
      <c r="BQ175" s="213"/>
      <c r="BR175" s="213"/>
      <c r="BS175" s="213"/>
      <c r="BT175" s="213"/>
      <c r="BU175" s="213"/>
      <c r="BV175" s="213"/>
      <c r="BW175" s="213"/>
      <c r="BX175" s="213"/>
    </row>
    <row r="176" spans="1:76" s="209" customFormat="1" ht="22.5" customHeight="1">
      <c r="A176" s="235">
        <v>171</v>
      </c>
      <c r="B176" s="235"/>
      <c r="C176" s="235"/>
      <c r="D176" s="203"/>
      <c r="E176" s="204"/>
      <c r="F176" s="235"/>
      <c r="G176" s="235"/>
      <c r="H176" s="203"/>
      <c r="I176" s="203"/>
      <c r="J176" s="203"/>
      <c r="K176" s="205"/>
      <c r="L176" s="206"/>
      <c r="M176" s="203"/>
      <c r="N176" s="207"/>
      <c r="O176" s="207"/>
      <c r="P176" s="207"/>
      <c r="Q176" s="207"/>
      <c r="R176" s="206"/>
      <c r="S176" s="205"/>
      <c r="T176" s="205"/>
      <c r="U176" s="207"/>
      <c r="V176" s="226"/>
      <c r="W176" s="208"/>
      <c r="X176" s="208"/>
      <c r="Y176" s="208"/>
      <c r="Z176" s="208"/>
      <c r="AA176" s="208"/>
      <c r="AB176" s="210"/>
      <c r="AC176" s="210"/>
      <c r="AD176" s="210"/>
      <c r="AE176" s="210"/>
      <c r="AF176" s="210"/>
      <c r="AG176" s="210"/>
      <c r="AH176" s="210"/>
      <c r="AI176" s="93"/>
      <c r="AJ176" s="93">
        <f t="shared" ca="1" si="7"/>
        <v>0</v>
      </c>
      <c r="AK176" s="93">
        <f t="shared" ca="1" si="8"/>
        <v>0</v>
      </c>
      <c r="AL176" s="213"/>
      <c r="AM176" s="213"/>
      <c r="AN176" s="213"/>
      <c r="AO176" s="213"/>
      <c r="AP176" s="213"/>
      <c r="AQ176" s="213"/>
      <c r="AR176" s="213"/>
      <c r="AS176" s="213"/>
      <c r="AT176" s="213"/>
      <c r="AU176" s="213"/>
      <c r="AV176" s="213"/>
      <c r="AW176" s="213"/>
      <c r="AX176" s="213"/>
      <c r="AY176" s="213"/>
      <c r="AZ176" s="213"/>
      <c r="BA176" s="213"/>
      <c r="BB176" s="213"/>
      <c r="BC176" s="213"/>
      <c r="BD176" s="213"/>
      <c r="BE176" s="213"/>
      <c r="BF176" s="213"/>
      <c r="BG176" s="213"/>
      <c r="BH176" s="213"/>
      <c r="BI176" s="213"/>
      <c r="BJ176" s="213"/>
      <c r="BK176" s="213"/>
      <c r="BL176" s="213"/>
      <c r="BM176" s="213"/>
      <c r="BN176" s="213"/>
      <c r="BO176" s="213"/>
      <c r="BP176" s="213"/>
      <c r="BQ176" s="213"/>
      <c r="BR176" s="213"/>
      <c r="BS176" s="213"/>
      <c r="BT176" s="213"/>
      <c r="BU176" s="213"/>
      <c r="BV176" s="213"/>
      <c r="BW176" s="213"/>
      <c r="BX176" s="213"/>
    </row>
    <row r="177" spans="1:76" s="209" customFormat="1" ht="22.5" customHeight="1">
      <c r="A177" s="235">
        <v>172</v>
      </c>
      <c r="B177" s="235"/>
      <c r="C177" s="235"/>
      <c r="D177" s="203"/>
      <c r="E177" s="204"/>
      <c r="F177" s="235"/>
      <c r="G177" s="235"/>
      <c r="H177" s="203"/>
      <c r="I177" s="203"/>
      <c r="J177" s="203"/>
      <c r="K177" s="205"/>
      <c r="L177" s="206"/>
      <c r="M177" s="203"/>
      <c r="N177" s="207"/>
      <c r="O177" s="207"/>
      <c r="P177" s="207"/>
      <c r="Q177" s="207"/>
      <c r="R177" s="206"/>
      <c r="S177" s="205"/>
      <c r="T177" s="205"/>
      <c r="U177" s="207"/>
      <c r="V177" s="226"/>
      <c r="W177" s="208"/>
      <c r="X177" s="208"/>
      <c r="Y177" s="208"/>
      <c r="Z177" s="208"/>
      <c r="AA177" s="208"/>
      <c r="AB177" s="210"/>
      <c r="AC177" s="210"/>
      <c r="AD177" s="210"/>
      <c r="AE177" s="210"/>
      <c r="AF177" s="210"/>
      <c r="AG177" s="210"/>
      <c r="AH177" s="210"/>
      <c r="AI177" s="93"/>
      <c r="AJ177" s="93">
        <f t="shared" ca="1" si="7"/>
        <v>0</v>
      </c>
      <c r="AK177" s="93">
        <f t="shared" ca="1" si="8"/>
        <v>0</v>
      </c>
      <c r="AL177" s="213"/>
      <c r="AM177" s="213"/>
      <c r="AN177" s="213"/>
      <c r="AO177" s="213"/>
      <c r="AP177" s="213"/>
      <c r="AQ177" s="213"/>
      <c r="AR177" s="213"/>
      <c r="AS177" s="213"/>
      <c r="AT177" s="213"/>
      <c r="AU177" s="213"/>
      <c r="AV177" s="213"/>
      <c r="AW177" s="213"/>
      <c r="AX177" s="213"/>
      <c r="AY177" s="213"/>
      <c r="AZ177" s="213"/>
      <c r="BA177" s="213"/>
      <c r="BB177" s="213"/>
      <c r="BC177" s="213"/>
      <c r="BD177" s="213"/>
      <c r="BE177" s="213"/>
      <c r="BF177" s="213"/>
      <c r="BG177" s="213"/>
      <c r="BH177" s="213"/>
      <c r="BI177" s="213"/>
      <c r="BJ177" s="213"/>
      <c r="BK177" s="213"/>
      <c r="BL177" s="213"/>
      <c r="BM177" s="213"/>
      <c r="BN177" s="213"/>
      <c r="BO177" s="213"/>
      <c r="BP177" s="213"/>
      <c r="BQ177" s="213"/>
      <c r="BR177" s="213"/>
      <c r="BS177" s="213"/>
      <c r="BT177" s="213"/>
      <c r="BU177" s="213"/>
      <c r="BV177" s="213"/>
      <c r="BW177" s="213"/>
      <c r="BX177" s="213"/>
    </row>
    <row r="178" spans="1:76" s="209" customFormat="1" ht="22.5" customHeight="1">
      <c r="A178" s="235">
        <v>173</v>
      </c>
      <c r="B178" s="235"/>
      <c r="C178" s="235"/>
      <c r="D178" s="203"/>
      <c r="E178" s="204"/>
      <c r="F178" s="235"/>
      <c r="G178" s="235"/>
      <c r="H178" s="203"/>
      <c r="I178" s="203"/>
      <c r="J178" s="203"/>
      <c r="K178" s="205"/>
      <c r="L178" s="206"/>
      <c r="M178" s="203"/>
      <c r="N178" s="207"/>
      <c r="O178" s="207"/>
      <c r="P178" s="207"/>
      <c r="Q178" s="207"/>
      <c r="R178" s="206"/>
      <c r="S178" s="205"/>
      <c r="T178" s="205"/>
      <c r="U178" s="207"/>
      <c r="V178" s="226"/>
      <c r="W178" s="208"/>
      <c r="X178" s="208"/>
      <c r="Y178" s="208"/>
      <c r="Z178" s="208"/>
      <c r="AA178" s="208"/>
      <c r="AB178" s="210"/>
      <c r="AC178" s="210"/>
      <c r="AD178" s="210"/>
      <c r="AE178" s="210"/>
      <c r="AF178" s="210"/>
      <c r="AG178" s="210"/>
      <c r="AH178" s="210"/>
      <c r="AI178" s="93"/>
      <c r="AJ178" s="93">
        <f t="shared" ca="1" si="7"/>
        <v>0</v>
      </c>
      <c r="AK178" s="93">
        <f t="shared" ca="1" si="8"/>
        <v>0</v>
      </c>
      <c r="AL178" s="213"/>
      <c r="AM178" s="213"/>
      <c r="AN178" s="213"/>
      <c r="AO178" s="213"/>
      <c r="AP178" s="213"/>
      <c r="AQ178" s="213"/>
      <c r="AR178" s="213"/>
      <c r="AS178" s="213"/>
      <c r="AT178" s="213"/>
      <c r="AU178" s="213"/>
      <c r="AV178" s="213"/>
      <c r="AW178" s="213"/>
      <c r="AX178" s="213"/>
      <c r="AY178" s="213"/>
      <c r="AZ178" s="213"/>
      <c r="BA178" s="213"/>
      <c r="BB178" s="213"/>
      <c r="BC178" s="213"/>
      <c r="BD178" s="213"/>
      <c r="BE178" s="213"/>
      <c r="BF178" s="213"/>
      <c r="BG178" s="213"/>
      <c r="BH178" s="213"/>
      <c r="BI178" s="213"/>
      <c r="BJ178" s="213"/>
      <c r="BK178" s="213"/>
      <c r="BL178" s="213"/>
      <c r="BM178" s="213"/>
      <c r="BN178" s="213"/>
      <c r="BO178" s="213"/>
      <c r="BP178" s="213"/>
      <c r="BQ178" s="213"/>
      <c r="BR178" s="213"/>
      <c r="BS178" s="213"/>
      <c r="BT178" s="213"/>
      <c r="BU178" s="213"/>
      <c r="BV178" s="213"/>
      <c r="BW178" s="213"/>
      <c r="BX178" s="213"/>
    </row>
    <row r="179" spans="1:76" s="209" customFormat="1" ht="22.5" customHeight="1">
      <c r="A179" s="235">
        <v>174</v>
      </c>
      <c r="B179" s="235"/>
      <c r="C179" s="235"/>
      <c r="D179" s="203"/>
      <c r="E179" s="204"/>
      <c r="F179" s="235"/>
      <c r="G179" s="235"/>
      <c r="H179" s="203"/>
      <c r="I179" s="203"/>
      <c r="J179" s="203"/>
      <c r="K179" s="205"/>
      <c r="L179" s="206"/>
      <c r="M179" s="203"/>
      <c r="N179" s="207"/>
      <c r="O179" s="207"/>
      <c r="P179" s="207"/>
      <c r="Q179" s="207"/>
      <c r="R179" s="206"/>
      <c r="S179" s="205"/>
      <c r="T179" s="205"/>
      <c r="U179" s="207"/>
      <c r="V179" s="226"/>
      <c r="W179" s="208"/>
      <c r="X179" s="208"/>
      <c r="Y179" s="208"/>
      <c r="Z179" s="208"/>
      <c r="AA179" s="208"/>
      <c r="AB179" s="210"/>
      <c r="AC179" s="210"/>
      <c r="AD179" s="210"/>
      <c r="AE179" s="210"/>
      <c r="AF179" s="210"/>
      <c r="AG179" s="210"/>
      <c r="AH179" s="210"/>
      <c r="AI179" s="93"/>
      <c r="AJ179" s="93">
        <f t="shared" ca="1" si="7"/>
        <v>0</v>
      </c>
      <c r="AK179" s="93">
        <f t="shared" ca="1" si="8"/>
        <v>0</v>
      </c>
      <c r="AL179" s="213"/>
      <c r="AM179" s="213"/>
      <c r="AN179" s="213"/>
      <c r="AO179" s="213"/>
      <c r="AP179" s="213"/>
      <c r="AQ179" s="213"/>
      <c r="AR179" s="213"/>
      <c r="AS179" s="213"/>
      <c r="AT179" s="213"/>
      <c r="AU179" s="213"/>
      <c r="AV179" s="213"/>
      <c r="AW179" s="213"/>
      <c r="AX179" s="213"/>
      <c r="AY179" s="213"/>
      <c r="AZ179" s="213"/>
      <c r="BA179" s="213"/>
      <c r="BB179" s="213"/>
      <c r="BC179" s="213"/>
      <c r="BD179" s="213"/>
      <c r="BE179" s="213"/>
      <c r="BF179" s="213"/>
      <c r="BG179" s="213"/>
      <c r="BH179" s="213"/>
      <c r="BI179" s="213"/>
      <c r="BJ179" s="213"/>
      <c r="BK179" s="213"/>
      <c r="BL179" s="213"/>
      <c r="BM179" s="213"/>
      <c r="BN179" s="213"/>
      <c r="BO179" s="213"/>
      <c r="BP179" s="213"/>
      <c r="BQ179" s="213"/>
      <c r="BR179" s="213"/>
      <c r="BS179" s="213"/>
      <c r="BT179" s="213"/>
      <c r="BU179" s="213"/>
      <c r="BV179" s="213"/>
      <c r="BW179" s="213"/>
      <c r="BX179" s="213"/>
    </row>
    <row r="180" spans="1:76" s="209" customFormat="1" ht="22.5" customHeight="1">
      <c r="A180" s="235">
        <v>175</v>
      </c>
      <c r="B180" s="235"/>
      <c r="C180" s="235"/>
      <c r="D180" s="203"/>
      <c r="E180" s="204"/>
      <c r="F180" s="235"/>
      <c r="G180" s="235"/>
      <c r="H180" s="203"/>
      <c r="I180" s="203"/>
      <c r="J180" s="203"/>
      <c r="K180" s="205"/>
      <c r="L180" s="206"/>
      <c r="M180" s="203"/>
      <c r="N180" s="207"/>
      <c r="O180" s="207"/>
      <c r="P180" s="207"/>
      <c r="Q180" s="207"/>
      <c r="R180" s="206"/>
      <c r="S180" s="205"/>
      <c r="T180" s="205"/>
      <c r="U180" s="207"/>
      <c r="V180" s="226"/>
      <c r="W180" s="208"/>
      <c r="X180" s="208"/>
      <c r="Y180" s="208"/>
      <c r="Z180" s="208"/>
      <c r="AA180" s="208"/>
      <c r="AB180" s="210"/>
      <c r="AC180" s="210"/>
      <c r="AD180" s="210"/>
      <c r="AE180" s="210"/>
      <c r="AF180" s="210"/>
      <c r="AG180" s="210"/>
      <c r="AH180" s="210"/>
      <c r="AI180" s="93"/>
      <c r="AJ180" s="93">
        <f t="shared" ca="1" si="7"/>
        <v>0</v>
      </c>
      <c r="AK180" s="93">
        <f t="shared" ca="1" si="8"/>
        <v>0</v>
      </c>
      <c r="AL180" s="213"/>
      <c r="AM180" s="213"/>
      <c r="AN180" s="213"/>
      <c r="AO180" s="213"/>
      <c r="AP180" s="213"/>
      <c r="AQ180" s="213"/>
      <c r="AR180" s="213"/>
      <c r="AS180" s="213"/>
      <c r="AT180" s="213"/>
      <c r="AU180" s="213"/>
      <c r="AV180" s="213"/>
      <c r="AW180" s="213"/>
      <c r="AX180" s="213"/>
      <c r="AY180" s="213"/>
      <c r="AZ180" s="213"/>
      <c r="BA180" s="213"/>
      <c r="BB180" s="213"/>
      <c r="BC180" s="213"/>
      <c r="BD180" s="213"/>
      <c r="BE180" s="213"/>
      <c r="BF180" s="213"/>
      <c r="BG180" s="213"/>
      <c r="BH180" s="213"/>
      <c r="BI180" s="213"/>
      <c r="BJ180" s="213"/>
      <c r="BK180" s="213"/>
      <c r="BL180" s="213"/>
      <c r="BM180" s="213"/>
      <c r="BN180" s="213"/>
      <c r="BO180" s="213"/>
      <c r="BP180" s="213"/>
      <c r="BQ180" s="213"/>
      <c r="BR180" s="213"/>
      <c r="BS180" s="213"/>
      <c r="BT180" s="213"/>
      <c r="BU180" s="213"/>
      <c r="BV180" s="213"/>
      <c r="BW180" s="213"/>
      <c r="BX180" s="213"/>
    </row>
    <row r="181" spans="1:76" s="209" customFormat="1" ht="22.5" customHeight="1">
      <c r="A181" s="235">
        <v>176</v>
      </c>
      <c r="B181" s="235"/>
      <c r="C181" s="235"/>
      <c r="D181" s="203"/>
      <c r="E181" s="204"/>
      <c r="F181" s="235"/>
      <c r="G181" s="235"/>
      <c r="H181" s="203"/>
      <c r="I181" s="203"/>
      <c r="J181" s="203"/>
      <c r="K181" s="205"/>
      <c r="L181" s="206"/>
      <c r="M181" s="203"/>
      <c r="N181" s="207"/>
      <c r="O181" s="207"/>
      <c r="P181" s="207"/>
      <c r="Q181" s="207"/>
      <c r="R181" s="206"/>
      <c r="S181" s="205"/>
      <c r="T181" s="205"/>
      <c r="U181" s="207"/>
      <c r="V181" s="226"/>
      <c r="W181" s="208"/>
      <c r="X181" s="208"/>
      <c r="Y181" s="208"/>
      <c r="Z181" s="208"/>
      <c r="AA181" s="208"/>
      <c r="AB181" s="210"/>
      <c r="AC181" s="210"/>
      <c r="AD181" s="210"/>
      <c r="AE181" s="210"/>
      <c r="AF181" s="210"/>
      <c r="AG181" s="210"/>
      <c r="AH181" s="210"/>
      <c r="AI181" s="93"/>
      <c r="AJ181" s="93">
        <f t="shared" ca="1" si="7"/>
        <v>0</v>
      </c>
      <c r="AK181" s="93">
        <f t="shared" ca="1" si="8"/>
        <v>0</v>
      </c>
      <c r="AL181" s="213"/>
      <c r="AM181" s="213"/>
      <c r="AN181" s="213"/>
      <c r="AO181" s="213"/>
      <c r="AP181" s="213"/>
      <c r="AQ181" s="213"/>
      <c r="AR181" s="213"/>
      <c r="AS181" s="213"/>
      <c r="AT181" s="213"/>
      <c r="AU181" s="213"/>
      <c r="AV181" s="213"/>
      <c r="AW181" s="213"/>
      <c r="AX181" s="213"/>
      <c r="AY181" s="213"/>
      <c r="AZ181" s="213"/>
      <c r="BA181" s="213"/>
      <c r="BB181" s="213"/>
      <c r="BC181" s="213"/>
      <c r="BD181" s="213"/>
      <c r="BE181" s="213"/>
      <c r="BF181" s="213"/>
      <c r="BG181" s="213"/>
      <c r="BH181" s="213"/>
      <c r="BI181" s="213"/>
      <c r="BJ181" s="213"/>
      <c r="BK181" s="213"/>
      <c r="BL181" s="213"/>
      <c r="BM181" s="213"/>
      <c r="BN181" s="213"/>
      <c r="BO181" s="213"/>
      <c r="BP181" s="213"/>
      <c r="BQ181" s="213"/>
      <c r="BR181" s="213"/>
      <c r="BS181" s="213"/>
      <c r="BT181" s="213"/>
      <c r="BU181" s="213"/>
      <c r="BV181" s="213"/>
      <c r="BW181" s="213"/>
      <c r="BX181" s="213"/>
    </row>
    <row r="182" spans="1:76" s="209" customFormat="1" ht="22.5" customHeight="1">
      <c r="A182" s="235">
        <v>177</v>
      </c>
      <c r="B182" s="235"/>
      <c r="C182" s="235"/>
      <c r="D182" s="203"/>
      <c r="E182" s="204"/>
      <c r="F182" s="235"/>
      <c r="G182" s="235"/>
      <c r="H182" s="203"/>
      <c r="I182" s="203"/>
      <c r="J182" s="203"/>
      <c r="K182" s="205"/>
      <c r="L182" s="206"/>
      <c r="M182" s="203"/>
      <c r="N182" s="207"/>
      <c r="O182" s="207"/>
      <c r="P182" s="207"/>
      <c r="Q182" s="207"/>
      <c r="R182" s="206"/>
      <c r="S182" s="205"/>
      <c r="T182" s="205"/>
      <c r="U182" s="207"/>
      <c r="V182" s="226"/>
      <c r="W182" s="208"/>
      <c r="X182" s="208"/>
      <c r="Y182" s="208"/>
      <c r="Z182" s="208"/>
      <c r="AA182" s="208"/>
      <c r="AB182" s="210"/>
      <c r="AC182" s="210"/>
      <c r="AD182" s="210"/>
      <c r="AE182" s="210"/>
      <c r="AF182" s="210"/>
      <c r="AG182" s="210"/>
      <c r="AH182" s="210"/>
      <c r="AI182" s="93"/>
      <c r="AJ182" s="93">
        <f t="shared" ca="1" si="7"/>
        <v>0</v>
      </c>
      <c r="AK182" s="93">
        <f t="shared" ca="1" si="8"/>
        <v>0</v>
      </c>
      <c r="AL182" s="213"/>
      <c r="AM182" s="213"/>
      <c r="AN182" s="213"/>
      <c r="AO182" s="213"/>
      <c r="AP182" s="213"/>
      <c r="AQ182" s="213"/>
      <c r="AR182" s="213"/>
      <c r="AS182" s="213"/>
      <c r="AT182" s="213"/>
      <c r="AU182" s="213"/>
      <c r="AV182" s="213"/>
      <c r="AW182" s="213"/>
      <c r="AX182" s="213"/>
      <c r="AY182" s="213"/>
      <c r="AZ182" s="213"/>
      <c r="BA182" s="213"/>
      <c r="BB182" s="213"/>
      <c r="BC182" s="213"/>
      <c r="BD182" s="213"/>
      <c r="BE182" s="213"/>
      <c r="BF182" s="213"/>
      <c r="BG182" s="213"/>
      <c r="BH182" s="213"/>
      <c r="BI182" s="213"/>
      <c r="BJ182" s="213"/>
      <c r="BK182" s="213"/>
      <c r="BL182" s="213"/>
      <c r="BM182" s="213"/>
      <c r="BN182" s="213"/>
      <c r="BO182" s="213"/>
      <c r="BP182" s="213"/>
      <c r="BQ182" s="213"/>
      <c r="BR182" s="213"/>
      <c r="BS182" s="213"/>
      <c r="BT182" s="213"/>
      <c r="BU182" s="213"/>
      <c r="BV182" s="213"/>
      <c r="BW182" s="213"/>
      <c r="BX182" s="213"/>
    </row>
    <row r="183" spans="1:76" s="209" customFormat="1" ht="22.5" customHeight="1">
      <c r="A183" s="235">
        <v>178</v>
      </c>
      <c r="B183" s="235"/>
      <c r="C183" s="235"/>
      <c r="D183" s="203"/>
      <c r="E183" s="204"/>
      <c r="F183" s="235"/>
      <c r="G183" s="235"/>
      <c r="H183" s="203"/>
      <c r="I183" s="203"/>
      <c r="J183" s="203"/>
      <c r="K183" s="205"/>
      <c r="L183" s="206"/>
      <c r="M183" s="203"/>
      <c r="N183" s="207"/>
      <c r="O183" s="207"/>
      <c r="P183" s="207"/>
      <c r="Q183" s="207"/>
      <c r="R183" s="206"/>
      <c r="S183" s="205"/>
      <c r="T183" s="205"/>
      <c r="U183" s="207"/>
      <c r="V183" s="226"/>
      <c r="W183" s="208"/>
      <c r="X183" s="208"/>
      <c r="Y183" s="208"/>
      <c r="Z183" s="208"/>
      <c r="AA183" s="208"/>
      <c r="AB183" s="210"/>
      <c r="AC183" s="210"/>
      <c r="AD183" s="210"/>
      <c r="AE183" s="210"/>
      <c r="AF183" s="210"/>
      <c r="AG183" s="210"/>
      <c r="AH183" s="210"/>
      <c r="AI183" s="93"/>
      <c r="AJ183" s="93">
        <f t="shared" ca="1" si="7"/>
        <v>0</v>
      </c>
      <c r="AK183" s="93">
        <f t="shared" ca="1" si="8"/>
        <v>0</v>
      </c>
      <c r="AL183" s="213"/>
      <c r="AM183" s="213"/>
      <c r="AN183" s="213"/>
      <c r="AO183" s="213"/>
      <c r="AP183" s="213"/>
      <c r="AQ183" s="213"/>
      <c r="AR183" s="213"/>
      <c r="AS183" s="213"/>
      <c r="AT183" s="213"/>
      <c r="AU183" s="213"/>
      <c r="AV183" s="213"/>
      <c r="AW183" s="213"/>
      <c r="AX183" s="213"/>
      <c r="AY183" s="213"/>
      <c r="AZ183" s="213"/>
      <c r="BA183" s="213"/>
      <c r="BB183" s="213"/>
      <c r="BC183" s="213"/>
      <c r="BD183" s="213"/>
      <c r="BE183" s="213"/>
      <c r="BF183" s="213"/>
      <c r="BG183" s="213"/>
      <c r="BH183" s="213"/>
      <c r="BI183" s="213"/>
      <c r="BJ183" s="213"/>
      <c r="BK183" s="213"/>
      <c r="BL183" s="213"/>
      <c r="BM183" s="213"/>
      <c r="BN183" s="213"/>
      <c r="BO183" s="213"/>
      <c r="BP183" s="213"/>
      <c r="BQ183" s="213"/>
      <c r="BR183" s="213"/>
      <c r="BS183" s="213"/>
      <c r="BT183" s="213"/>
      <c r="BU183" s="213"/>
      <c r="BV183" s="213"/>
      <c r="BW183" s="213"/>
      <c r="BX183" s="213"/>
    </row>
    <row r="184" spans="1:76" s="209" customFormat="1" ht="22.5" customHeight="1">
      <c r="A184" s="235">
        <v>179</v>
      </c>
      <c r="B184" s="235"/>
      <c r="C184" s="235"/>
      <c r="D184" s="203"/>
      <c r="E184" s="204"/>
      <c r="F184" s="235"/>
      <c r="G184" s="235"/>
      <c r="H184" s="203"/>
      <c r="I184" s="203"/>
      <c r="J184" s="203"/>
      <c r="K184" s="205"/>
      <c r="L184" s="206"/>
      <c r="M184" s="203"/>
      <c r="N184" s="207"/>
      <c r="O184" s="207"/>
      <c r="P184" s="207"/>
      <c r="Q184" s="207"/>
      <c r="R184" s="206"/>
      <c r="S184" s="205"/>
      <c r="T184" s="205"/>
      <c r="U184" s="207"/>
      <c r="V184" s="226"/>
      <c r="W184" s="208"/>
      <c r="X184" s="208"/>
      <c r="Y184" s="208"/>
      <c r="Z184" s="208"/>
      <c r="AA184" s="208"/>
      <c r="AB184" s="210"/>
      <c r="AC184" s="210"/>
      <c r="AD184" s="210"/>
      <c r="AE184" s="210"/>
      <c r="AF184" s="210"/>
      <c r="AG184" s="210"/>
      <c r="AH184" s="210"/>
      <c r="AI184" s="93"/>
      <c r="AJ184" s="93">
        <f t="shared" ca="1" si="7"/>
        <v>0</v>
      </c>
      <c r="AK184" s="93">
        <f t="shared" ca="1" si="8"/>
        <v>0</v>
      </c>
      <c r="AL184" s="213"/>
      <c r="AM184" s="213"/>
      <c r="AN184" s="213"/>
      <c r="AO184" s="213"/>
      <c r="AP184" s="213"/>
      <c r="AQ184" s="213"/>
      <c r="AR184" s="213"/>
      <c r="AS184" s="213"/>
      <c r="AT184" s="213"/>
      <c r="AU184" s="213"/>
      <c r="AV184" s="213"/>
      <c r="AW184" s="213"/>
      <c r="AX184" s="213"/>
      <c r="AY184" s="213"/>
      <c r="AZ184" s="213"/>
      <c r="BA184" s="213"/>
      <c r="BB184" s="213"/>
      <c r="BC184" s="213"/>
      <c r="BD184" s="213"/>
      <c r="BE184" s="213"/>
      <c r="BF184" s="213"/>
      <c r="BG184" s="213"/>
      <c r="BH184" s="213"/>
      <c r="BI184" s="213"/>
      <c r="BJ184" s="213"/>
      <c r="BK184" s="213"/>
      <c r="BL184" s="213"/>
      <c r="BM184" s="213"/>
      <c r="BN184" s="213"/>
      <c r="BO184" s="213"/>
      <c r="BP184" s="213"/>
      <c r="BQ184" s="213"/>
      <c r="BR184" s="213"/>
      <c r="BS184" s="213"/>
      <c r="BT184" s="213"/>
      <c r="BU184" s="213"/>
      <c r="BV184" s="213"/>
      <c r="BW184" s="213"/>
      <c r="BX184" s="213"/>
    </row>
    <row r="185" spans="1:76" s="209" customFormat="1" ht="22.5" customHeight="1">
      <c r="A185" s="235">
        <v>180</v>
      </c>
      <c r="B185" s="235"/>
      <c r="C185" s="235"/>
      <c r="D185" s="203"/>
      <c r="E185" s="204"/>
      <c r="F185" s="235"/>
      <c r="G185" s="235"/>
      <c r="H185" s="203"/>
      <c r="I185" s="203"/>
      <c r="J185" s="203"/>
      <c r="K185" s="205"/>
      <c r="L185" s="206"/>
      <c r="M185" s="203"/>
      <c r="N185" s="207"/>
      <c r="O185" s="207"/>
      <c r="P185" s="207"/>
      <c r="Q185" s="207"/>
      <c r="R185" s="206"/>
      <c r="S185" s="205"/>
      <c r="T185" s="205"/>
      <c r="U185" s="207"/>
      <c r="V185" s="226"/>
      <c r="W185" s="208"/>
      <c r="X185" s="208"/>
      <c r="Y185" s="208"/>
      <c r="Z185" s="208"/>
      <c r="AA185" s="208"/>
      <c r="AB185" s="210"/>
      <c r="AC185" s="210"/>
      <c r="AD185" s="210"/>
      <c r="AE185" s="210"/>
      <c r="AF185" s="210"/>
      <c r="AG185" s="210"/>
      <c r="AH185" s="210"/>
      <c r="AI185" s="93"/>
      <c r="AJ185" s="93">
        <f t="shared" ca="1" si="7"/>
        <v>0</v>
      </c>
      <c r="AK185" s="93">
        <f t="shared" ca="1" si="8"/>
        <v>0</v>
      </c>
      <c r="AL185" s="213"/>
      <c r="AM185" s="213"/>
      <c r="AN185" s="213"/>
      <c r="AO185" s="213"/>
      <c r="AP185" s="213"/>
      <c r="AQ185" s="213"/>
      <c r="AR185" s="213"/>
      <c r="AS185" s="213"/>
      <c r="AT185" s="213"/>
      <c r="AU185" s="213"/>
      <c r="AV185" s="213"/>
      <c r="AW185" s="213"/>
      <c r="AX185" s="213"/>
      <c r="AY185" s="213"/>
      <c r="AZ185" s="213"/>
      <c r="BA185" s="213"/>
      <c r="BB185" s="213"/>
      <c r="BC185" s="213"/>
      <c r="BD185" s="213"/>
      <c r="BE185" s="213"/>
      <c r="BF185" s="213"/>
      <c r="BG185" s="213"/>
      <c r="BH185" s="213"/>
      <c r="BI185" s="213"/>
      <c r="BJ185" s="213"/>
      <c r="BK185" s="213"/>
      <c r="BL185" s="213"/>
      <c r="BM185" s="213"/>
      <c r="BN185" s="213"/>
      <c r="BO185" s="213"/>
      <c r="BP185" s="213"/>
      <c r="BQ185" s="213"/>
      <c r="BR185" s="213"/>
      <c r="BS185" s="213"/>
      <c r="BT185" s="213"/>
      <c r="BU185" s="213"/>
      <c r="BV185" s="213"/>
      <c r="BW185" s="213"/>
      <c r="BX185" s="213"/>
    </row>
    <row r="186" spans="1:76" s="209" customFormat="1" ht="22.5" customHeight="1">
      <c r="A186" s="235">
        <v>181</v>
      </c>
      <c r="B186" s="235"/>
      <c r="C186" s="235"/>
      <c r="D186" s="203"/>
      <c r="E186" s="204"/>
      <c r="F186" s="235"/>
      <c r="G186" s="235"/>
      <c r="H186" s="203"/>
      <c r="I186" s="203"/>
      <c r="J186" s="203"/>
      <c r="K186" s="205"/>
      <c r="L186" s="206"/>
      <c r="M186" s="203"/>
      <c r="N186" s="207"/>
      <c r="O186" s="207"/>
      <c r="P186" s="207"/>
      <c r="Q186" s="207"/>
      <c r="R186" s="206"/>
      <c r="S186" s="205"/>
      <c r="T186" s="205"/>
      <c r="U186" s="207"/>
      <c r="V186" s="226"/>
      <c r="W186" s="208"/>
      <c r="X186" s="208"/>
      <c r="Y186" s="208"/>
      <c r="Z186" s="208"/>
      <c r="AA186" s="208"/>
      <c r="AB186" s="210"/>
      <c r="AC186" s="210"/>
      <c r="AD186" s="210"/>
      <c r="AE186" s="210"/>
      <c r="AF186" s="210"/>
      <c r="AG186" s="210"/>
      <c r="AH186" s="210"/>
      <c r="AI186" s="93"/>
      <c r="AJ186" s="93">
        <f t="shared" ca="1" si="7"/>
        <v>0</v>
      </c>
      <c r="AK186" s="93">
        <f t="shared" ca="1" si="8"/>
        <v>0</v>
      </c>
      <c r="AL186" s="213"/>
      <c r="AM186" s="213"/>
      <c r="AN186" s="213"/>
      <c r="AO186" s="213"/>
      <c r="AP186" s="213"/>
      <c r="AQ186" s="213"/>
      <c r="AR186" s="213"/>
      <c r="AS186" s="213"/>
      <c r="AT186" s="213"/>
      <c r="AU186" s="213"/>
      <c r="AV186" s="213"/>
      <c r="AW186" s="213"/>
      <c r="AX186" s="213"/>
      <c r="AY186" s="213"/>
      <c r="AZ186" s="213"/>
      <c r="BA186" s="213"/>
      <c r="BB186" s="213"/>
      <c r="BC186" s="213"/>
      <c r="BD186" s="213"/>
      <c r="BE186" s="213"/>
      <c r="BF186" s="213"/>
      <c r="BG186" s="213"/>
      <c r="BH186" s="213"/>
      <c r="BI186" s="213"/>
      <c r="BJ186" s="213"/>
      <c r="BK186" s="213"/>
      <c r="BL186" s="213"/>
      <c r="BM186" s="213"/>
      <c r="BN186" s="213"/>
      <c r="BO186" s="213"/>
      <c r="BP186" s="213"/>
      <c r="BQ186" s="213"/>
      <c r="BR186" s="213"/>
      <c r="BS186" s="213"/>
      <c r="BT186" s="213"/>
      <c r="BU186" s="213"/>
      <c r="BV186" s="213"/>
      <c r="BW186" s="213"/>
      <c r="BX186" s="213"/>
    </row>
    <row r="187" spans="1:76" s="209" customFormat="1" ht="22.5" customHeight="1">
      <c r="A187" s="235">
        <v>182</v>
      </c>
      <c r="B187" s="235"/>
      <c r="C187" s="235"/>
      <c r="D187" s="203"/>
      <c r="E187" s="204"/>
      <c r="F187" s="235"/>
      <c r="G187" s="235"/>
      <c r="H187" s="203"/>
      <c r="I187" s="203"/>
      <c r="J187" s="203"/>
      <c r="K187" s="205"/>
      <c r="L187" s="206"/>
      <c r="M187" s="203"/>
      <c r="N187" s="207"/>
      <c r="O187" s="207"/>
      <c r="P187" s="207"/>
      <c r="Q187" s="207"/>
      <c r="R187" s="206"/>
      <c r="S187" s="205"/>
      <c r="T187" s="205"/>
      <c r="U187" s="207"/>
      <c r="V187" s="226"/>
      <c r="W187" s="208"/>
      <c r="X187" s="208"/>
      <c r="Y187" s="208"/>
      <c r="Z187" s="208"/>
      <c r="AA187" s="208"/>
      <c r="AB187" s="210"/>
      <c r="AC187" s="210"/>
      <c r="AD187" s="210"/>
      <c r="AE187" s="210"/>
      <c r="AF187" s="210"/>
      <c r="AG187" s="210"/>
      <c r="AH187" s="210"/>
      <c r="AI187" s="93"/>
      <c r="AJ187" s="93">
        <f t="shared" ca="1" si="7"/>
        <v>0</v>
      </c>
      <c r="AK187" s="93">
        <f t="shared" ca="1" si="8"/>
        <v>0</v>
      </c>
      <c r="AL187" s="213"/>
      <c r="AM187" s="213"/>
      <c r="AN187" s="213"/>
      <c r="AO187" s="213"/>
      <c r="AP187" s="213"/>
      <c r="AQ187" s="213"/>
      <c r="AR187" s="213"/>
      <c r="AS187" s="213"/>
      <c r="AT187" s="213"/>
      <c r="AU187" s="213"/>
      <c r="AV187" s="213"/>
      <c r="AW187" s="213"/>
      <c r="AX187" s="213"/>
      <c r="AY187" s="213"/>
      <c r="AZ187" s="213"/>
      <c r="BA187" s="213"/>
      <c r="BB187" s="213"/>
      <c r="BC187" s="213"/>
      <c r="BD187" s="213"/>
      <c r="BE187" s="213"/>
      <c r="BF187" s="213"/>
      <c r="BG187" s="213"/>
      <c r="BH187" s="213"/>
      <c r="BI187" s="213"/>
      <c r="BJ187" s="213"/>
      <c r="BK187" s="213"/>
      <c r="BL187" s="213"/>
      <c r="BM187" s="213"/>
      <c r="BN187" s="213"/>
      <c r="BO187" s="213"/>
      <c r="BP187" s="213"/>
      <c r="BQ187" s="213"/>
      <c r="BR187" s="213"/>
      <c r="BS187" s="213"/>
      <c r="BT187" s="213"/>
      <c r="BU187" s="213"/>
      <c r="BV187" s="213"/>
      <c r="BW187" s="213"/>
      <c r="BX187" s="213"/>
    </row>
    <row r="188" spans="1:76" s="209" customFormat="1" ht="22.5" customHeight="1">
      <c r="A188" s="235">
        <v>183</v>
      </c>
      <c r="B188" s="235"/>
      <c r="C188" s="235"/>
      <c r="D188" s="203"/>
      <c r="E188" s="204"/>
      <c r="F188" s="235"/>
      <c r="G188" s="235"/>
      <c r="H188" s="203"/>
      <c r="I188" s="203"/>
      <c r="J188" s="203"/>
      <c r="K188" s="205"/>
      <c r="L188" s="206"/>
      <c r="M188" s="203"/>
      <c r="N188" s="207"/>
      <c r="O188" s="207"/>
      <c r="P188" s="207"/>
      <c r="Q188" s="207"/>
      <c r="R188" s="206"/>
      <c r="S188" s="205"/>
      <c r="T188" s="205"/>
      <c r="U188" s="207"/>
      <c r="V188" s="226"/>
      <c r="W188" s="208"/>
      <c r="X188" s="208"/>
      <c r="Y188" s="208"/>
      <c r="Z188" s="208"/>
      <c r="AA188" s="208"/>
      <c r="AB188" s="210"/>
      <c r="AC188" s="210"/>
      <c r="AD188" s="210"/>
      <c r="AE188" s="210"/>
      <c r="AF188" s="210"/>
      <c r="AG188" s="210"/>
      <c r="AH188" s="210"/>
      <c r="AI188" s="93"/>
      <c r="AJ188" s="93">
        <f t="shared" ca="1" si="7"/>
        <v>0</v>
      </c>
      <c r="AK188" s="93">
        <f t="shared" ca="1" si="8"/>
        <v>0</v>
      </c>
      <c r="AL188" s="213"/>
      <c r="AM188" s="213"/>
      <c r="AN188" s="213"/>
      <c r="AO188" s="213"/>
      <c r="AP188" s="213"/>
      <c r="AQ188" s="213"/>
      <c r="AR188" s="213"/>
      <c r="AS188" s="213"/>
      <c r="AT188" s="213"/>
      <c r="AU188" s="213"/>
      <c r="AV188" s="213"/>
      <c r="AW188" s="213"/>
      <c r="AX188" s="213"/>
      <c r="AY188" s="213"/>
      <c r="AZ188" s="213"/>
      <c r="BA188" s="213"/>
      <c r="BB188" s="213"/>
      <c r="BC188" s="213"/>
      <c r="BD188" s="213"/>
      <c r="BE188" s="213"/>
      <c r="BF188" s="213"/>
      <c r="BG188" s="213"/>
      <c r="BH188" s="213"/>
      <c r="BI188" s="213"/>
      <c r="BJ188" s="213"/>
      <c r="BK188" s="213"/>
      <c r="BL188" s="213"/>
      <c r="BM188" s="213"/>
      <c r="BN188" s="213"/>
      <c r="BO188" s="213"/>
      <c r="BP188" s="213"/>
      <c r="BQ188" s="213"/>
      <c r="BR188" s="213"/>
      <c r="BS188" s="213"/>
      <c r="BT188" s="213"/>
      <c r="BU188" s="213"/>
      <c r="BV188" s="213"/>
      <c r="BW188" s="213"/>
      <c r="BX188" s="213"/>
    </row>
    <row r="189" spans="1:76" s="209" customFormat="1" ht="22.5" customHeight="1">
      <c r="A189" s="235">
        <v>184</v>
      </c>
      <c r="B189" s="235"/>
      <c r="C189" s="235"/>
      <c r="D189" s="203"/>
      <c r="E189" s="204"/>
      <c r="F189" s="235"/>
      <c r="G189" s="235"/>
      <c r="H189" s="203"/>
      <c r="I189" s="203"/>
      <c r="J189" s="203"/>
      <c r="K189" s="205"/>
      <c r="L189" s="206"/>
      <c r="M189" s="203"/>
      <c r="N189" s="207"/>
      <c r="O189" s="207"/>
      <c r="P189" s="207"/>
      <c r="Q189" s="207"/>
      <c r="R189" s="206"/>
      <c r="S189" s="205"/>
      <c r="T189" s="205"/>
      <c r="U189" s="207"/>
      <c r="V189" s="226"/>
      <c r="W189" s="208"/>
      <c r="X189" s="208"/>
      <c r="Y189" s="208"/>
      <c r="Z189" s="208"/>
      <c r="AA189" s="208"/>
      <c r="AB189" s="210"/>
      <c r="AC189" s="210"/>
      <c r="AD189" s="210"/>
      <c r="AE189" s="210"/>
      <c r="AF189" s="210"/>
      <c r="AG189" s="210"/>
      <c r="AH189" s="210"/>
      <c r="AI189" s="93"/>
      <c r="AJ189" s="93">
        <f t="shared" ca="1" si="7"/>
        <v>0</v>
      </c>
      <c r="AK189" s="93">
        <f t="shared" ca="1" si="8"/>
        <v>0</v>
      </c>
      <c r="AL189" s="213"/>
      <c r="AM189" s="213"/>
      <c r="AN189" s="213"/>
      <c r="AO189" s="213"/>
      <c r="AP189" s="213"/>
      <c r="AQ189" s="213"/>
      <c r="AR189" s="213"/>
      <c r="AS189" s="213"/>
      <c r="AT189" s="213"/>
      <c r="AU189" s="213"/>
      <c r="AV189" s="213"/>
      <c r="AW189" s="213"/>
      <c r="AX189" s="213"/>
      <c r="AY189" s="213"/>
      <c r="AZ189" s="213"/>
      <c r="BA189" s="213"/>
      <c r="BB189" s="213"/>
      <c r="BC189" s="213"/>
      <c r="BD189" s="213"/>
      <c r="BE189" s="213"/>
      <c r="BF189" s="213"/>
      <c r="BG189" s="213"/>
      <c r="BH189" s="213"/>
      <c r="BI189" s="213"/>
      <c r="BJ189" s="213"/>
      <c r="BK189" s="213"/>
      <c r="BL189" s="213"/>
      <c r="BM189" s="213"/>
      <c r="BN189" s="213"/>
      <c r="BO189" s="213"/>
      <c r="BP189" s="213"/>
      <c r="BQ189" s="213"/>
      <c r="BR189" s="213"/>
      <c r="BS189" s="213"/>
      <c r="BT189" s="213"/>
      <c r="BU189" s="213"/>
      <c r="BV189" s="213"/>
      <c r="BW189" s="213"/>
      <c r="BX189" s="213"/>
    </row>
    <row r="190" spans="1:76" s="209" customFormat="1" ht="22.5" customHeight="1">
      <c r="A190" s="235">
        <v>185</v>
      </c>
      <c r="B190" s="235"/>
      <c r="C190" s="235"/>
      <c r="D190" s="203"/>
      <c r="E190" s="204"/>
      <c r="F190" s="235"/>
      <c r="G190" s="235"/>
      <c r="H190" s="203"/>
      <c r="I190" s="203"/>
      <c r="J190" s="203"/>
      <c r="K190" s="205"/>
      <c r="L190" s="206"/>
      <c r="M190" s="203"/>
      <c r="N190" s="207"/>
      <c r="O190" s="207"/>
      <c r="P190" s="207"/>
      <c r="Q190" s="207"/>
      <c r="R190" s="206"/>
      <c r="S190" s="205"/>
      <c r="T190" s="205"/>
      <c r="U190" s="207"/>
      <c r="V190" s="226"/>
      <c r="W190" s="208"/>
      <c r="X190" s="208"/>
      <c r="Y190" s="208"/>
      <c r="Z190" s="208"/>
      <c r="AA190" s="208"/>
      <c r="AB190" s="210"/>
      <c r="AC190" s="210"/>
      <c r="AD190" s="210"/>
      <c r="AE190" s="210"/>
      <c r="AF190" s="210"/>
      <c r="AG190" s="210"/>
      <c r="AH190" s="210"/>
      <c r="AI190" s="93"/>
      <c r="AJ190" s="93">
        <f t="shared" ca="1" si="7"/>
        <v>0</v>
      </c>
      <c r="AK190" s="93">
        <f t="shared" ca="1" si="8"/>
        <v>0</v>
      </c>
      <c r="AL190" s="213"/>
      <c r="AM190" s="213"/>
      <c r="AN190" s="213"/>
      <c r="AO190" s="213"/>
      <c r="AP190" s="213"/>
      <c r="AQ190" s="213"/>
      <c r="AR190" s="213"/>
      <c r="AS190" s="213"/>
      <c r="AT190" s="213"/>
      <c r="AU190" s="213"/>
      <c r="AV190" s="213"/>
      <c r="AW190" s="213"/>
      <c r="AX190" s="213"/>
      <c r="AY190" s="213"/>
      <c r="AZ190" s="213"/>
      <c r="BA190" s="213"/>
      <c r="BB190" s="213"/>
      <c r="BC190" s="213"/>
      <c r="BD190" s="213"/>
      <c r="BE190" s="213"/>
      <c r="BF190" s="213"/>
      <c r="BG190" s="213"/>
      <c r="BH190" s="213"/>
      <c r="BI190" s="213"/>
      <c r="BJ190" s="213"/>
      <c r="BK190" s="213"/>
      <c r="BL190" s="213"/>
      <c r="BM190" s="213"/>
      <c r="BN190" s="213"/>
      <c r="BO190" s="213"/>
      <c r="BP190" s="213"/>
      <c r="BQ190" s="213"/>
      <c r="BR190" s="213"/>
      <c r="BS190" s="213"/>
      <c r="BT190" s="213"/>
      <c r="BU190" s="213"/>
      <c r="BV190" s="213"/>
      <c r="BW190" s="213"/>
      <c r="BX190" s="213"/>
    </row>
    <row r="191" spans="1:76" s="209" customFormat="1" ht="22.5" customHeight="1">
      <c r="A191" s="235">
        <v>186</v>
      </c>
      <c r="B191" s="235"/>
      <c r="C191" s="235"/>
      <c r="D191" s="203"/>
      <c r="E191" s="204"/>
      <c r="F191" s="235"/>
      <c r="G191" s="235"/>
      <c r="H191" s="203"/>
      <c r="I191" s="203"/>
      <c r="J191" s="203"/>
      <c r="K191" s="205"/>
      <c r="L191" s="206"/>
      <c r="M191" s="203"/>
      <c r="N191" s="207"/>
      <c r="O191" s="207"/>
      <c r="P191" s="207"/>
      <c r="Q191" s="207"/>
      <c r="R191" s="206"/>
      <c r="S191" s="205"/>
      <c r="T191" s="205"/>
      <c r="U191" s="207"/>
      <c r="V191" s="226"/>
      <c r="W191" s="208"/>
      <c r="X191" s="208"/>
      <c r="Y191" s="208"/>
      <c r="Z191" s="208"/>
      <c r="AA191" s="208"/>
      <c r="AB191" s="210"/>
      <c r="AC191" s="210"/>
      <c r="AD191" s="210"/>
      <c r="AE191" s="210"/>
      <c r="AF191" s="210"/>
      <c r="AG191" s="210"/>
      <c r="AH191" s="210"/>
      <c r="AI191" s="93"/>
      <c r="AJ191" s="93">
        <f t="shared" ca="1" si="7"/>
        <v>0</v>
      </c>
      <c r="AK191" s="93">
        <f t="shared" ca="1" si="8"/>
        <v>0</v>
      </c>
      <c r="AL191" s="213"/>
      <c r="AM191" s="213"/>
      <c r="AN191" s="213"/>
      <c r="AO191" s="213"/>
      <c r="AP191" s="213"/>
      <c r="AQ191" s="213"/>
      <c r="AR191" s="213"/>
      <c r="AS191" s="213"/>
      <c r="AT191" s="213"/>
      <c r="AU191" s="213"/>
      <c r="AV191" s="213"/>
      <c r="AW191" s="213"/>
      <c r="AX191" s="213"/>
      <c r="AY191" s="213"/>
      <c r="AZ191" s="213"/>
      <c r="BA191" s="213"/>
      <c r="BB191" s="213"/>
      <c r="BC191" s="213"/>
      <c r="BD191" s="213"/>
      <c r="BE191" s="213"/>
      <c r="BF191" s="213"/>
      <c r="BG191" s="213"/>
      <c r="BH191" s="213"/>
      <c r="BI191" s="213"/>
      <c r="BJ191" s="213"/>
      <c r="BK191" s="213"/>
      <c r="BL191" s="213"/>
      <c r="BM191" s="213"/>
      <c r="BN191" s="213"/>
      <c r="BO191" s="213"/>
      <c r="BP191" s="213"/>
      <c r="BQ191" s="213"/>
      <c r="BR191" s="213"/>
      <c r="BS191" s="213"/>
      <c r="BT191" s="213"/>
      <c r="BU191" s="213"/>
      <c r="BV191" s="213"/>
      <c r="BW191" s="213"/>
      <c r="BX191" s="213"/>
    </row>
    <row r="192" spans="1:76" s="209" customFormat="1" ht="22.5" customHeight="1">
      <c r="A192" s="235">
        <v>187</v>
      </c>
      <c r="B192" s="235"/>
      <c r="C192" s="235"/>
      <c r="D192" s="203"/>
      <c r="E192" s="204"/>
      <c r="F192" s="235"/>
      <c r="G192" s="235"/>
      <c r="H192" s="203"/>
      <c r="I192" s="203"/>
      <c r="J192" s="203"/>
      <c r="K192" s="205"/>
      <c r="L192" s="206"/>
      <c r="M192" s="203"/>
      <c r="N192" s="207"/>
      <c r="O192" s="207"/>
      <c r="P192" s="207"/>
      <c r="Q192" s="207"/>
      <c r="R192" s="206"/>
      <c r="S192" s="205"/>
      <c r="T192" s="205"/>
      <c r="U192" s="207"/>
      <c r="V192" s="226"/>
      <c r="W192" s="208"/>
      <c r="X192" s="208"/>
      <c r="Y192" s="208"/>
      <c r="Z192" s="208"/>
      <c r="AA192" s="208"/>
      <c r="AB192" s="210"/>
      <c r="AC192" s="210"/>
      <c r="AD192" s="210"/>
      <c r="AE192" s="210"/>
      <c r="AF192" s="210"/>
      <c r="AG192" s="210"/>
      <c r="AH192" s="210"/>
      <c r="AI192" s="93"/>
      <c r="AJ192" s="93">
        <f t="shared" ca="1" si="7"/>
        <v>0</v>
      </c>
      <c r="AK192" s="93">
        <f t="shared" ca="1" si="8"/>
        <v>0</v>
      </c>
      <c r="AL192" s="213"/>
      <c r="AM192" s="213"/>
      <c r="AN192" s="213"/>
      <c r="AO192" s="213"/>
      <c r="AP192" s="213"/>
      <c r="AQ192" s="213"/>
      <c r="AR192" s="213"/>
      <c r="AS192" s="213"/>
      <c r="AT192" s="213"/>
      <c r="AU192" s="213"/>
      <c r="AV192" s="213"/>
      <c r="AW192" s="213"/>
      <c r="AX192" s="213"/>
      <c r="AY192" s="213"/>
      <c r="AZ192" s="213"/>
      <c r="BA192" s="213"/>
      <c r="BB192" s="213"/>
      <c r="BC192" s="213"/>
      <c r="BD192" s="213"/>
      <c r="BE192" s="213"/>
      <c r="BF192" s="213"/>
      <c r="BG192" s="213"/>
      <c r="BH192" s="213"/>
      <c r="BI192" s="213"/>
      <c r="BJ192" s="213"/>
      <c r="BK192" s="213"/>
      <c r="BL192" s="213"/>
      <c r="BM192" s="213"/>
      <c r="BN192" s="213"/>
      <c r="BO192" s="213"/>
      <c r="BP192" s="213"/>
      <c r="BQ192" s="213"/>
      <c r="BR192" s="213"/>
      <c r="BS192" s="213"/>
      <c r="BT192" s="213"/>
      <c r="BU192" s="213"/>
      <c r="BV192" s="213"/>
      <c r="BW192" s="213"/>
      <c r="BX192" s="213"/>
    </row>
    <row r="193" spans="1:76" s="209" customFormat="1" ht="22.5" customHeight="1">
      <c r="A193" s="235">
        <v>188</v>
      </c>
      <c r="B193" s="235"/>
      <c r="C193" s="235"/>
      <c r="D193" s="203"/>
      <c r="E193" s="204"/>
      <c r="F193" s="235"/>
      <c r="G193" s="235"/>
      <c r="H193" s="203"/>
      <c r="I193" s="203"/>
      <c r="J193" s="203"/>
      <c r="K193" s="205"/>
      <c r="L193" s="206"/>
      <c r="M193" s="203"/>
      <c r="N193" s="207"/>
      <c r="O193" s="207"/>
      <c r="P193" s="207"/>
      <c r="Q193" s="207"/>
      <c r="R193" s="206"/>
      <c r="S193" s="205"/>
      <c r="T193" s="205"/>
      <c r="U193" s="207"/>
      <c r="V193" s="226"/>
      <c r="W193" s="208"/>
      <c r="X193" s="208"/>
      <c r="Y193" s="208"/>
      <c r="Z193" s="208"/>
      <c r="AA193" s="208"/>
      <c r="AB193" s="210"/>
      <c r="AC193" s="210"/>
      <c r="AD193" s="210"/>
      <c r="AE193" s="210"/>
      <c r="AF193" s="210"/>
      <c r="AG193" s="210"/>
      <c r="AH193" s="210"/>
      <c r="AI193" s="93"/>
      <c r="AJ193" s="93">
        <f t="shared" ca="1" si="7"/>
        <v>0</v>
      </c>
      <c r="AK193" s="93">
        <f t="shared" ca="1" si="8"/>
        <v>0</v>
      </c>
      <c r="AL193" s="213"/>
      <c r="AM193" s="213"/>
      <c r="AN193" s="213"/>
      <c r="AO193" s="213"/>
      <c r="AP193" s="213"/>
      <c r="AQ193" s="213"/>
      <c r="AR193" s="213"/>
      <c r="AS193" s="213"/>
      <c r="AT193" s="213"/>
      <c r="AU193" s="213"/>
      <c r="AV193" s="213"/>
      <c r="AW193" s="213"/>
      <c r="AX193" s="213"/>
      <c r="AY193" s="213"/>
      <c r="AZ193" s="213"/>
      <c r="BA193" s="213"/>
      <c r="BB193" s="213"/>
      <c r="BC193" s="213"/>
      <c r="BD193" s="213"/>
      <c r="BE193" s="213"/>
      <c r="BF193" s="213"/>
      <c r="BG193" s="213"/>
      <c r="BH193" s="213"/>
      <c r="BI193" s="213"/>
      <c r="BJ193" s="213"/>
      <c r="BK193" s="213"/>
      <c r="BL193" s="213"/>
      <c r="BM193" s="213"/>
      <c r="BN193" s="213"/>
      <c r="BO193" s="213"/>
      <c r="BP193" s="213"/>
      <c r="BQ193" s="213"/>
      <c r="BR193" s="213"/>
      <c r="BS193" s="213"/>
      <c r="BT193" s="213"/>
      <c r="BU193" s="213"/>
      <c r="BV193" s="213"/>
      <c r="BW193" s="213"/>
      <c r="BX193" s="213"/>
    </row>
    <row r="194" spans="1:76" s="209" customFormat="1" ht="22.5" customHeight="1">
      <c r="A194" s="235">
        <v>189</v>
      </c>
      <c r="B194" s="235"/>
      <c r="C194" s="235"/>
      <c r="D194" s="203"/>
      <c r="E194" s="204"/>
      <c r="F194" s="235"/>
      <c r="G194" s="235"/>
      <c r="H194" s="203"/>
      <c r="I194" s="203"/>
      <c r="J194" s="203"/>
      <c r="K194" s="205"/>
      <c r="L194" s="206"/>
      <c r="M194" s="203"/>
      <c r="N194" s="207"/>
      <c r="O194" s="207"/>
      <c r="P194" s="207"/>
      <c r="Q194" s="207"/>
      <c r="R194" s="206"/>
      <c r="S194" s="205"/>
      <c r="T194" s="205"/>
      <c r="U194" s="207"/>
      <c r="V194" s="226"/>
      <c r="W194" s="208"/>
      <c r="X194" s="208"/>
      <c r="Y194" s="208"/>
      <c r="Z194" s="208"/>
      <c r="AA194" s="208"/>
      <c r="AB194" s="210"/>
      <c r="AC194" s="210"/>
      <c r="AD194" s="210"/>
      <c r="AE194" s="210"/>
      <c r="AF194" s="210"/>
      <c r="AG194" s="210"/>
      <c r="AH194" s="210"/>
      <c r="AI194" s="93"/>
      <c r="AJ194" s="93">
        <f t="shared" ca="1" si="7"/>
        <v>0</v>
      </c>
      <c r="AK194" s="93">
        <f t="shared" ca="1" si="8"/>
        <v>0</v>
      </c>
      <c r="AL194" s="213"/>
      <c r="AM194" s="213"/>
      <c r="AN194" s="213"/>
      <c r="AO194" s="213"/>
      <c r="AP194" s="213"/>
      <c r="AQ194" s="213"/>
      <c r="AR194" s="213"/>
      <c r="AS194" s="213"/>
      <c r="AT194" s="213"/>
      <c r="AU194" s="213"/>
      <c r="AV194" s="213"/>
      <c r="AW194" s="213"/>
      <c r="AX194" s="213"/>
      <c r="AY194" s="213"/>
      <c r="AZ194" s="213"/>
      <c r="BA194" s="213"/>
      <c r="BB194" s="213"/>
      <c r="BC194" s="213"/>
      <c r="BD194" s="213"/>
      <c r="BE194" s="213"/>
      <c r="BF194" s="213"/>
      <c r="BG194" s="213"/>
      <c r="BH194" s="213"/>
      <c r="BI194" s="213"/>
      <c r="BJ194" s="213"/>
      <c r="BK194" s="213"/>
      <c r="BL194" s="213"/>
      <c r="BM194" s="213"/>
      <c r="BN194" s="213"/>
      <c r="BO194" s="213"/>
      <c r="BP194" s="213"/>
      <c r="BQ194" s="213"/>
      <c r="BR194" s="213"/>
      <c r="BS194" s="213"/>
      <c r="BT194" s="213"/>
      <c r="BU194" s="213"/>
      <c r="BV194" s="213"/>
      <c r="BW194" s="213"/>
      <c r="BX194" s="213"/>
    </row>
    <row r="195" spans="1:76" s="209" customFormat="1" ht="22.5" customHeight="1">
      <c r="A195" s="235">
        <v>190</v>
      </c>
      <c r="B195" s="235"/>
      <c r="C195" s="235"/>
      <c r="D195" s="203"/>
      <c r="E195" s="204"/>
      <c r="F195" s="235"/>
      <c r="G195" s="235"/>
      <c r="H195" s="203"/>
      <c r="I195" s="203"/>
      <c r="J195" s="203"/>
      <c r="K195" s="205"/>
      <c r="L195" s="206"/>
      <c r="M195" s="203"/>
      <c r="N195" s="207"/>
      <c r="O195" s="207"/>
      <c r="P195" s="207"/>
      <c r="Q195" s="207"/>
      <c r="R195" s="206"/>
      <c r="S195" s="205"/>
      <c r="T195" s="205"/>
      <c r="U195" s="207"/>
      <c r="V195" s="226"/>
      <c r="W195" s="208"/>
      <c r="X195" s="208"/>
      <c r="Y195" s="208"/>
      <c r="Z195" s="208"/>
      <c r="AA195" s="208"/>
      <c r="AB195" s="210"/>
      <c r="AC195" s="210"/>
      <c r="AD195" s="210"/>
      <c r="AE195" s="210"/>
      <c r="AF195" s="210"/>
      <c r="AG195" s="210"/>
      <c r="AH195" s="210"/>
      <c r="AI195" s="93"/>
      <c r="AJ195" s="93">
        <f t="shared" ca="1" si="7"/>
        <v>0</v>
      </c>
      <c r="AK195" s="93">
        <f t="shared" ca="1" si="8"/>
        <v>0</v>
      </c>
      <c r="AL195" s="213"/>
      <c r="AM195" s="213"/>
      <c r="AN195" s="213"/>
      <c r="AO195" s="213"/>
      <c r="AP195" s="213"/>
      <c r="AQ195" s="213"/>
      <c r="AR195" s="213"/>
      <c r="AS195" s="213"/>
      <c r="AT195" s="213"/>
      <c r="AU195" s="213"/>
      <c r="AV195" s="213"/>
      <c r="AW195" s="213"/>
      <c r="AX195" s="213"/>
      <c r="AY195" s="213"/>
      <c r="AZ195" s="213"/>
      <c r="BA195" s="213"/>
      <c r="BB195" s="213"/>
      <c r="BC195" s="213"/>
      <c r="BD195" s="213"/>
      <c r="BE195" s="213"/>
      <c r="BF195" s="213"/>
      <c r="BG195" s="213"/>
      <c r="BH195" s="213"/>
      <c r="BI195" s="213"/>
      <c r="BJ195" s="213"/>
      <c r="BK195" s="213"/>
      <c r="BL195" s="213"/>
      <c r="BM195" s="213"/>
      <c r="BN195" s="213"/>
      <c r="BO195" s="213"/>
      <c r="BP195" s="213"/>
      <c r="BQ195" s="213"/>
      <c r="BR195" s="213"/>
      <c r="BS195" s="213"/>
      <c r="BT195" s="213"/>
      <c r="BU195" s="213"/>
      <c r="BV195" s="213"/>
      <c r="BW195" s="213"/>
      <c r="BX195" s="213"/>
    </row>
    <row r="196" spans="1:76" s="209" customFormat="1" ht="22.5" customHeight="1">
      <c r="A196" s="235">
        <v>191</v>
      </c>
      <c r="B196" s="235"/>
      <c r="C196" s="235"/>
      <c r="D196" s="203"/>
      <c r="E196" s="204"/>
      <c r="F196" s="235"/>
      <c r="G196" s="235"/>
      <c r="H196" s="203"/>
      <c r="I196" s="203"/>
      <c r="J196" s="203"/>
      <c r="K196" s="205"/>
      <c r="L196" s="206"/>
      <c r="M196" s="203"/>
      <c r="N196" s="207"/>
      <c r="O196" s="207"/>
      <c r="P196" s="207"/>
      <c r="Q196" s="207"/>
      <c r="R196" s="206"/>
      <c r="S196" s="205"/>
      <c r="T196" s="205"/>
      <c r="U196" s="207"/>
      <c r="V196" s="226"/>
      <c r="W196" s="208"/>
      <c r="X196" s="208"/>
      <c r="Y196" s="208"/>
      <c r="Z196" s="208"/>
      <c r="AA196" s="208"/>
      <c r="AB196" s="210"/>
      <c r="AC196" s="210"/>
      <c r="AD196" s="210"/>
      <c r="AE196" s="210"/>
      <c r="AF196" s="210"/>
      <c r="AG196" s="210"/>
      <c r="AH196" s="210"/>
      <c r="AI196" s="93"/>
      <c r="AJ196" s="93">
        <f t="shared" ca="1" si="7"/>
        <v>0</v>
      </c>
      <c r="AK196" s="93">
        <f t="shared" ca="1" si="8"/>
        <v>0</v>
      </c>
      <c r="AL196" s="213"/>
      <c r="AM196" s="213"/>
      <c r="AN196" s="213"/>
      <c r="AO196" s="213"/>
      <c r="AP196" s="213"/>
      <c r="AQ196" s="213"/>
      <c r="AR196" s="213"/>
      <c r="AS196" s="213"/>
      <c r="AT196" s="213"/>
      <c r="AU196" s="213"/>
      <c r="AV196" s="213"/>
      <c r="AW196" s="213"/>
      <c r="AX196" s="213"/>
      <c r="AY196" s="213"/>
      <c r="AZ196" s="213"/>
      <c r="BA196" s="213"/>
      <c r="BB196" s="213"/>
      <c r="BC196" s="213"/>
      <c r="BD196" s="213"/>
      <c r="BE196" s="213"/>
      <c r="BF196" s="213"/>
      <c r="BG196" s="213"/>
      <c r="BH196" s="213"/>
      <c r="BI196" s="213"/>
      <c r="BJ196" s="213"/>
      <c r="BK196" s="213"/>
      <c r="BL196" s="213"/>
      <c r="BM196" s="213"/>
      <c r="BN196" s="213"/>
      <c r="BO196" s="213"/>
      <c r="BP196" s="213"/>
      <c r="BQ196" s="213"/>
      <c r="BR196" s="213"/>
      <c r="BS196" s="213"/>
      <c r="BT196" s="213"/>
      <c r="BU196" s="213"/>
      <c r="BV196" s="213"/>
      <c r="BW196" s="213"/>
      <c r="BX196" s="213"/>
    </row>
    <row r="197" spans="1:76" s="209" customFormat="1" ht="22.5" customHeight="1">
      <c r="A197" s="235">
        <v>192</v>
      </c>
      <c r="B197" s="235"/>
      <c r="C197" s="235"/>
      <c r="D197" s="203"/>
      <c r="E197" s="204"/>
      <c r="F197" s="235"/>
      <c r="G197" s="235"/>
      <c r="H197" s="203"/>
      <c r="I197" s="203"/>
      <c r="J197" s="203"/>
      <c r="K197" s="205"/>
      <c r="L197" s="206"/>
      <c r="M197" s="203"/>
      <c r="N197" s="207"/>
      <c r="O197" s="207"/>
      <c r="P197" s="207"/>
      <c r="Q197" s="207"/>
      <c r="R197" s="206"/>
      <c r="S197" s="205"/>
      <c r="T197" s="205"/>
      <c r="U197" s="207"/>
      <c r="V197" s="226"/>
      <c r="W197" s="208"/>
      <c r="X197" s="208"/>
      <c r="Y197" s="208"/>
      <c r="Z197" s="208"/>
      <c r="AA197" s="208"/>
      <c r="AB197" s="210"/>
      <c r="AC197" s="210"/>
      <c r="AD197" s="210"/>
      <c r="AE197" s="210"/>
      <c r="AF197" s="210"/>
      <c r="AG197" s="210"/>
      <c r="AH197" s="210"/>
      <c r="AI197" s="93"/>
      <c r="AJ197" s="93">
        <f t="shared" ca="1" si="7"/>
        <v>0</v>
      </c>
      <c r="AK197" s="93">
        <f t="shared" ca="1" si="8"/>
        <v>0</v>
      </c>
      <c r="AL197" s="213"/>
      <c r="AM197" s="213"/>
      <c r="AN197" s="213"/>
      <c r="AO197" s="213"/>
      <c r="AP197" s="213"/>
      <c r="AQ197" s="213"/>
      <c r="AR197" s="213"/>
      <c r="AS197" s="213"/>
      <c r="AT197" s="213"/>
      <c r="AU197" s="213"/>
      <c r="AV197" s="213"/>
      <c r="AW197" s="213"/>
      <c r="AX197" s="213"/>
      <c r="AY197" s="213"/>
      <c r="AZ197" s="213"/>
      <c r="BA197" s="213"/>
      <c r="BB197" s="213"/>
      <c r="BC197" s="213"/>
      <c r="BD197" s="213"/>
      <c r="BE197" s="213"/>
      <c r="BF197" s="213"/>
      <c r="BG197" s="213"/>
      <c r="BH197" s="213"/>
      <c r="BI197" s="213"/>
      <c r="BJ197" s="213"/>
      <c r="BK197" s="213"/>
      <c r="BL197" s="213"/>
      <c r="BM197" s="213"/>
      <c r="BN197" s="213"/>
      <c r="BO197" s="213"/>
      <c r="BP197" s="213"/>
      <c r="BQ197" s="213"/>
      <c r="BR197" s="213"/>
      <c r="BS197" s="213"/>
      <c r="BT197" s="213"/>
      <c r="BU197" s="213"/>
      <c r="BV197" s="213"/>
      <c r="BW197" s="213"/>
      <c r="BX197" s="213"/>
    </row>
    <row r="198" spans="1:76" s="209" customFormat="1" ht="22.5" customHeight="1">
      <c r="A198" s="235">
        <v>193</v>
      </c>
      <c r="B198" s="235"/>
      <c r="C198" s="235"/>
      <c r="D198" s="203"/>
      <c r="E198" s="204"/>
      <c r="F198" s="235"/>
      <c r="G198" s="235"/>
      <c r="H198" s="203"/>
      <c r="I198" s="203"/>
      <c r="J198" s="203"/>
      <c r="K198" s="205"/>
      <c r="L198" s="206"/>
      <c r="M198" s="203"/>
      <c r="N198" s="207"/>
      <c r="O198" s="207"/>
      <c r="P198" s="207"/>
      <c r="Q198" s="207"/>
      <c r="R198" s="206"/>
      <c r="S198" s="205"/>
      <c r="T198" s="205"/>
      <c r="U198" s="207"/>
      <c r="V198" s="226"/>
      <c r="W198" s="208"/>
      <c r="X198" s="208"/>
      <c r="Y198" s="208"/>
      <c r="Z198" s="208"/>
      <c r="AA198" s="208"/>
      <c r="AB198" s="210"/>
      <c r="AC198" s="210"/>
      <c r="AD198" s="210"/>
      <c r="AE198" s="210"/>
      <c r="AF198" s="210"/>
      <c r="AG198" s="210"/>
      <c r="AH198" s="210"/>
      <c r="AI198" s="93"/>
      <c r="AJ198" s="93">
        <f t="shared" ca="1" si="7"/>
        <v>0</v>
      </c>
      <c r="AK198" s="93">
        <f t="shared" ca="1" si="8"/>
        <v>0</v>
      </c>
      <c r="AL198" s="213"/>
      <c r="AM198" s="213"/>
      <c r="AN198" s="213"/>
      <c r="AO198" s="213"/>
      <c r="AP198" s="213"/>
      <c r="AQ198" s="213"/>
      <c r="AR198" s="213"/>
      <c r="AS198" s="213"/>
      <c r="AT198" s="213"/>
      <c r="AU198" s="213"/>
      <c r="AV198" s="213"/>
      <c r="AW198" s="213"/>
      <c r="AX198" s="213"/>
      <c r="AY198" s="213"/>
      <c r="AZ198" s="213"/>
      <c r="BA198" s="213"/>
      <c r="BB198" s="213"/>
      <c r="BC198" s="213"/>
      <c r="BD198" s="213"/>
      <c r="BE198" s="213"/>
      <c r="BF198" s="213"/>
      <c r="BG198" s="213"/>
      <c r="BH198" s="213"/>
      <c r="BI198" s="213"/>
      <c r="BJ198" s="213"/>
      <c r="BK198" s="213"/>
      <c r="BL198" s="213"/>
      <c r="BM198" s="213"/>
      <c r="BN198" s="213"/>
      <c r="BO198" s="213"/>
      <c r="BP198" s="213"/>
      <c r="BQ198" s="213"/>
      <c r="BR198" s="213"/>
      <c r="BS198" s="213"/>
      <c r="BT198" s="213"/>
      <c r="BU198" s="213"/>
      <c r="BV198" s="213"/>
      <c r="BW198" s="213"/>
      <c r="BX198" s="213"/>
    </row>
    <row r="199" spans="1:76" s="209" customFormat="1" ht="22.5" customHeight="1">
      <c r="A199" s="235">
        <v>194</v>
      </c>
      <c r="B199" s="235"/>
      <c r="C199" s="235"/>
      <c r="D199" s="203"/>
      <c r="E199" s="204"/>
      <c r="F199" s="235"/>
      <c r="G199" s="235"/>
      <c r="H199" s="203"/>
      <c r="I199" s="203"/>
      <c r="J199" s="203"/>
      <c r="K199" s="205"/>
      <c r="L199" s="206"/>
      <c r="M199" s="203"/>
      <c r="N199" s="207"/>
      <c r="O199" s="207"/>
      <c r="P199" s="207"/>
      <c r="Q199" s="207"/>
      <c r="R199" s="206"/>
      <c r="S199" s="205"/>
      <c r="T199" s="205"/>
      <c r="U199" s="207"/>
      <c r="V199" s="226"/>
      <c r="W199" s="208"/>
      <c r="X199" s="208"/>
      <c r="Y199" s="208"/>
      <c r="Z199" s="208"/>
      <c r="AA199" s="208"/>
      <c r="AB199" s="210"/>
      <c r="AC199" s="210"/>
      <c r="AD199" s="210"/>
      <c r="AE199" s="210"/>
      <c r="AF199" s="210"/>
      <c r="AG199" s="210"/>
      <c r="AH199" s="210"/>
      <c r="AI199" s="93"/>
      <c r="AJ199" s="93">
        <f t="shared" ca="1" si="7"/>
        <v>0</v>
      </c>
      <c r="AK199" s="93">
        <f t="shared" ca="1" si="8"/>
        <v>0</v>
      </c>
      <c r="AL199" s="213"/>
      <c r="AM199" s="213"/>
      <c r="AN199" s="213"/>
      <c r="AO199" s="213"/>
      <c r="AP199" s="213"/>
      <c r="AQ199" s="213"/>
      <c r="AR199" s="213"/>
      <c r="AS199" s="213"/>
      <c r="AT199" s="213"/>
      <c r="AU199" s="213"/>
      <c r="AV199" s="213"/>
      <c r="AW199" s="213"/>
      <c r="AX199" s="213"/>
      <c r="AY199" s="213"/>
      <c r="AZ199" s="213"/>
      <c r="BA199" s="213"/>
      <c r="BB199" s="213"/>
      <c r="BC199" s="213"/>
      <c r="BD199" s="213"/>
      <c r="BE199" s="213"/>
      <c r="BF199" s="213"/>
      <c r="BG199" s="213"/>
      <c r="BH199" s="213"/>
      <c r="BI199" s="213"/>
      <c r="BJ199" s="213"/>
      <c r="BK199" s="213"/>
      <c r="BL199" s="213"/>
      <c r="BM199" s="213"/>
      <c r="BN199" s="213"/>
      <c r="BO199" s="213"/>
      <c r="BP199" s="213"/>
      <c r="BQ199" s="213"/>
      <c r="BR199" s="213"/>
      <c r="BS199" s="213"/>
      <c r="BT199" s="213"/>
      <c r="BU199" s="213"/>
      <c r="BV199" s="213"/>
      <c r="BW199" s="213"/>
      <c r="BX199" s="213"/>
    </row>
    <row r="200" spans="1:76" s="209" customFormat="1" ht="22.5" customHeight="1">
      <c r="A200" s="235">
        <v>195</v>
      </c>
      <c r="B200" s="235"/>
      <c r="C200" s="235"/>
      <c r="D200" s="203"/>
      <c r="E200" s="204"/>
      <c r="F200" s="235"/>
      <c r="G200" s="235"/>
      <c r="H200" s="203"/>
      <c r="I200" s="203"/>
      <c r="J200" s="203"/>
      <c r="K200" s="205"/>
      <c r="L200" s="206"/>
      <c r="M200" s="203"/>
      <c r="N200" s="207"/>
      <c r="O200" s="207"/>
      <c r="P200" s="207"/>
      <c r="Q200" s="207"/>
      <c r="R200" s="206"/>
      <c r="S200" s="205"/>
      <c r="T200" s="205"/>
      <c r="U200" s="207"/>
      <c r="V200" s="226"/>
      <c r="W200" s="208"/>
      <c r="X200" s="208"/>
      <c r="Y200" s="208"/>
      <c r="Z200" s="208"/>
      <c r="AA200" s="208"/>
      <c r="AB200" s="210"/>
      <c r="AC200" s="210"/>
      <c r="AD200" s="210"/>
      <c r="AE200" s="210"/>
      <c r="AF200" s="210"/>
      <c r="AG200" s="210"/>
      <c r="AH200" s="210"/>
      <c r="AI200" s="93"/>
      <c r="AJ200" s="93">
        <f t="shared" ca="1" si="7"/>
        <v>0</v>
      </c>
      <c r="AK200" s="93">
        <f t="shared" ca="1" si="8"/>
        <v>0</v>
      </c>
      <c r="AL200" s="213"/>
      <c r="AM200" s="213"/>
      <c r="AN200" s="213"/>
      <c r="AO200" s="213"/>
      <c r="AP200" s="213"/>
      <c r="AQ200" s="213"/>
      <c r="AR200" s="213"/>
      <c r="AS200" s="213"/>
      <c r="AT200" s="213"/>
      <c r="AU200" s="213"/>
      <c r="AV200" s="213"/>
      <c r="AW200" s="213"/>
      <c r="AX200" s="213"/>
      <c r="AY200" s="213"/>
      <c r="AZ200" s="213"/>
      <c r="BA200" s="213"/>
      <c r="BB200" s="213"/>
      <c r="BC200" s="213"/>
      <c r="BD200" s="213"/>
      <c r="BE200" s="213"/>
      <c r="BF200" s="213"/>
      <c r="BG200" s="213"/>
      <c r="BH200" s="213"/>
      <c r="BI200" s="213"/>
      <c r="BJ200" s="213"/>
      <c r="BK200" s="213"/>
      <c r="BL200" s="213"/>
      <c r="BM200" s="213"/>
      <c r="BN200" s="213"/>
      <c r="BO200" s="213"/>
      <c r="BP200" s="213"/>
      <c r="BQ200" s="213"/>
      <c r="BR200" s="213"/>
      <c r="BS200" s="213"/>
      <c r="BT200" s="213"/>
      <c r="BU200" s="213"/>
      <c r="BV200" s="213"/>
      <c r="BW200" s="213"/>
      <c r="BX200" s="213"/>
    </row>
    <row r="201" spans="1:76" s="209" customFormat="1" ht="22.5" customHeight="1">
      <c r="A201" s="235">
        <v>196</v>
      </c>
      <c r="B201" s="235"/>
      <c r="C201" s="235"/>
      <c r="D201" s="203"/>
      <c r="E201" s="204"/>
      <c r="F201" s="235"/>
      <c r="G201" s="235"/>
      <c r="H201" s="203"/>
      <c r="I201" s="203"/>
      <c r="J201" s="203"/>
      <c r="K201" s="205"/>
      <c r="L201" s="206"/>
      <c r="M201" s="203"/>
      <c r="N201" s="207"/>
      <c r="O201" s="207"/>
      <c r="P201" s="207"/>
      <c r="Q201" s="207"/>
      <c r="R201" s="206"/>
      <c r="S201" s="205"/>
      <c r="T201" s="205"/>
      <c r="U201" s="207"/>
      <c r="V201" s="226"/>
      <c r="W201" s="208"/>
      <c r="X201" s="208"/>
      <c r="Y201" s="208"/>
      <c r="Z201" s="208"/>
      <c r="AA201" s="208"/>
      <c r="AB201" s="210"/>
      <c r="AC201" s="210"/>
      <c r="AD201" s="210"/>
      <c r="AE201" s="210"/>
      <c r="AF201" s="210"/>
      <c r="AG201" s="210"/>
      <c r="AH201" s="210"/>
      <c r="AI201" s="93"/>
      <c r="AJ201" s="93">
        <f t="shared" ca="1" si="7"/>
        <v>0</v>
      </c>
      <c r="AK201" s="93">
        <f t="shared" ca="1" si="8"/>
        <v>0</v>
      </c>
      <c r="AL201" s="213"/>
      <c r="AM201" s="213"/>
      <c r="AN201" s="213"/>
      <c r="AO201" s="213"/>
      <c r="AP201" s="213"/>
      <c r="AQ201" s="213"/>
      <c r="AR201" s="213"/>
      <c r="AS201" s="213"/>
      <c r="AT201" s="213"/>
      <c r="AU201" s="213"/>
      <c r="AV201" s="213"/>
      <c r="AW201" s="213"/>
      <c r="AX201" s="213"/>
      <c r="AY201" s="213"/>
      <c r="AZ201" s="213"/>
      <c r="BA201" s="213"/>
      <c r="BB201" s="213"/>
      <c r="BC201" s="213"/>
      <c r="BD201" s="213"/>
      <c r="BE201" s="213"/>
      <c r="BF201" s="213"/>
      <c r="BG201" s="213"/>
      <c r="BH201" s="213"/>
      <c r="BI201" s="213"/>
      <c r="BJ201" s="213"/>
      <c r="BK201" s="213"/>
      <c r="BL201" s="213"/>
      <c r="BM201" s="213"/>
      <c r="BN201" s="213"/>
      <c r="BO201" s="213"/>
      <c r="BP201" s="213"/>
      <c r="BQ201" s="213"/>
      <c r="BR201" s="213"/>
      <c r="BS201" s="213"/>
      <c r="BT201" s="213"/>
      <c r="BU201" s="213"/>
      <c r="BV201" s="213"/>
      <c r="BW201" s="213"/>
      <c r="BX201" s="213"/>
    </row>
    <row r="202" spans="1:76" s="209" customFormat="1" ht="22.5" customHeight="1">
      <c r="A202" s="235">
        <v>197</v>
      </c>
      <c r="B202" s="235"/>
      <c r="C202" s="235"/>
      <c r="D202" s="203"/>
      <c r="E202" s="204"/>
      <c r="F202" s="235"/>
      <c r="G202" s="235"/>
      <c r="H202" s="203"/>
      <c r="I202" s="203"/>
      <c r="J202" s="203"/>
      <c r="K202" s="205"/>
      <c r="L202" s="206"/>
      <c r="M202" s="203"/>
      <c r="N202" s="207"/>
      <c r="O202" s="207"/>
      <c r="P202" s="207"/>
      <c r="Q202" s="207"/>
      <c r="R202" s="206"/>
      <c r="S202" s="205"/>
      <c r="T202" s="205"/>
      <c r="U202" s="207"/>
      <c r="V202" s="226"/>
      <c r="W202" s="208"/>
      <c r="X202" s="208"/>
      <c r="Y202" s="208"/>
      <c r="Z202" s="208"/>
      <c r="AA202" s="208"/>
      <c r="AB202" s="210"/>
      <c r="AC202" s="210"/>
      <c r="AD202" s="210"/>
      <c r="AE202" s="210"/>
      <c r="AF202" s="210"/>
      <c r="AG202" s="210"/>
      <c r="AH202" s="210"/>
      <c r="AI202" s="93"/>
      <c r="AJ202" s="93">
        <f t="shared" ca="1" si="7"/>
        <v>0</v>
      </c>
      <c r="AK202" s="93">
        <f t="shared" ca="1" si="8"/>
        <v>0</v>
      </c>
      <c r="AL202" s="213"/>
      <c r="AM202" s="213"/>
      <c r="AN202" s="213"/>
      <c r="AO202" s="213"/>
      <c r="AP202" s="213"/>
      <c r="AQ202" s="213"/>
      <c r="AR202" s="213"/>
      <c r="AS202" s="213"/>
      <c r="AT202" s="213"/>
      <c r="AU202" s="213"/>
      <c r="AV202" s="213"/>
      <c r="AW202" s="213"/>
      <c r="AX202" s="213"/>
      <c r="AY202" s="213"/>
      <c r="AZ202" s="213"/>
      <c r="BA202" s="213"/>
      <c r="BB202" s="213"/>
      <c r="BC202" s="213"/>
      <c r="BD202" s="213"/>
      <c r="BE202" s="213"/>
      <c r="BF202" s="213"/>
      <c r="BG202" s="213"/>
      <c r="BH202" s="213"/>
      <c r="BI202" s="213"/>
      <c r="BJ202" s="213"/>
      <c r="BK202" s="213"/>
      <c r="BL202" s="213"/>
      <c r="BM202" s="213"/>
      <c r="BN202" s="213"/>
      <c r="BO202" s="213"/>
      <c r="BP202" s="213"/>
      <c r="BQ202" s="213"/>
      <c r="BR202" s="213"/>
      <c r="BS202" s="213"/>
      <c r="BT202" s="213"/>
      <c r="BU202" s="213"/>
      <c r="BV202" s="213"/>
      <c r="BW202" s="213"/>
      <c r="BX202" s="213"/>
    </row>
    <row r="203" spans="1:76" s="209" customFormat="1" ht="22.5" customHeight="1">
      <c r="A203" s="235">
        <v>198</v>
      </c>
      <c r="B203" s="235"/>
      <c r="C203" s="235"/>
      <c r="D203" s="203"/>
      <c r="E203" s="204"/>
      <c r="F203" s="235"/>
      <c r="G203" s="235"/>
      <c r="H203" s="203"/>
      <c r="I203" s="203"/>
      <c r="J203" s="203"/>
      <c r="K203" s="205"/>
      <c r="L203" s="206"/>
      <c r="M203" s="203"/>
      <c r="N203" s="207"/>
      <c r="O203" s="207"/>
      <c r="P203" s="207"/>
      <c r="Q203" s="207"/>
      <c r="R203" s="206"/>
      <c r="S203" s="205"/>
      <c r="T203" s="205"/>
      <c r="U203" s="207"/>
      <c r="V203" s="226"/>
      <c r="W203" s="208"/>
      <c r="X203" s="208"/>
      <c r="Y203" s="208"/>
      <c r="Z203" s="208"/>
      <c r="AA203" s="208"/>
      <c r="AB203" s="210"/>
      <c r="AC203" s="210"/>
      <c r="AD203" s="210"/>
      <c r="AE203" s="210"/>
      <c r="AF203" s="210"/>
      <c r="AG203" s="210"/>
      <c r="AH203" s="210"/>
      <c r="AI203" s="93"/>
      <c r="AJ203" s="93">
        <f t="shared" ca="1" si="7"/>
        <v>0</v>
      </c>
      <c r="AK203" s="93">
        <f t="shared" ca="1" si="8"/>
        <v>0</v>
      </c>
      <c r="AL203" s="213"/>
      <c r="AM203" s="213"/>
      <c r="AN203" s="213"/>
      <c r="AO203" s="213"/>
      <c r="AP203" s="213"/>
      <c r="AQ203" s="213"/>
      <c r="AR203" s="213"/>
      <c r="AS203" s="213"/>
      <c r="AT203" s="213"/>
      <c r="AU203" s="213"/>
      <c r="AV203" s="213"/>
      <c r="AW203" s="213"/>
      <c r="AX203" s="213"/>
      <c r="AY203" s="213"/>
      <c r="AZ203" s="213"/>
      <c r="BA203" s="213"/>
      <c r="BB203" s="213"/>
      <c r="BC203" s="213"/>
      <c r="BD203" s="213"/>
      <c r="BE203" s="213"/>
      <c r="BF203" s="213"/>
      <c r="BG203" s="213"/>
      <c r="BH203" s="213"/>
      <c r="BI203" s="213"/>
      <c r="BJ203" s="213"/>
      <c r="BK203" s="213"/>
      <c r="BL203" s="213"/>
      <c r="BM203" s="213"/>
      <c r="BN203" s="213"/>
      <c r="BO203" s="213"/>
      <c r="BP203" s="213"/>
      <c r="BQ203" s="213"/>
      <c r="BR203" s="213"/>
      <c r="BS203" s="213"/>
      <c r="BT203" s="213"/>
      <c r="BU203" s="213"/>
      <c r="BV203" s="213"/>
      <c r="BW203" s="213"/>
      <c r="BX203" s="213"/>
    </row>
    <row r="204" spans="1:76" s="209" customFormat="1" ht="22.5" customHeight="1">
      <c r="A204" s="235">
        <v>199</v>
      </c>
      <c r="B204" s="235"/>
      <c r="C204" s="235"/>
      <c r="D204" s="203"/>
      <c r="E204" s="204"/>
      <c r="F204" s="235"/>
      <c r="G204" s="235"/>
      <c r="H204" s="203"/>
      <c r="I204" s="203"/>
      <c r="J204" s="203"/>
      <c r="K204" s="205"/>
      <c r="L204" s="206"/>
      <c r="M204" s="203"/>
      <c r="N204" s="207"/>
      <c r="O204" s="207"/>
      <c r="P204" s="207"/>
      <c r="Q204" s="207"/>
      <c r="R204" s="206"/>
      <c r="S204" s="205"/>
      <c r="T204" s="205"/>
      <c r="U204" s="207"/>
      <c r="V204" s="226"/>
      <c r="W204" s="208"/>
      <c r="X204" s="208"/>
      <c r="Y204" s="208"/>
      <c r="Z204" s="208"/>
      <c r="AA204" s="208"/>
      <c r="AB204" s="210"/>
      <c r="AC204" s="210"/>
      <c r="AD204" s="210"/>
      <c r="AE204" s="210"/>
      <c r="AF204" s="210"/>
      <c r="AG204" s="210"/>
      <c r="AH204" s="210"/>
      <c r="AI204" s="93"/>
      <c r="AJ204" s="93">
        <f t="shared" ca="1" si="7"/>
        <v>0</v>
      </c>
      <c r="AK204" s="93">
        <f t="shared" ca="1" si="8"/>
        <v>0</v>
      </c>
      <c r="AL204" s="213"/>
      <c r="AM204" s="213"/>
      <c r="AN204" s="213"/>
      <c r="AO204" s="213"/>
      <c r="AP204" s="213"/>
      <c r="AQ204" s="213"/>
      <c r="AR204" s="213"/>
      <c r="AS204" s="213"/>
      <c r="AT204" s="213"/>
      <c r="AU204" s="213"/>
      <c r="AV204" s="213"/>
      <c r="AW204" s="213"/>
      <c r="AX204" s="213"/>
      <c r="AY204" s="213"/>
      <c r="AZ204" s="213"/>
      <c r="BA204" s="213"/>
      <c r="BB204" s="213"/>
      <c r="BC204" s="213"/>
      <c r="BD204" s="213"/>
      <c r="BE204" s="213"/>
      <c r="BF204" s="213"/>
      <c r="BG204" s="213"/>
      <c r="BH204" s="213"/>
      <c r="BI204" s="213"/>
      <c r="BJ204" s="213"/>
      <c r="BK204" s="213"/>
      <c r="BL204" s="213"/>
      <c r="BM204" s="213"/>
      <c r="BN204" s="213"/>
      <c r="BO204" s="213"/>
      <c r="BP204" s="213"/>
      <c r="BQ204" s="213"/>
      <c r="BR204" s="213"/>
      <c r="BS204" s="213"/>
      <c r="BT204" s="213"/>
      <c r="BU204" s="213"/>
      <c r="BV204" s="213"/>
      <c r="BW204" s="213"/>
      <c r="BX204" s="213"/>
    </row>
    <row r="205" spans="1:76" s="209" customFormat="1" ht="22.5" customHeight="1">
      <c r="A205" s="235">
        <v>200</v>
      </c>
      <c r="B205" s="235"/>
      <c r="C205" s="235"/>
      <c r="D205" s="203"/>
      <c r="E205" s="204"/>
      <c r="F205" s="235"/>
      <c r="G205" s="235"/>
      <c r="H205" s="203"/>
      <c r="I205" s="203"/>
      <c r="J205" s="203"/>
      <c r="K205" s="205"/>
      <c r="L205" s="206"/>
      <c r="M205" s="203"/>
      <c r="N205" s="207"/>
      <c r="O205" s="207"/>
      <c r="P205" s="207"/>
      <c r="Q205" s="207"/>
      <c r="R205" s="206"/>
      <c r="S205" s="205"/>
      <c r="T205" s="205"/>
      <c r="U205" s="207"/>
      <c r="V205" s="226"/>
      <c r="W205" s="208"/>
      <c r="X205" s="208"/>
      <c r="Y205" s="208"/>
      <c r="Z205" s="208"/>
      <c r="AA205" s="208"/>
      <c r="AB205" s="210"/>
      <c r="AC205" s="210"/>
      <c r="AD205" s="210"/>
      <c r="AE205" s="210"/>
      <c r="AF205" s="210"/>
      <c r="AG205" s="210"/>
      <c r="AH205" s="210"/>
      <c r="AI205" s="93"/>
      <c r="AJ205" s="93">
        <f t="shared" ca="1" si="7"/>
        <v>0</v>
      </c>
      <c r="AK205" s="93">
        <f t="shared" ca="1" si="8"/>
        <v>0</v>
      </c>
      <c r="AL205" s="213"/>
      <c r="AM205" s="213"/>
      <c r="AN205" s="213"/>
      <c r="AO205" s="213"/>
      <c r="AP205" s="213"/>
      <c r="AQ205" s="213"/>
      <c r="AR205" s="213"/>
      <c r="AS205" s="213"/>
      <c r="AT205" s="213"/>
      <c r="AU205" s="213"/>
      <c r="AV205" s="213"/>
      <c r="AW205" s="213"/>
      <c r="AX205" s="213"/>
      <c r="AY205" s="213"/>
      <c r="AZ205" s="213"/>
      <c r="BA205" s="213"/>
      <c r="BB205" s="213"/>
      <c r="BC205" s="213"/>
      <c r="BD205" s="213"/>
      <c r="BE205" s="213"/>
      <c r="BF205" s="213"/>
      <c r="BG205" s="213"/>
      <c r="BH205" s="213"/>
      <c r="BI205" s="213"/>
      <c r="BJ205" s="213"/>
      <c r="BK205" s="213"/>
      <c r="BL205" s="213"/>
      <c r="BM205" s="213"/>
      <c r="BN205" s="213"/>
      <c r="BO205" s="213"/>
      <c r="BP205" s="213"/>
      <c r="BQ205" s="213"/>
      <c r="BR205" s="213"/>
      <c r="BS205" s="213"/>
      <c r="BT205" s="213"/>
      <c r="BU205" s="213"/>
      <c r="BV205" s="213"/>
      <c r="BW205" s="213"/>
      <c r="BX205" s="213"/>
    </row>
    <row r="206" spans="1:76" s="209" customFormat="1" ht="22.5" customHeight="1">
      <c r="A206" s="235">
        <v>201</v>
      </c>
      <c r="B206" s="235"/>
      <c r="C206" s="235"/>
      <c r="D206" s="203"/>
      <c r="E206" s="204"/>
      <c r="F206" s="235"/>
      <c r="G206" s="235"/>
      <c r="H206" s="203"/>
      <c r="I206" s="203"/>
      <c r="J206" s="203"/>
      <c r="K206" s="205"/>
      <c r="L206" s="206"/>
      <c r="M206" s="203"/>
      <c r="N206" s="207"/>
      <c r="O206" s="207"/>
      <c r="P206" s="207"/>
      <c r="Q206" s="207"/>
      <c r="R206" s="206"/>
      <c r="S206" s="205"/>
      <c r="T206" s="205"/>
      <c r="U206" s="207"/>
      <c r="V206" s="226"/>
      <c r="W206" s="208"/>
      <c r="X206" s="208"/>
      <c r="Y206" s="208"/>
      <c r="Z206" s="208"/>
      <c r="AA206" s="208"/>
      <c r="AB206" s="210"/>
      <c r="AC206" s="210"/>
      <c r="AD206" s="210"/>
      <c r="AE206" s="210"/>
      <c r="AF206" s="210"/>
      <c r="AG206" s="210"/>
      <c r="AH206" s="210"/>
      <c r="AI206" s="93"/>
      <c r="AJ206" s="93">
        <f t="shared" ca="1" si="7"/>
        <v>0</v>
      </c>
      <c r="AK206" s="93">
        <f t="shared" ca="1" si="8"/>
        <v>0</v>
      </c>
      <c r="AL206" s="213"/>
      <c r="AM206" s="213"/>
      <c r="AN206" s="213"/>
      <c r="AO206" s="213"/>
      <c r="AP206" s="213"/>
      <c r="AQ206" s="213"/>
      <c r="AR206" s="213"/>
      <c r="AS206" s="213"/>
      <c r="AT206" s="213"/>
      <c r="AU206" s="213"/>
      <c r="AV206" s="213"/>
      <c r="AW206" s="213"/>
      <c r="AX206" s="213"/>
      <c r="AY206" s="213"/>
      <c r="AZ206" s="213"/>
      <c r="BA206" s="213"/>
      <c r="BB206" s="213"/>
      <c r="BC206" s="213"/>
      <c r="BD206" s="213"/>
      <c r="BE206" s="213"/>
      <c r="BF206" s="213"/>
      <c r="BG206" s="213"/>
      <c r="BH206" s="213"/>
      <c r="BI206" s="213"/>
      <c r="BJ206" s="213"/>
      <c r="BK206" s="213"/>
      <c r="BL206" s="213"/>
      <c r="BM206" s="213"/>
      <c r="BN206" s="213"/>
      <c r="BO206" s="213"/>
      <c r="BP206" s="213"/>
      <c r="BQ206" s="213"/>
      <c r="BR206" s="213"/>
      <c r="BS206" s="213"/>
      <c r="BT206" s="213"/>
      <c r="BU206" s="213"/>
      <c r="BV206" s="213"/>
      <c r="BW206" s="213"/>
      <c r="BX206" s="213"/>
    </row>
    <row r="207" spans="1:76" s="209" customFormat="1" ht="22.5" customHeight="1">
      <c r="A207" s="235">
        <v>202</v>
      </c>
      <c r="B207" s="235"/>
      <c r="C207" s="235"/>
      <c r="D207" s="203"/>
      <c r="E207" s="204"/>
      <c r="F207" s="235"/>
      <c r="G207" s="235"/>
      <c r="H207" s="203"/>
      <c r="I207" s="203"/>
      <c r="J207" s="203"/>
      <c r="K207" s="205"/>
      <c r="L207" s="206"/>
      <c r="M207" s="203"/>
      <c r="N207" s="207"/>
      <c r="O207" s="207"/>
      <c r="P207" s="207"/>
      <c r="Q207" s="207"/>
      <c r="R207" s="206"/>
      <c r="S207" s="205"/>
      <c r="T207" s="205"/>
      <c r="U207" s="207"/>
      <c r="V207" s="226"/>
      <c r="W207" s="208"/>
      <c r="X207" s="208"/>
      <c r="Y207" s="208"/>
      <c r="Z207" s="208"/>
      <c r="AA207" s="208"/>
      <c r="AB207" s="210"/>
      <c r="AC207" s="210"/>
      <c r="AD207" s="210"/>
      <c r="AE207" s="210"/>
      <c r="AF207" s="210"/>
      <c r="AG207" s="210"/>
      <c r="AH207" s="210"/>
      <c r="AI207" s="93"/>
      <c r="AJ207" s="93">
        <f t="shared" ca="1" si="7"/>
        <v>0</v>
      </c>
      <c r="AK207" s="93">
        <f t="shared" ca="1" si="8"/>
        <v>0</v>
      </c>
      <c r="AL207" s="213"/>
      <c r="AM207" s="213"/>
      <c r="AN207" s="213"/>
      <c r="AO207" s="213"/>
      <c r="AP207" s="213"/>
      <c r="AQ207" s="213"/>
      <c r="AR207" s="213"/>
      <c r="AS207" s="213"/>
      <c r="AT207" s="213"/>
      <c r="AU207" s="213"/>
      <c r="AV207" s="213"/>
      <c r="AW207" s="213"/>
      <c r="AX207" s="213"/>
      <c r="AY207" s="213"/>
      <c r="AZ207" s="213"/>
      <c r="BA207" s="213"/>
      <c r="BB207" s="213"/>
      <c r="BC207" s="213"/>
      <c r="BD207" s="213"/>
      <c r="BE207" s="213"/>
      <c r="BF207" s="213"/>
      <c r="BG207" s="213"/>
      <c r="BH207" s="213"/>
      <c r="BI207" s="213"/>
      <c r="BJ207" s="213"/>
      <c r="BK207" s="213"/>
      <c r="BL207" s="213"/>
      <c r="BM207" s="213"/>
      <c r="BN207" s="213"/>
      <c r="BO207" s="213"/>
      <c r="BP207" s="213"/>
      <c r="BQ207" s="213"/>
      <c r="BR207" s="213"/>
      <c r="BS207" s="213"/>
      <c r="BT207" s="213"/>
      <c r="BU207" s="213"/>
      <c r="BV207" s="213"/>
      <c r="BW207" s="213"/>
      <c r="BX207" s="213"/>
    </row>
    <row r="208" spans="1:76" s="209" customFormat="1" ht="22.5" customHeight="1">
      <c r="A208" s="235">
        <v>203</v>
      </c>
      <c r="B208" s="235"/>
      <c r="C208" s="235"/>
      <c r="D208" s="203"/>
      <c r="E208" s="204"/>
      <c r="F208" s="235"/>
      <c r="G208" s="235"/>
      <c r="H208" s="203"/>
      <c r="I208" s="203"/>
      <c r="J208" s="203"/>
      <c r="K208" s="205"/>
      <c r="L208" s="206"/>
      <c r="M208" s="203"/>
      <c r="N208" s="207"/>
      <c r="O208" s="207"/>
      <c r="P208" s="207"/>
      <c r="Q208" s="207"/>
      <c r="R208" s="206"/>
      <c r="S208" s="205"/>
      <c r="T208" s="205"/>
      <c r="U208" s="207"/>
      <c r="V208" s="226"/>
      <c r="W208" s="208"/>
      <c r="X208" s="208"/>
      <c r="Y208" s="208"/>
      <c r="Z208" s="208"/>
      <c r="AA208" s="208"/>
      <c r="AB208" s="210"/>
      <c r="AC208" s="210"/>
      <c r="AD208" s="210"/>
      <c r="AE208" s="210"/>
      <c r="AF208" s="210"/>
      <c r="AG208" s="210"/>
      <c r="AH208" s="210"/>
      <c r="AI208" s="93"/>
      <c r="AJ208" s="93">
        <f t="shared" ca="1" si="7"/>
        <v>0</v>
      </c>
      <c r="AK208" s="93">
        <f t="shared" ca="1" si="8"/>
        <v>0</v>
      </c>
      <c r="AL208" s="213"/>
      <c r="AM208" s="213"/>
      <c r="AN208" s="213"/>
      <c r="AO208" s="213"/>
      <c r="AP208" s="213"/>
      <c r="AQ208" s="213"/>
      <c r="AR208" s="213"/>
      <c r="AS208" s="213"/>
      <c r="AT208" s="213"/>
      <c r="AU208" s="213"/>
      <c r="AV208" s="213"/>
      <c r="AW208" s="213"/>
      <c r="AX208" s="213"/>
      <c r="AY208" s="213"/>
      <c r="AZ208" s="213"/>
      <c r="BA208" s="213"/>
      <c r="BB208" s="213"/>
      <c r="BC208" s="213"/>
      <c r="BD208" s="213"/>
      <c r="BE208" s="213"/>
      <c r="BF208" s="213"/>
      <c r="BG208" s="213"/>
      <c r="BH208" s="213"/>
      <c r="BI208" s="213"/>
      <c r="BJ208" s="213"/>
      <c r="BK208" s="213"/>
      <c r="BL208" s="213"/>
      <c r="BM208" s="213"/>
      <c r="BN208" s="213"/>
      <c r="BO208" s="213"/>
      <c r="BP208" s="213"/>
      <c r="BQ208" s="213"/>
      <c r="BR208" s="213"/>
      <c r="BS208" s="213"/>
      <c r="BT208" s="213"/>
      <c r="BU208" s="213"/>
      <c r="BV208" s="213"/>
      <c r="BW208" s="213"/>
      <c r="BX208" s="213"/>
    </row>
    <row r="209" spans="1:76" s="209" customFormat="1" ht="22.5" customHeight="1">
      <c r="A209" s="235">
        <v>204</v>
      </c>
      <c r="B209" s="235"/>
      <c r="C209" s="235"/>
      <c r="D209" s="203"/>
      <c r="E209" s="204"/>
      <c r="F209" s="235"/>
      <c r="G209" s="235"/>
      <c r="H209" s="203"/>
      <c r="I209" s="203"/>
      <c r="J209" s="203"/>
      <c r="K209" s="205"/>
      <c r="L209" s="206"/>
      <c r="M209" s="203"/>
      <c r="N209" s="207"/>
      <c r="O209" s="207"/>
      <c r="P209" s="207"/>
      <c r="Q209" s="207"/>
      <c r="R209" s="206"/>
      <c r="S209" s="205"/>
      <c r="T209" s="205"/>
      <c r="U209" s="207"/>
      <c r="V209" s="226"/>
      <c r="W209" s="208"/>
      <c r="X209" s="208"/>
      <c r="Y209" s="208"/>
      <c r="Z209" s="208"/>
      <c r="AA209" s="208"/>
      <c r="AB209" s="210"/>
      <c r="AC209" s="210"/>
      <c r="AD209" s="210"/>
      <c r="AE209" s="210"/>
      <c r="AF209" s="210"/>
      <c r="AG209" s="210"/>
      <c r="AH209" s="210"/>
      <c r="AI209" s="93"/>
      <c r="AJ209" s="93">
        <f t="shared" ca="1" si="7"/>
        <v>0</v>
      </c>
      <c r="AK209" s="93">
        <f t="shared" ca="1" si="8"/>
        <v>0</v>
      </c>
      <c r="AL209" s="213"/>
      <c r="AM209" s="213"/>
      <c r="AN209" s="213"/>
      <c r="AO209" s="213"/>
      <c r="AP209" s="213"/>
      <c r="AQ209" s="213"/>
      <c r="AR209" s="213"/>
      <c r="AS209" s="213"/>
      <c r="AT209" s="213"/>
      <c r="AU209" s="213"/>
      <c r="AV209" s="213"/>
      <c r="AW209" s="213"/>
      <c r="AX209" s="213"/>
      <c r="AY209" s="213"/>
      <c r="AZ209" s="213"/>
      <c r="BA209" s="213"/>
      <c r="BB209" s="213"/>
      <c r="BC209" s="213"/>
      <c r="BD209" s="213"/>
      <c r="BE209" s="213"/>
      <c r="BF209" s="213"/>
      <c r="BG209" s="213"/>
      <c r="BH209" s="213"/>
      <c r="BI209" s="213"/>
      <c r="BJ209" s="213"/>
      <c r="BK209" s="213"/>
      <c r="BL209" s="213"/>
      <c r="BM209" s="213"/>
      <c r="BN209" s="213"/>
      <c r="BO209" s="213"/>
      <c r="BP209" s="213"/>
      <c r="BQ209" s="213"/>
      <c r="BR209" s="213"/>
      <c r="BS209" s="213"/>
      <c r="BT209" s="213"/>
      <c r="BU209" s="213"/>
      <c r="BV209" s="213"/>
      <c r="BW209" s="213"/>
      <c r="BX209" s="213"/>
    </row>
    <row r="210" spans="1:76" s="209" customFormat="1" ht="22.5" customHeight="1">
      <c r="A210" s="235">
        <v>205</v>
      </c>
      <c r="B210" s="235"/>
      <c r="C210" s="235"/>
      <c r="D210" s="203"/>
      <c r="E210" s="204"/>
      <c r="F210" s="235"/>
      <c r="G210" s="235"/>
      <c r="H210" s="203"/>
      <c r="I210" s="203"/>
      <c r="J210" s="203"/>
      <c r="K210" s="205"/>
      <c r="L210" s="206"/>
      <c r="M210" s="203"/>
      <c r="N210" s="207"/>
      <c r="O210" s="207"/>
      <c r="P210" s="207"/>
      <c r="Q210" s="207"/>
      <c r="R210" s="206"/>
      <c r="S210" s="205"/>
      <c r="T210" s="205"/>
      <c r="U210" s="207"/>
      <c r="V210" s="226"/>
      <c r="W210" s="208"/>
      <c r="X210" s="208"/>
      <c r="Y210" s="208"/>
      <c r="Z210" s="208"/>
      <c r="AA210" s="208"/>
      <c r="AB210" s="210"/>
      <c r="AC210" s="210"/>
      <c r="AD210" s="210"/>
      <c r="AE210" s="210"/>
      <c r="AF210" s="210"/>
      <c r="AG210" s="210"/>
      <c r="AH210" s="210"/>
      <c r="AI210" s="93"/>
      <c r="AJ210" s="93">
        <f t="shared" ca="1" si="7"/>
        <v>0</v>
      </c>
      <c r="AK210" s="93">
        <f t="shared" ca="1" si="8"/>
        <v>0</v>
      </c>
      <c r="AL210" s="213"/>
      <c r="AM210" s="213"/>
      <c r="AN210" s="213"/>
      <c r="AO210" s="213"/>
      <c r="AP210" s="213"/>
      <c r="AQ210" s="213"/>
      <c r="AR210" s="213"/>
      <c r="AS210" s="213"/>
      <c r="AT210" s="213"/>
      <c r="AU210" s="213"/>
      <c r="AV210" s="213"/>
      <c r="AW210" s="213"/>
      <c r="AX210" s="213"/>
      <c r="AY210" s="213"/>
      <c r="AZ210" s="213"/>
      <c r="BA210" s="213"/>
      <c r="BB210" s="213"/>
      <c r="BC210" s="213"/>
      <c r="BD210" s="213"/>
      <c r="BE210" s="213"/>
      <c r="BF210" s="213"/>
      <c r="BG210" s="213"/>
      <c r="BH210" s="213"/>
      <c r="BI210" s="213"/>
      <c r="BJ210" s="213"/>
      <c r="BK210" s="213"/>
      <c r="BL210" s="213"/>
      <c r="BM210" s="213"/>
      <c r="BN210" s="213"/>
      <c r="BO210" s="213"/>
      <c r="BP210" s="213"/>
      <c r="BQ210" s="213"/>
      <c r="BR210" s="213"/>
      <c r="BS210" s="213"/>
      <c r="BT210" s="213"/>
      <c r="BU210" s="213"/>
      <c r="BV210" s="213"/>
      <c r="BW210" s="213"/>
      <c r="BX210" s="213"/>
    </row>
    <row r="211" spans="1:76" s="209" customFormat="1" ht="22.5" customHeight="1">
      <c r="A211" s="235">
        <v>206</v>
      </c>
      <c r="B211" s="235"/>
      <c r="C211" s="235"/>
      <c r="D211" s="203"/>
      <c r="E211" s="204"/>
      <c r="F211" s="235"/>
      <c r="G211" s="235"/>
      <c r="H211" s="203"/>
      <c r="I211" s="203"/>
      <c r="J211" s="203"/>
      <c r="K211" s="205"/>
      <c r="L211" s="206"/>
      <c r="M211" s="203"/>
      <c r="N211" s="207"/>
      <c r="O211" s="207"/>
      <c r="P211" s="207"/>
      <c r="Q211" s="207"/>
      <c r="R211" s="206"/>
      <c r="S211" s="205"/>
      <c r="T211" s="205"/>
      <c r="U211" s="207"/>
      <c r="V211" s="226"/>
      <c r="W211" s="208"/>
      <c r="X211" s="208"/>
      <c r="Y211" s="208"/>
      <c r="Z211" s="208"/>
      <c r="AA211" s="208"/>
      <c r="AB211" s="210"/>
      <c r="AC211" s="210"/>
      <c r="AD211" s="210"/>
      <c r="AE211" s="210"/>
      <c r="AF211" s="210"/>
      <c r="AG211" s="210"/>
      <c r="AH211" s="210"/>
      <c r="AI211" s="93"/>
      <c r="AJ211" s="93">
        <f t="shared" ca="1" si="7"/>
        <v>0</v>
      </c>
      <c r="AK211" s="93">
        <f t="shared" ca="1" si="8"/>
        <v>0</v>
      </c>
      <c r="AL211" s="213"/>
      <c r="AM211" s="213"/>
      <c r="AN211" s="213"/>
      <c r="AO211" s="213"/>
      <c r="AP211" s="213"/>
      <c r="AQ211" s="213"/>
      <c r="AR211" s="213"/>
      <c r="AS211" s="213"/>
      <c r="AT211" s="213"/>
      <c r="AU211" s="213"/>
      <c r="AV211" s="213"/>
      <c r="AW211" s="213"/>
      <c r="AX211" s="213"/>
      <c r="AY211" s="213"/>
      <c r="AZ211" s="213"/>
      <c r="BA211" s="213"/>
      <c r="BB211" s="213"/>
      <c r="BC211" s="213"/>
      <c r="BD211" s="213"/>
      <c r="BE211" s="213"/>
      <c r="BF211" s="213"/>
      <c r="BG211" s="213"/>
      <c r="BH211" s="213"/>
      <c r="BI211" s="213"/>
      <c r="BJ211" s="213"/>
      <c r="BK211" s="213"/>
      <c r="BL211" s="213"/>
      <c r="BM211" s="213"/>
      <c r="BN211" s="213"/>
      <c r="BO211" s="213"/>
      <c r="BP211" s="213"/>
      <c r="BQ211" s="213"/>
      <c r="BR211" s="213"/>
      <c r="BS211" s="213"/>
      <c r="BT211" s="213"/>
      <c r="BU211" s="213"/>
      <c r="BV211" s="213"/>
      <c r="BW211" s="213"/>
      <c r="BX211" s="213"/>
    </row>
    <row r="212" spans="1:76" s="209" customFormat="1" ht="22.5" customHeight="1">
      <c r="A212" s="235">
        <v>207</v>
      </c>
      <c r="B212" s="235"/>
      <c r="C212" s="235"/>
      <c r="D212" s="203"/>
      <c r="E212" s="204"/>
      <c r="F212" s="235"/>
      <c r="G212" s="235"/>
      <c r="H212" s="203"/>
      <c r="I212" s="203"/>
      <c r="J212" s="203"/>
      <c r="K212" s="205"/>
      <c r="L212" s="206"/>
      <c r="M212" s="203"/>
      <c r="N212" s="207"/>
      <c r="O212" s="207"/>
      <c r="P212" s="207"/>
      <c r="Q212" s="207"/>
      <c r="R212" s="206"/>
      <c r="S212" s="205"/>
      <c r="T212" s="205"/>
      <c r="U212" s="207"/>
      <c r="V212" s="226"/>
      <c r="W212" s="208"/>
      <c r="X212" s="208"/>
      <c r="Y212" s="208"/>
      <c r="Z212" s="208"/>
      <c r="AA212" s="208"/>
      <c r="AB212" s="210"/>
      <c r="AC212" s="210"/>
      <c r="AD212" s="210"/>
      <c r="AE212" s="210"/>
      <c r="AF212" s="210"/>
      <c r="AG212" s="210"/>
      <c r="AH212" s="210"/>
      <c r="AI212" s="93"/>
      <c r="AJ212" s="93">
        <f t="shared" ca="1" si="7"/>
        <v>0</v>
      </c>
      <c r="AK212" s="93">
        <f t="shared" ca="1" si="8"/>
        <v>0</v>
      </c>
      <c r="AL212" s="213"/>
      <c r="AM212" s="213"/>
      <c r="AN212" s="213"/>
      <c r="AO212" s="213"/>
      <c r="AP212" s="213"/>
      <c r="AQ212" s="213"/>
      <c r="AR212" s="213"/>
      <c r="AS212" s="213"/>
      <c r="AT212" s="213"/>
      <c r="AU212" s="213"/>
      <c r="AV212" s="213"/>
      <c r="AW212" s="213"/>
      <c r="AX212" s="213"/>
      <c r="AY212" s="213"/>
      <c r="AZ212" s="213"/>
      <c r="BA212" s="213"/>
      <c r="BB212" s="213"/>
      <c r="BC212" s="213"/>
      <c r="BD212" s="213"/>
      <c r="BE212" s="213"/>
      <c r="BF212" s="213"/>
      <c r="BG212" s="213"/>
      <c r="BH212" s="213"/>
      <c r="BI212" s="213"/>
      <c r="BJ212" s="213"/>
      <c r="BK212" s="213"/>
      <c r="BL212" s="213"/>
      <c r="BM212" s="213"/>
      <c r="BN212" s="213"/>
      <c r="BO212" s="213"/>
      <c r="BP212" s="213"/>
      <c r="BQ212" s="213"/>
      <c r="BR212" s="213"/>
      <c r="BS212" s="213"/>
      <c r="BT212" s="213"/>
      <c r="BU212" s="213"/>
      <c r="BV212" s="213"/>
      <c r="BW212" s="213"/>
      <c r="BX212" s="213"/>
    </row>
    <row r="213" spans="1:76" s="209" customFormat="1" ht="22.5" customHeight="1">
      <c r="A213" s="235">
        <v>208</v>
      </c>
      <c r="B213" s="235"/>
      <c r="C213" s="235"/>
      <c r="D213" s="203"/>
      <c r="E213" s="204"/>
      <c r="F213" s="235"/>
      <c r="G213" s="235"/>
      <c r="H213" s="203"/>
      <c r="I213" s="203"/>
      <c r="J213" s="203"/>
      <c r="K213" s="205"/>
      <c r="L213" s="206"/>
      <c r="M213" s="203"/>
      <c r="N213" s="207"/>
      <c r="O213" s="207"/>
      <c r="P213" s="207"/>
      <c r="Q213" s="207"/>
      <c r="R213" s="206"/>
      <c r="S213" s="205"/>
      <c r="T213" s="205"/>
      <c r="U213" s="207"/>
      <c r="V213" s="226"/>
      <c r="W213" s="208"/>
      <c r="X213" s="208"/>
      <c r="Y213" s="208"/>
      <c r="Z213" s="208"/>
      <c r="AA213" s="208"/>
      <c r="AB213" s="210"/>
      <c r="AC213" s="210"/>
      <c r="AD213" s="210"/>
      <c r="AE213" s="210"/>
      <c r="AF213" s="210"/>
      <c r="AG213" s="210"/>
      <c r="AH213" s="210"/>
      <c r="AI213" s="93"/>
      <c r="AJ213" s="93">
        <f t="shared" ca="1" si="7"/>
        <v>0</v>
      </c>
      <c r="AK213" s="93">
        <f t="shared" ca="1" si="8"/>
        <v>0</v>
      </c>
      <c r="AL213" s="213"/>
      <c r="AM213" s="213"/>
      <c r="AN213" s="213"/>
      <c r="AO213" s="213"/>
      <c r="AP213" s="213"/>
      <c r="AQ213" s="213"/>
      <c r="AR213" s="213"/>
      <c r="AS213" s="213"/>
      <c r="AT213" s="213"/>
      <c r="AU213" s="213"/>
      <c r="AV213" s="213"/>
      <c r="AW213" s="213"/>
      <c r="AX213" s="213"/>
      <c r="AY213" s="213"/>
      <c r="AZ213" s="213"/>
      <c r="BA213" s="213"/>
      <c r="BB213" s="213"/>
      <c r="BC213" s="213"/>
      <c r="BD213" s="213"/>
      <c r="BE213" s="213"/>
      <c r="BF213" s="213"/>
      <c r="BG213" s="213"/>
      <c r="BH213" s="213"/>
      <c r="BI213" s="213"/>
      <c r="BJ213" s="213"/>
      <c r="BK213" s="213"/>
      <c r="BL213" s="213"/>
      <c r="BM213" s="213"/>
      <c r="BN213" s="213"/>
      <c r="BO213" s="213"/>
      <c r="BP213" s="213"/>
      <c r="BQ213" s="213"/>
      <c r="BR213" s="213"/>
      <c r="BS213" s="213"/>
      <c r="BT213" s="213"/>
      <c r="BU213" s="213"/>
      <c r="BV213" s="213"/>
      <c r="BW213" s="213"/>
      <c r="BX213" s="213"/>
    </row>
    <row r="214" spans="1:76" s="209" customFormat="1" ht="22.5" customHeight="1">
      <c r="A214" s="235">
        <v>209</v>
      </c>
      <c r="B214" s="235"/>
      <c r="C214" s="235"/>
      <c r="D214" s="203"/>
      <c r="E214" s="204"/>
      <c r="F214" s="235"/>
      <c r="G214" s="235"/>
      <c r="H214" s="203"/>
      <c r="I214" s="203"/>
      <c r="J214" s="203"/>
      <c r="K214" s="205"/>
      <c r="L214" s="206"/>
      <c r="M214" s="203"/>
      <c r="N214" s="207"/>
      <c r="O214" s="207"/>
      <c r="P214" s="207"/>
      <c r="Q214" s="207"/>
      <c r="R214" s="206"/>
      <c r="S214" s="205"/>
      <c r="T214" s="205"/>
      <c r="U214" s="207"/>
      <c r="V214" s="226"/>
      <c r="W214" s="208"/>
      <c r="X214" s="208"/>
      <c r="Y214" s="208"/>
      <c r="Z214" s="208"/>
      <c r="AA214" s="208"/>
      <c r="AB214" s="210"/>
      <c r="AC214" s="210"/>
      <c r="AD214" s="210"/>
      <c r="AE214" s="210"/>
      <c r="AF214" s="210"/>
      <c r="AG214" s="210"/>
      <c r="AH214" s="210"/>
      <c r="AI214" s="93"/>
      <c r="AJ214" s="93">
        <f t="shared" ca="1" si="7"/>
        <v>0</v>
      </c>
      <c r="AK214" s="93">
        <f t="shared" ca="1" si="8"/>
        <v>0</v>
      </c>
      <c r="AL214" s="213"/>
      <c r="AM214" s="213"/>
      <c r="AN214" s="213"/>
      <c r="AO214" s="213"/>
      <c r="AP214" s="213"/>
      <c r="AQ214" s="213"/>
      <c r="AR214" s="213"/>
      <c r="AS214" s="213"/>
      <c r="AT214" s="213"/>
      <c r="AU214" s="213"/>
      <c r="AV214" s="213"/>
      <c r="AW214" s="213"/>
      <c r="AX214" s="213"/>
      <c r="AY214" s="213"/>
      <c r="AZ214" s="213"/>
      <c r="BA214" s="213"/>
      <c r="BB214" s="213"/>
      <c r="BC214" s="213"/>
      <c r="BD214" s="213"/>
      <c r="BE214" s="213"/>
      <c r="BF214" s="213"/>
      <c r="BG214" s="213"/>
      <c r="BH214" s="213"/>
      <c r="BI214" s="213"/>
      <c r="BJ214" s="213"/>
      <c r="BK214" s="213"/>
      <c r="BL214" s="213"/>
      <c r="BM214" s="213"/>
      <c r="BN214" s="213"/>
      <c r="BO214" s="213"/>
      <c r="BP214" s="213"/>
      <c r="BQ214" s="213"/>
      <c r="BR214" s="213"/>
      <c r="BS214" s="213"/>
      <c r="BT214" s="213"/>
      <c r="BU214" s="213"/>
      <c r="BV214" s="213"/>
      <c r="BW214" s="213"/>
      <c r="BX214" s="213"/>
    </row>
    <row r="215" spans="1:76" s="209" customFormat="1" ht="22.5" customHeight="1">
      <c r="A215" s="235">
        <v>210</v>
      </c>
      <c r="B215" s="235"/>
      <c r="C215" s="235"/>
      <c r="D215" s="203"/>
      <c r="E215" s="204"/>
      <c r="F215" s="235"/>
      <c r="G215" s="235"/>
      <c r="H215" s="203"/>
      <c r="I215" s="203"/>
      <c r="J215" s="203"/>
      <c r="K215" s="205"/>
      <c r="L215" s="206"/>
      <c r="M215" s="203"/>
      <c r="N215" s="207"/>
      <c r="O215" s="207"/>
      <c r="P215" s="207"/>
      <c r="Q215" s="207"/>
      <c r="R215" s="206"/>
      <c r="S215" s="205"/>
      <c r="T215" s="205"/>
      <c r="U215" s="207"/>
      <c r="V215" s="226"/>
      <c r="W215" s="208"/>
      <c r="X215" s="208"/>
      <c r="Y215" s="208"/>
      <c r="Z215" s="208"/>
      <c r="AA215" s="208"/>
      <c r="AB215" s="210"/>
      <c r="AC215" s="210"/>
      <c r="AD215" s="210"/>
      <c r="AE215" s="210"/>
      <c r="AF215" s="210"/>
      <c r="AG215" s="210"/>
      <c r="AH215" s="210"/>
      <c r="AI215" s="93"/>
      <c r="AJ215" s="93">
        <f t="shared" ca="1" si="7"/>
        <v>0</v>
      </c>
      <c r="AK215" s="93">
        <f t="shared" ca="1" si="8"/>
        <v>0</v>
      </c>
      <c r="AL215" s="213"/>
      <c r="AM215" s="213"/>
      <c r="AN215" s="213"/>
      <c r="AO215" s="213"/>
      <c r="AP215" s="213"/>
      <c r="AQ215" s="213"/>
      <c r="AR215" s="213"/>
      <c r="AS215" s="213"/>
      <c r="AT215" s="213"/>
      <c r="AU215" s="213"/>
      <c r="AV215" s="213"/>
      <c r="AW215" s="213"/>
      <c r="AX215" s="213"/>
      <c r="AY215" s="213"/>
      <c r="AZ215" s="213"/>
      <c r="BA215" s="213"/>
      <c r="BB215" s="213"/>
      <c r="BC215" s="213"/>
      <c r="BD215" s="213"/>
      <c r="BE215" s="213"/>
      <c r="BF215" s="213"/>
      <c r="BG215" s="213"/>
      <c r="BH215" s="213"/>
      <c r="BI215" s="213"/>
      <c r="BJ215" s="213"/>
      <c r="BK215" s="213"/>
      <c r="BL215" s="213"/>
      <c r="BM215" s="213"/>
      <c r="BN215" s="213"/>
      <c r="BO215" s="213"/>
      <c r="BP215" s="213"/>
      <c r="BQ215" s="213"/>
      <c r="BR215" s="213"/>
      <c r="BS215" s="213"/>
      <c r="BT215" s="213"/>
      <c r="BU215" s="213"/>
      <c r="BV215" s="213"/>
      <c r="BW215" s="213"/>
      <c r="BX215" s="213"/>
    </row>
    <row r="216" spans="1:76" ht="22.5" customHeight="1">
      <c r="A216" s="235">
        <v>211</v>
      </c>
      <c r="B216" s="236"/>
      <c r="C216" s="236"/>
      <c r="D216" s="215"/>
      <c r="E216" s="198"/>
      <c r="F216" s="236"/>
      <c r="G216" s="236"/>
      <c r="H216" s="197"/>
      <c r="I216" s="197"/>
      <c r="J216" s="197"/>
      <c r="K216" s="199"/>
      <c r="L216" s="200"/>
      <c r="M216" s="197"/>
      <c r="N216" s="201"/>
      <c r="O216" s="201"/>
      <c r="P216" s="201"/>
      <c r="Q216" s="201"/>
      <c r="R216" s="200"/>
      <c r="S216" s="199"/>
      <c r="T216" s="199"/>
      <c r="U216" s="201"/>
      <c r="V216" s="227"/>
      <c r="W216" s="202"/>
      <c r="X216" s="202"/>
      <c r="Y216" s="202"/>
      <c r="Z216" s="202"/>
      <c r="AA216" s="202"/>
      <c r="AB216" s="234"/>
      <c r="AC216" s="234"/>
      <c r="AD216" s="234"/>
      <c r="AE216" s="234"/>
      <c r="AF216" s="234"/>
      <c r="AG216" s="198"/>
      <c r="AH216" s="198"/>
      <c r="AI216" s="93"/>
      <c r="AJ216" s="93">
        <f t="shared" ca="1" si="7"/>
        <v>0</v>
      </c>
      <c r="AK216" s="93">
        <f t="shared" ca="1" si="8"/>
        <v>0</v>
      </c>
      <c r="AL216" s="213"/>
      <c r="AM216" s="213"/>
      <c r="AN216" s="213"/>
      <c r="AO216" s="213"/>
      <c r="AP216" s="213"/>
      <c r="AQ216" s="213"/>
      <c r="AR216" s="213"/>
      <c r="AS216" s="213"/>
      <c r="AT216" s="213"/>
      <c r="AU216" s="213"/>
      <c r="AV216" s="213"/>
      <c r="AW216" s="213"/>
      <c r="AX216" s="213"/>
      <c r="AY216" s="213"/>
      <c r="AZ216" s="213"/>
      <c r="BA216" s="213"/>
      <c r="BB216" s="213"/>
      <c r="BC216" s="213"/>
      <c r="BD216" s="213"/>
      <c r="BE216" s="213"/>
      <c r="BF216" s="213"/>
      <c r="BG216" s="213"/>
      <c r="BH216" s="213"/>
      <c r="BI216" s="213"/>
      <c r="BJ216" s="213"/>
      <c r="BK216" s="213"/>
      <c r="BL216" s="213"/>
      <c r="BM216" s="213"/>
      <c r="BN216" s="213"/>
      <c r="BO216" s="213"/>
      <c r="BP216" s="213"/>
      <c r="BQ216" s="213"/>
      <c r="BR216" s="213"/>
      <c r="BS216" s="213"/>
      <c r="BT216" s="213"/>
      <c r="BU216" s="213"/>
      <c r="BV216" s="213"/>
      <c r="BW216" s="213"/>
      <c r="BX216" s="213"/>
    </row>
    <row r="217" spans="1:76">
      <c r="A217" s="235">
        <v>212</v>
      </c>
      <c r="B217" s="236"/>
      <c r="C217" s="236"/>
      <c r="D217" s="215"/>
      <c r="E217" s="198"/>
      <c r="F217" s="236"/>
      <c r="G217" s="236"/>
      <c r="H217" s="197"/>
      <c r="I217" s="197"/>
      <c r="J217" s="197"/>
      <c r="K217" s="199"/>
      <c r="L217" s="200"/>
      <c r="M217" s="197"/>
      <c r="N217" s="201"/>
      <c r="O217" s="201"/>
      <c r="P217" s="201"/>
      <c r="Q217" s="201"/>
      <c r="R217" s="200"/>
      <c r="S217" s="199"/>
      <c r="T217" s="199"/>
      <c r="U217" s="201"/>
      <c r="V217" s="227"/>
      <c r="W217" s="202"/>
      <c r="X217" s="202"/>
      <c r="Y217" s="202"/>
      <c r="Z217" s="202"/>
      <c r="AA217" s="202"/>
      <c r="AB217" s="234"/>
      <c r="AC217" s="234"/>
      <c r="AD217" s="234"/>
      <c r="AE217" s="234"/>
      <c r="AF217" s="234"/>
      <c r="AG217" s="198"/>
      <c r="AH217" s="198"/>
      <c r="AI217" s="93"/>
      <c r="AJ217" s="93"/>
      <c r="AK217" s="93"/>
      <c r="AL217" s="213"/>
      <c r="AM217" s="213"/>
      <c r="AN217" s="213"/>
      <c r="AO217" s="213"/>
      <c r="AP217" s="213"/>
      <c r="AQ217" s="213"/>
      <c r="AR217" s="213"/>
      <c r="AS217" s="213"/>
      <c r="AT217" s="213"/>
      <c r="AU217" s="213"/>
      <c r="AV217" s="213"/>
      <c r="AW217" s="213"/>
      <c r="AX217" s="213"/>
      <c r="AY217" s="213"/>
      <c r="AZ217" s="213"/>
      <c r="BA217" s="213"/>
      <c r="BB217" s="213"/>
      <c r="BC217" s="213"/>
      <c r="BD217" s="213"/>
      <c r="BE217" s="213"/>
      <c r="BF217" s="213"/>
      <c r="BG217" s="213"/>
      <c r="BH217" s="213"/>
      <c r="BI217" s="213"/>
      <c r="BJ217" s="213"/>
      <c r="BK217" s="213"/>
      <c r="BL217" s="213"/>
      <c r="BM217" s="213"/>
      <c r="BN217" s="213"/>
      <c r="BO217" s="213"/>
      <c r="BP217" s="213"/>
      <c r="BQ217" s="213"/>
      <c r="BR217" s="213"/>
      <c r="BS217" s="213"/>
      <c r="BT217" s="213"/>
      <c r="BU217" s="213"/>
      <c r="BV217" s="213"/>
      <c r="BW217" s="213"/>
      <c r="BX217" s="213"/>
    </row>
    <row r="218" spans="1:76">
      <c r="A218" s="235">
        <v>213</v>
      </c>
      <c r="B218" s="236"/>
      <c r="C218" s="236"/>
      <c r="D218" s="215"/>
      <c r="E218" s="198"/>
      <c r="F218" s="236"/>
      <c r="G218" s="236"/>
      <c r="H218" s="197"/>
      <c r="I218" s="197"/>
      <c r="J218" s="197"/>
      <c r="K218" s="199"/>
      <c r="L218" s="200"/>
      <c r="M218" s="197"/>
      <c r="N218" s="201"/>
      <c r="O218" s="201"/>
      <c r="P218" s="201"/>
      <c r="Q218" s="201"/>
      <c r="R218" s="200"/>
      <c r="S218" s="199"/>
      <c r="T218" s="199"/>
      <c r="U218" s="201"/>
      <c r="V218" s="227"/>
      <c r="W218" s="202"/>
      <c r="X218" s="202"/>
      <c r="Y218" s="202"/>
      <c r="Z218" s="202"/>
      <c r="AA218" s="202"/>
      <c r="AB218" s="234"/>
      <c r="AC218" s="234"/>
      <c r="AD218" s="234"/>
      <c r="AE218" s="234"/>
      <c r="AF218" s="234"/>
      <c r="AG218" s="198"/>
      <c r="AH218" s="198"/>
      <c r="AI218" s="93"/>
      <c r="AJ218" s="93"/>
      <c r="AK218" s="93"/>
      <c r="AL218" s="213"/>
      <c r="AM218" s="213"/>
      <c r="AN218" s="213"/>
      <c r="AO218" s="213"/>
      <c r="AP218" s="213"/>
      <c r="AQ218" s="213"/>
      <c r="AR218" s="213"/>
      <c r="AS218" s="213"/>
      <c r="AT218" s="213"/>
      <c r="AU218" s="213"/>
      <c r="AV218" s="213"/>
      <c r="AW218" s="213"/>
      <c r="AX218" s="213"/>
      <c r="AY218" s="213"/>
      <c r="AZ218" s="213"/>
      <c r="BA218" s="213"/>
      <c r="BB218" s="213"/>
      <c r="BC218" s="213"/>
      <c r="BD218" s="213"/>
      <c r="BE218" s="213"/>
      <c r="BF218" s="213"/>
      <c r="BG218" s="213"/>
      <c r="BH218" s="213"/>
      <c r="BI218" s="213"/>
      <c r="BJ218" s="213"/>
      <c r="BK218" s="213"/>
      <c r="BL218" s="213"/>
      <c r="BM218" s="213"/>
      <c r="BN218" s="213"/>
      <c r="BO218" s="213"/>
      <c r="BP218" s="213"/>
      <c r="BQ218" s="213"/>
      <c r="BR218" s="213"/>
      <c r="BS218" s="213"/>
      <c r="BT218" s="213"/>
      <c r="BU218" s="213"/>
      <c r="BV218" s="213"/>
      <c r="BW218" s="213"/>
      <c r="BX218" s="213"/>
    </row>
    <row r="219" spans="1:76">
      <c r="A219" s="235">
        <v>214</v>
      </c>
      <c r="B219" s="236"/>
      <c r="C219" s="236"/>
      <c r="D219" s="215"/>
      <c r="E219" s="198"/>
      <c r="F219" s="236"/>
      <c r="G219" s="236"/>
      <c r="H219" s="197"/>
      <c r="I219" s="197"/>
      <c r="J219" s="197"/>
      <c r="K219" s="199"/>
      <c r="L219" s="200"/>
      <c r="M219" s="197"/>
      <c r="N219" s="201"/>
      <c r="O219" s="201"/>
      <c r="P219" s="201"/>
      <c r="Q219" s="201"/>
      <c r="R219" s="200"/>
      <c r="S219" s="199"/>
      <c r="T219" s="199"/>
      <c r="U219" s="201"/>
      <c r="V219" s="227"/>
      <c r="W219" s="202"/>
      <c r="X219" s="202"/>
      <c r="Y219" s="202"/>
      <c r="Z219" s="202"/>
      <c r="AA219" s="202"/>
      <c r="AB219" s="234"/>
      <c r="AC219" s="234"/>
      <c r="AD219" s="234"/>
      <c r="AE219" s="234"/>
      <c r="AF219" s="234"/>
      <c r="AG219" s="198"/>
      <c r="AH219" s="198"/>
      <c r="AI219" s="93"/>
      <c r="AJ219" s="93"/>
      <c r="AK219" s="93"/>
      <c r="AL219" s="213"/>
      <c r="AM219" s="213"/>
      <c r="AN219" s="213"/>
      <c r="AO219" s="213"/>
      <c r="AP219" s="213"/>
      <c r="AQ219" s="213"/>
      <c r="AR219" s="213"/>
      <c r="AS219" s="213"/>
      <c r="AT219" s="213"/>
      <c r="AU219" s="213"/>
      <c r="AV219" s="213"/>
      <c r="AW219" s="213"/>
      <c r="AX219" s="213"/>
      <c r="AY219" s="213"/>
      <c r="AZ219" s="213"/>
      <c r="BA219" s="213"/>
      <c r="BB219" s="213"/>
      <c r="BC219" s="213"/>
      <c r="BD219" s="213"/>
      <c r="BE219" s="213"/>
      <c r="BF219" s="213"/>
      <c r="BG219" s="213"/>
      <c r="BH219" s="213"/>
      <c r="BI219" s="213"/>
      <c r="BJ219" s="213"/>
      <c r="BK219" s="213"/>
      <c r="BL219" s="213"/>
      <c r="BM219" s="213"/>
      <c r="BN219" s="213"/>
      <c r="BO219" s="213"/>
      <c r="BP219" s="213"/>
      <c r="BQ219" s="213"/>
      <c r="BR219" s="213"/>
      <c r="BS219" s="213"/>
      <c r="BT219" s="213"/>
      <c r="BU219" s="213"/>
      <c r="BV219" s="213"/>
      <c r="BW219" s="213"/>
      <c r="BX219" s="213"/>
    </row>
    <row r="220" spans="1:76">
      <c r="A220" s="235">
        <v>215</v>
      </c>
      <c r="B220" s="236"/>
      <c r="C220" s="236"/>
      <c r="D220" s="215"/>
      <c r="E220" s="198"/>
      <c r="F220" s="236"/>
      <c r="G220" s="236"/>
      <c r="H220" s="197"/>
      <c r="I220" s="197"/>
      <c r="J220" s="197"/>
      <c r="K220" s="199"/>
      <c r="L220" s="200"/>
      <c r="M220" s="197"/>
      <c r="N220" s="201"/>
      <c r="O220" s="201"/>
      <c r="P220" s="201"/>
      <c r="Q220" s="201"/>
      <c r="R220" s="200"/>
      <c r="S220" s="199"/>
      <c r="T220" s="199"/>
      <c r="U220" s="201"/>
      <c r="V220" s="227"/>
      <c r="W220" s="202"/>
      <c r="X220" s="202"/>
      <c r="Y220" s="202"/>
      <c r="Z220" s="202"/>
      <c r="AA220" s="202"/>
      <c r="AB220" s="234"/>
      <c r="AC220" s="234"/>
      <c r="AD220" s="234"/>
      <c r="AE220" s="234"/>
      <c r="AF220" s="234"/>
      <c r="AG220" s="198"/>
      <c r="AH220" s="198"/>
      <c r="AI220" s="93"/>
      <c r="AJ220" s="93"/>
      <c r="AK220" s="93"/>
      <c r="AL220" s="213"/>
      <c r="AM220" s="213"/>
      <c r="AN220" s="213"/>
      <c r="AO220" s="213"/>
      <c r="AP220" s="213"/>
      <c r="AQ220" s="213"/>
      <c r="AR220" s="213"/>
      <c r="AS220" s="213"/>
      <c r="AT220" s="213"/>
      <c r="AU220" s="213"/>
      <c r="AV220" s="213"/>
      <c r="AW220" s="213"/>
      <c r="AX220" s="213"/>
      <c r="AY220" s="213"/>
      <c r="AZ220" s="213"/>
      <c r="BA220" s="213"/>
      <c r="BB220" s="213"/>
      <c r="BC220" s="213"/>
      <c r="BD220" s="213"/>
      <c r="BE220" s="213"/>
      <c r="BF220" s="213"/>
      <c r="BG220" s="213"/>
      <c r="BH220" s="213"/>
      <c r="BI220" s="213"/>
      <c r="BJ220" s="213"/>
      <c r="BK220" s="213"/>
      <c r="BL220" s="213"/>
      <c r="BM220" s="213"/>
      <c r="BN220" s="213"/>
      <c r="BO220" s="213"/>
      <c r="BP220" s="213"/>
      <c r="BQ220" s="213"/>
      <c r="BR220" s="213"/>
      <c r="BS220" s="213"/>
      <c r="BT220" s="213"/>
      <c r="BU220" s="213"/>
      <c r="BV220" s="213"/>
      <c r="BW220" s="213"/>
      <c r="BX220" s="213"/>
    </row>
    <row r="221" spans="1:76">
      <c r="A221" s="235">
        <v>216</v>
      </c>
      <c r="B221" s="236"/>
      <c r="C221" s="236"/>
      <c r="D221" s="215"/>
      <c r="E221" s="198"/>
      <c r="F221" s="236"/>
      <c r="G221" s="236"/>
      <c r="H221" s="197"/>
      <c r="I221" s="197"/>
      <c r="J221" s="197"/>
      <c r="K221" s="199"/>
      <c r="L221" s="200"/>
      <c r="M221" s="197"/>
      <c r="N221" s="201"/>
      <c r="O221" s="201"/>
      <c r="P221" s="201"/>
      <c r="Q221" s="201"/>
      <c r="R221" s="200"/>
      <c r="S221" s="199"/>
      <c r="T221" s="199"/>
      <c r="U221" s="201"/>
      <c r="V221" s="227"/>
      <c r="W221" s="202"/>
      <c r="X221" s="202"/>
      <c r="Y221" s="202"/>
      <c r="Z221" s="202"/>
      <c r="AA221" s="202"/>
      <c r="AB221" s="234"/>
      <c r="AC221" s="234"/>
      <c r="AD221" s="234"/>
      <c r="AE221" s="234"/>
      <c r="AF221" s="234"/>
      <c r="AG221" s="198"/>
      <c r="AH221" s="198"/>
      <c r="AI221" s="93"/>
      <c r="AJ221" s="93"/>
      <c r="AK221" s="93"/>
      <c r="AL221" s="213"/>
      <c r="AM221" s="213"/>
      <c r="AN221" s="213"/>
      <c r="AO221" s="213"/>
      <c r="AP221" s="213"/>
      <c r="AQ221" s="213"/>
      <c r="AR221" s="213"/>
      <c r="AS221" s="213"/>
      <c r="AT221" s="213"/>
      <c r="AU221" s="213"/>
      <c r="AV221" s="213"/>
      <c r="AW221" s="213"/>
      <c r="AX221" s="213"/>
      <c r="AY221" s="213"/>
      <c r="AZ221" s="213"/>
      <c r="BA221" s="213"/>
      <c r="BB221" s="213"/>
      <c r="BC221" s="213"/>
      <c r="BD221" s="213"/>
      <c r="BE221" s="213"/>
      <c r="BF221" s="213"/>
      <c r="BG221" s="213"/>
      <c r="BH221" s="213"/>
      <c r="BI221" s="213"/>
      <c r="BJ221" s="213"/>
      <c r="BK221" s="213"/>
      <c r="BL221" s="213"/>
      <c r="BM221" s="213"/>
      <c r="BN221" s="213"/>
      <c r="BO221" s="213"/>
      <c r="BP221" s="213"/>
      <c r="BQ221" s="213"/>
      <c r="BR221" s="213"/>
      <c r="BS221" s="213"/>
      <c r="BT221" s="213"/>
      <c r="BU221" s="213"/>
      <c r="BV221" s="213"/>
      <c r="BW221" s="213"/>
      <c r="BX221" s="213"/>
    </row>
    <row r="222" spans="1:76">
      <c r="A222" s="235">
        <v>217</v>
      </c>
      <c r="B222" s="236"/>
      <c r="C222" s="236"/>
      <c r="D222" s="215"/>
      <c r="E222" s="198"/>
      <c r="F222" s="236"/>
      <c r="G222" s="236"/>
      <c r="H222" s="197"/>
      <c r="I222" s="197"/>
      <c r="J222" s="197"/>
      <c r="K222" s="199"/>
      <c r="L222" s="200"/>
      <c r="M222" s="197"/>
      <c r="N222" s="201"/>
      <c r="O222" s="201"/>
      <c r="P222" s="201"/>
      <c r="Q222" s="201"/>
      <c r="R222" s="200"/>
      <c r="S222" s="199"/>
      <c r="T222" s="199"/>
      <c r="U222" s="201"/>
      <c r="V222" s="227"/>
      <c r="W222" s="202"/>
      <c r="X222" s="202"/>
      <c r="Y222" s="202"/>
      <c r="Z222" s="202"/>
      <c r="AA222" s="202"/>
      <c r="AB222" s="234"/>
      <c r="AC222" s="234"/>
      <c r="AD222" s="234"/>
      <c r="AE222" s="234"/>
      <c r="AF222" s="234"/>
      <c r="AG222" s="198"/>
      <c r="AH222" s="198"/>
      <c r="AI222" s="93"/>
      <c r="AJ222" s="93"/>
      <c r="AK222" s="93"/>
      <c r="AL222" s="213"/>
      <c r="AM222" s="213"/>
      <c r="AN222" s="213"/>
      <c r="AO222" s="213"/>
      <c r="AP222" s="213"/>
      <c r="AQ222" s="213"/>
      <c r="AR222" s="213"/>
      <c r="AS222" s="213"/>
      <c r="AT222" s="213"/>
      <c r="AU222" s="213"/>
      <c r="AV222" s="213"/>
      <c r="AW222" s="213"/>
      <c r="AX222" s="213"/>
      <c r="AY222" s="213"/>
      <c r="AZ222" s="213"/>
      <c r="BA222" s="213"/>
      <c r="BB222" s="213"/>
      <c r="BC222" s="213"/>
      <c r="BD222" s="213"/>
      <c r="BE222" s="213"/>
      <c r="BF222" s="213"/>
      <c r="BG222" s="213"/>
      <c r="BH222" s="213"/>
      <c r="BI222" s="213"/>
      <c r="BJ222" s="213"/>
      <c r="BK222" s="213"/>
      <c r="BL222" s="213"/>
      <c r="BM222" s="213"/>
      <c r="BN222" s="213"/>
      <c r="BO222" s="213"/>
      <c r="BP222" s="213"/>
      <c r="BQ222" s="213"/>
      <c r="BR222" s="213"/>
      <c r="BS222" s="213"/>
      <c r="BT222" s="213"/>
      <c r="BU222" s="213"/>
      <c r="BV222" s="213"/>
      <c r="BW222" s="213"/>
      <c r="BX222" s="213"/>
    </row>
    <row r="223" spans="1:76">
      <c r="A223" s="235">
        <v>218</v>
      </c>
      <c r="B223" s="236"/>
      <c r="C223" s="236"/>
      <c r="D223" s="215"/>
      <c r="E223" s="198"/>
      <c r="F223" s="236"/>
      <c r="G223" s="236"/>
      <c r="H223" s="197"/>
      <c r="I223" s="197"/>
      <c r="J223" s="197"/>
      <c r="K223" s="199"/>
      <c r="L223" s="200"/>
      <c r="M223" s="197"/>
      <c r="N223" s="201"/>
      <c r="O223" s="201"/>
      <c r="P223" s="201"/>
      <c r="Q223" s="201"/>
      <c r="R223" s="200"/>
      <c r="S223" s="199"/>
      <c r="T223" s="199"/>
      <c r="U223" s="201"/>
      <c r="V223" s="227"/>
      <c r="W223" s="202"/>
      <c r="X223" s="202"/>
      <c r="Y223" s="202"/>
      <c r="Z223" s="202"/>
      <c r="AA223" s="202"/>
      <c r="AB223" s="234"/>
      <c r="AC223" s="234"/>
      <c r="AD223" s="234"/>
      <c r="AE223" s="234"/>
      <c r="AF223" s="234"/>
      <c r="AG223" s="198"/>
      <c r="AH223" s="198"/>
    </row>
    <row r="224" spans="1:76">
      <c r="A224" s="235">
        <v>219</v>
      </c>
      <c r="B224" s="236"/>
      <c r="C224" s="236"/>
      <c r="D224" s="215"/>
      <c r="E224" s="198"/>
      <c r="F224" s="236"/>
      <c r="G224" s="236"/>
      <c r="H224" s="197"/>
      <c r="I224" s="197"/>
      <c r="J224" s="197"/>
      <c r="K224" s="199"/>
      <c r="L224" s="200"/>
      <c r="M224" s="197"/>
      <c r="N224" s="201"/>
      <c r="O224" s="201"/>
      <c r="P224" s="201"/>
      <c r="Q224" s="201"/>
      <c r="R224" s="200"/>
      <c r="S224" s="199"/>
      <c r="T224" s="199"/>
      <c r="U224" s="201"/>
      <c r="V224" s="227"/>
      <c r="W224" s="202"/>
      <c r="X224" s="202"/>
      <c r="Y224" s="202"/>
      <c r="Z224" s="202"/>
      <c r="AA224" s="202"/>
      <c r="AB224" s="234"/>
      <c r="AC224" s="234"/>
      <c r="AD224" s="234"/>
      <c r="AE224" s="234"/>
      <c r="AF224" s="234"/>
      <c r="AG224" s="198"/>
      <c r="AH224" s="198"/>
    </row>
    <row r="225" spans="1:34">
      <c r="A225" s="235">
        <v>220</v>
      </c>
      <c r="B225" s="236"/>
      <c r="C225" s="236"/>
      <c r="D225" s="215"/>
      <c r="E225" s="198"/>
      <c r="F225" s="236"/>
      <c r="G225" s="236"/>
      <c r="H225" s="197"/>
      <c r="I225" s="197"/>
      <c r="J225" s="197"/>
      <c r="K225" s="199"/>
      <c r="L225" s="200"/>
      <c r="M225" s="197"/>
      <c r="N225" s="201"/>
      <c r="O225" s="201"/>
      <c r="P225" s="201"/>
      <c r="Q225" s="201"/>
      <c r="R225" s="200"/>
      <c r="S225" s="199"/>
      <c r="T225" s="199"/>
      <c r="U225" s="201"/>
      <c r="V225" s="227"/>
      <c r="W225" s="202"/>
      <c r="X225" s="202"/>
      <c r="Y225" s="202"/>
      <c r="Z225" s="202"/>
      <c r="AA225" s="202"/>
      <c r="AB225" s="234"/>
      <c r="AC225" s="234"/>
      <c r="AD225" s="234"/>
      <c r="AE225" s="234"/>
      <c r="AF225" s="234"/>
      <c r="AG225" s="198"/>
      <c r="AH225" s="198"/>
    </row>
    <row r="226" spans="1:34">
      <c r="A226" s="235">
        <v>221</v>
      </c>
      <c r="B226" s="236"/>
      <c r="C226" s="236"/>
      <c r="D226" s="215"/>
      <c r="E226" s="198"/>
      <c r="F226" s="236"/>
      <c r="G226" s="236"/>
      <c r="H226" s="197"/>
      <c r="I226" s="197"/>
      <c r="J226" s="197"/>
      <c r="K226" s="199"/>
      <c r="L226" s="200"/>
      <c r="M226" s="197"/>
      <c r="N226" s="201"/>
      <c r="O226" s="201"/>
      <c r="P226" s="201"/>
      <c r="Q226" s="201"/>
      <c r="R226" s="200"/>
      <c r="S226" s="199"/>
      <c r="T226" s="199"/>
      <c r="U226" s="201"/>
      <c r="V226" s="227"/>
      <c r="W226" s="202"/>
      <c r="X226" s="202"/>
      <c r="Y226" s="202"/>
      <c r="Z226" s="202"/>
      <c r="AA226" s="202"/>
      <c r="AB226" s="234"/>
      <c r="AC226" s="234"/>
      <c r="AD226" s="234"/>
      <c r="AE226" s="234"/>
      <c r="AF226" s="234"/>
      <c r="AG226" s="198"/>
      <c r="AH226" s="198"/>
    </row>
    <row r="227" spans="1:34">
      <c r="A227" s="235">
        <v>222</v>
      </c>
      <c r="B227" s="236"/>
      <c r="C227" s="236"/>
      <c r="D227" s="215"/>
      <c r="E227" s="198"/>
      <c r="F227" s="236"/>
      <c r="G227" s="236"/>
      <c r="H227" s="197"/>
      <c r="I227" s="197"/>
      <c r="J227" s="197"/>
      <c r="K227" s="199"/>
      <c r="L227" s="200"/>
      <c r="M227" s="197"/>
      <c r="N227" s="201"/>
      <c r="O227" s="201"/>
      <c r="P227" s="201"/>
      <c r="Q227" s="201"/>
      <c r="R227" s="200"/>
      <c r="S227" s="199"/>
      <c r="T227" s="199"/>
      <c r="U227" s="201"/>
      <c r="V227" s="227"/>
      <c r="W227" s="202"/>
      <c r="X227" s="202"/>
      <c r="Y227" s="202"/>
      <c r="Z227" s="202"/>
      <c r="AA227" s="202"/>
      <c r="AB227" s="234"/>
      <c r="AC227" s="234"/>
      <c r="AD227" s="234"/>
      <c r="AE227" s="234"/>
      <c r="AF227" s="234"/>
      <c r="AG227" s="198"/>
      <c r="AH227" s="198"/>
    </row>
    <row r="228" spans="1:34">
      <c r="A228" s="235">
        <v>223</v>
      </c>
      <c r="B228" s="236"/>
      <c r="C228" s="236"/>
      <c r="D228" s="215"/>
      <c r="E228" s="198"/>
      <c r="F228" s="236"/>
      <c r="G228" s="236"/>
      <c r="H228" s="197"/>
      <c r="I228" s="197"/>
      <c r="J228" s="197"/>
      <c r="K228" s="199"/>
      <c r="L228" s="200"/>
      <c r="M228" s="197"/>
      <c r="N228" s="201"/>
      <c r="O228" s="201"/>
      <c r="P228" s="201"/>
      <c r="Q228" s="201"/>
      <c r="R228" s="200"/>
      <c r="S228" s="199"/>
      <c r="T228" s="199"/>
      <c r="U228" s="201"/>
      <c r="V228" s="227"/>
      <c r="W228" s="202"/>
      <c r="X228" s="202"/>
      <c r="Y228" s="202"/>
      <c r="Z228" s="202"/>
      <c r="AA228" s="202"/>
      <c r="AB228" s="234"/>
      <c r="AC228" s="234"/>
      <c r="AD228" s="234"/>
      <c r="AE228" s="234"/>
      <c r="AF228" s="234"/>
      <c r="AG228" s="198"/>
      <c r="AH228" s="198"/>
    </row>
    <row r="229" spans="1:34">
      <c r="A229" s="235">
        <v>224</v>
      </c>
      <c r="B229" s="236"/>
      <c r="C229" s="236"/>
      <c r="D229" s="215"/>
      <c r="E229" s="198"/>
      <c r="F229" s="236"/>
      <c r="G229" s="236"/>
      <c r="H229" s="197"/>
      <c r="I229" s="197"/>
      <c r="J229" s="197"/>
      <c r="K229" s="199"/>
      <c r="L229" s="200"/>
      <c r="M229" s="197"/>
      <c r="N229" s="201"/>
      <c r="O229" s="201"/>
      <c r="P229" s="201"/>
      <c r="Q229" s="201"/>
      <c r="R229" s="200"/>
      <c r="S229" s="199"/>
      <c r="T229" s="199"/>
      <c r="U229" s="201"/>
      <c r="V229" s="227"/>
      <c r="W229" s="202"/>
      <c r="X229" s="202"/>
      <c r="Y229" s="202"/>
      <c r="Z229" s="202"/>
      <c r="AA229" s="202"/>
      <c r="AB229" s="234"/>
      <c r="AC229" s="234"/>
      <c r="AD229" s="234"/>
      <c r="AE229" s="234"/>
      <c r="AF229" s="234"/>
      <c r="AG229" s="198"/>
      <c r="AH229" s="198"/>
    </row>
    <row r="230" spans="1:34">
      <c r="A230" s="235">
        <v>225</v>
      </c>
      <c r="B230" s="236"/>
      <c r="C230" s="236"/>
      <c r="D230" s="215"/>
      <c r="E230" s="198"/>
      <c r="F230" s="236"/>
      <c r="G230" s="236"/>
      <c r="H230" s="197"/>
      <c r="I230" s="197"/>
      <c r="J230" s="197"/>
      <c r="K230" s="199"/>
      <c r="L230" s="200"/>
      <c r="M230" s="197"/>
      <c r="N230" s="201"/>
      <c r="O230" s="201"/>
      <c r="P230" s="201"/>
      <c r="Q230" s="201"/>
      <c r="R230" s="200"/>
      <c r="S230" s="199"/>
      <c r="T230" s="199"/>
      <c r="U230" s="201"/>
      <c r="V230" s="227"/>
      <c r="W230" s="202"/>
      <c r="X230" s="202"/>
      <c r="Y230" s="202"/>
      <c r="Z230" s="202"/>
      <c r="AA230" s="202"/>
      <c r="AB230" s="234"/>
      <c r="AC230" s="234"/>
      <c r="AD230" s="234"/>
      <c r="AE230" s="234"/>
      <c r="AF230" s="234"/>
      <c r="AG230" s="198"/>
      <c r="AH230" s="198"/>
    </row>
    <row r="231" spans="1:34">
      <c r="A231" s="235">
        <v>226</v>
      </c>
      <c r="B231" s="236"/>
      <c r="C231" s="236"/>
      <c r="D231" s="215"/>
      <c r="E231" s="198"/>
      <c r="F231" s="236"/>
      <c r="G231" s="236"/>
      <c r="H231" s="197"/>
      <c r="I231" s="197"/>
      <c r="J231" s="197"/>
      <c r="K231" s="199"/>
      <c r="L231" s="200"/>
      <c r="M231" s="197"/>
      <c r="N231" s="201"/>
      <c r="O231" s="201"/>
      <c r="P231" s="201"/>
      <c r="Q231" s="201"/>
      <c r="R231" s="200"/>
      <c r="S231" s="199"/>
      <c r="T231" s="199"/>
      <c r="U231" s="201"/>
      <c r="V231" s="227"/>
      <c r="W231" s="202"/>
      <c r="X231" s="202"/>
      <c r="Y231" s="202"/>
      <c r="Z231" s="202"/>
      <c r="AA231" s="202"/>
      <c r="AB231" s="234"/>
      <c r="AC231" s="234"/>
      <c r="AD231" s="234"/>
      <c r="AE231" s="234"/>
      <c r="AF231" s="234"/>
      <c r="AG231" s="198"/>
      <c r="AH231" s="198"/>
    </row>
    <row r="232" spans="1:34">
      <c r="A232" s="235">
        <v>227</v>
      </c>
      <c r="B232" s="236"/>
      <c r="C232" s="236"/>
      <c r="D232" s="215"/>
      <c r="E232" s="198"/>
      <c r="F232" s="236"/>
      <c r="G232" s="236"/>
      <c r="H232" s="197"/>
      <c r="I232" s="197"/>
      <c r="J232" s="197"/>
      <c r="K232" s="199"/>
      <c r="L232" s="200"/>
      <c r="M232" s="197"/>
      <c r="N232" s="201"/>
      <c r="O232" s="201"/>
      <c r="P232" s="201"/>
      <c r="Q232" s="201"/>
      <c r="R232" s="200"/>
      <c r="S232" s="199"/>
      <c r="T232" s="199"/>
      <c r="U232" s="201"/>
      <c r="V232" s="227"/>
      <c r="W232" s="202"/>
      <c r="X232" s="202"/>
      <c r="Y232" s="202"/>
      <c r="Z232" s="202"/>
      <c r="AA232" s="202"/>
      <c r="AB232" s="234"/>
      <c r="AC232" s="234"/>
      <c r="AD232" s="234"/>
      <c r="AE232" s="234"/>
      <c r="AF232" s="234"/>
      <c r="AG232" s="198"/>
      <c r="AH232" s="198"/>
    </row>
    <row r="233" spans="1:34">
      <c r="A233" s="235">
        <v>228</v>
      </c>
      <c r="B233" s="236"/>
      <c r="C233" s="236"/>
      <c r="D233" s="215"/>
      <c r="E233" s="198"/>
      <c r="F233" s="236"/>
      <c r="G233" s="236"/>
      <c r="H233" s="197"/>
      <c r="I233" s="197"/>
      <c r="J233" s="197"/>
      <c r="K233" s="199"/>
      <c r="L233" s="200"/>
      <c r="M233" s="197"/>
      <c r="N233" s="201"/>
      <c r="O233" s="201"/>
      <c r="P233" s="201"/>
      <c r="Q233" s="201"/>
      <c r="R233" s="200"/>
      <c r="S233" s="199"/>
      <c r="T233" s="199"/>
      <c r="U233" s="201"/>
      <c r="V233" s="227"/>
      <c r="W233" s="202"/>
      <c r="X233" s="202"/>
      <c r="Y233" s="202"/>
      <c r="Z233" s="202"/>
      <c r="AA233" s="202"/>
      <c r="AB233" s="234"/>
      <c r="AC233" s="234"/>
      <c r="AD233" s="234"/>
      <c r="AE233" s="234"/>
      <c r="AF233" s="234"/>
      <c r="AG233" s="198"/>
      <c r="AH233" s="198"/>
    </row>
    <row r="234" spans="1:34">
      <c r="A234" s="235">
        <v>229</v>
      </c>
      <c r="B234" s="236"/>
      <c r="C234" s="236"/>
      <c r="D234" s="215"/>
      <c r="E234" s="198"/>
      <c r="F234" s="236"/>
      <c r="G234" s="236"/>
      <c r="H234" s="197"/>
      <c r="I234" s="197"/>
      <c r="J234" s="197"/>
      <c r="K234" s="199"/>
      <c r="L234" s="200"/>
      <c r="M234" s="197"/>
      <c r="N234" s="201"/>
      <c r="O234" s="201"/>
      <c r="P234" s="201"/>
      <c r="Q234" s="201"/>
      <c r="R234" s="200"/>
      <c r="S234" s="199"/>
      <c r="T234" s="199"/>
      <c r="U234" s="201"/>
      <c r="V234" s="227"/>
      <c r="W234" s="202"/>
      <c r="X234" s="202"/>
      <c r="Y234" s="202"/>
      <c r="Z234" s="202"/>
      <c r="AA234" s="202"/>
      <c r="AB234" s="234"/>
      <c r="AC234" s="234"/>
      <c r="AD234" s="234"/>
      <c r="AE234" s="234"/>
      <c r="AF234" s="234"/>
      <c r="AG234" s="198"/>
      <c r="AH234" s="198"/>
    </row>
    <row r="235" spans="1:34">
      <c r="A235" s="235">
        <v>230</v>
      </c>
      <c r="B235" s="236"/>
      <c r="C235" s="236"/>
      <c r="D235" s="215"/>
      <c r="E235" s="198"/>
      <c r="F235" s="236"/>
      <c r="G235" s="236"/>
      <c r="H235" s="197"/>
      <c r="I235" s="197"/>
      <c r="J235" s="197"/>
      <c r="K235" s="199"/>
      <c r="L235" s="200"/>
      <c r="M235" s="197"/>
      <c r="N235" s="201"/>
      <c r="O235" s="201"/>
      <c r="P235" s="201"/>
      <c r="Q235" s="201"/>
      <c r="R235" s="200"/>
      <c r="S235" s="199"/>
      <c r="T235" s="199"/>
      <c r="U235" s="201"/>
      <c r="V235" s="227"/>
      <c r="W235" s="202"/>
      <c r="X235" s="202"/>
      <c r="Y235" s="202"/>
      <c r="Z235" s="202"/>
      <c r="AA235" s="202"/>
      <c r="AB235" s="234"/>
      <c r="AC235" s="234"/>
      <c r="AD235" s="234"/>
      <c r="AE235" s="234"/>
      <c r="AF235" s="234"/>
      <c r="AG235" s="198"/>
      <c r="AH235" s="198"/>
    </row>
    <row r="236" spans="1:34">
      <c r="R236" s="164"/>
      <c r="S236" s="231"/>
      <c r="T236" s="231"/>
      <c r="U236" s="114"/>
      <c r="V236" s="228"/>
      <c r="W236" s="158"/>
      <c r="X236" s="155"/>
      <c r="Y236" s="158"/>
      <c r="Z236" s="158"/>
      <c r="AB236" s="228"/>
      <c r="AC236" s="228"/>
      <c r="AD236" s="228"/>
      <c r="AE236" s="228"/>
      <c r="AF236" s="228"/>
      <c r="AG236" s="113"/>
    </row>
    <row r="237" spans="1:34">
      <c r="R237" s="164"/>
      <c r="S237" s="231"/>
      <c r="T237" s="231"/>
      <c r="U237" s="114"/>
      <c r="V237" s="228"/>
      <c r="W237" s="158"/>
      <c r="X237" s="155"/>
      <c r="Y237" s="158"/>
      <c r="Z237" s="158"/>
      <c r="AB237" s="228"/>
      <c r="AC237" s="228"/>
      <c r="AD237" s="228"/>
      <c r="AE237" s="228"/>
      <c r="AF237" s="228"/>
      <c r="AG237" s="113"/>
    </row>
    <row r="238" spans="1:34">
      <c r="R238" s="164"/>
      <c r="S238" s="231"/>
      <c r="T238" s="231"/>
      <c r="U238" s="114"/>
      <c r="V238" s="228"/>
      <c r="W238" s="158"/>
      <c r="X238" s="155"/>
      <c r="Y238" s="158"/>
      <c r="Z238" s="158"/>
      <c r="AB238" s="228"/>
      <c r="AC238" s="228"/>
      <c r="AD238" s="228"/>
      <c r="AE238" s="228"/>
      <c r="AF238" s="228"/>
      <c r="AG238" s="113"/>
    </row>
    <row r="239" spans="1:34">
      <c r="R239" s="164"/>
      <c r="S239" s="231"/>
      <c r="T239" s="231"/>
      <c r="U239" s="114"/>
      <c r="V239" s="228"/>
      <c r="W239" s="158"/>
      <c r="X239" s="155"/>
      <c r="Y239" s="158"/>
      <c r="Z239" s="158"/>
      <c r="AB239" s="228"/>
      <c r="AC239" s="228"/>
      <c r="AD239" s="228"/>
      <c r="AE239" s="228"/>
      <c r="AF239" s="228"/>
      <c r="AG239" s="113"/>
    </row>
    <row r="240" spans="1:34">
      <c r="R240" s="164"/>
      <c r="S240" s="231"/>
      <c r="T240" s="231"/>
      <c r="U240" s="114"/>
      <c r="V240" s="228"/>
      <c r="W240" s="158"/>
      <c r="X240" s="155"/>
      <c r="Y240" s="158"/>
      <c r="Z240" s="158"/>
      <c r="AB240" s="228"/>
      <c r="AC240" s="228"/>
      <c r="AD240" s="228"/>
      <c r="AE240" s="228"/>
      <c r="AF240" s="228"/>
      <c r="AG240" s="113"/>
    </row>
    <row r="241" spans="18:33">
      <c r="R241" s="164"/>
      <c r="S241" s="231"/>
      <c r="T241" s="231"/>
      <c r="U241" s="114"/>
      <c r="V241" s="228"/>
      <c r="W241" s="158"/>
      <c r="X241" s="155"/>
      <c r="Y241" s="158"/>
      <c r="Z241" s="158"/>
      <c r="AB241" s="228"/>
      <c r="AC241" s="228"/>
      <c r="AD241" s="228"/>
      <c r="AE241" s="228"/>
      <c r="AF241" s="228"/>
      <c r="AG241" s="113"/>
    </row>
    <row r="242" spans="18:33">
      <c r="R242" s="164"/>
      <c r="S242" s="231"/>
      <c r="T242" s="231"/>
      <c r="U242" s="114"/>
      <c r="V242" s="228"/>
      <c r="W242" s="158"/>
      <c r="X242" s="155"/>
      <c r="Y242" s="158"/>
      <c r="Z242" s="158"/>
      <c r="AB242" s="228"/>
      <c r="AC242" s="228"/>
      <c r="AD242" s="228"/>
      <c r="AE242" s="228"/>
      <c r="AF242" s="228"/>
      <c r="AG242" s="113"/>
    </row>
    <row r="243" spans="18:33">
      <c r="R243" s="164"/>
      <c r="S243" s="231"/>
      <c r="T243" s="231"/>
      <c r="U243" s="114"/>
      <c r="V243" s="228"/>
      <c r="W243" s="158"/>
      <c r="X243" s="155"/>
      <c r="Y243" s="158"/>
      <c r="Z243" s="158"/>
      <c r="AB243" s="228"/>
      <c r="AC243" s="228"/>
      <c r="AD243" s="228"/>
      <c r="AE243" s="228"/>
      <c r="AF243" s="228"/>
      <c r="AG243" s="113"/>
    </row>
    <row r="244" spans="18:33">
      <c r="R244" s="164"/>
      <c r="S244" s="231"/>
      <c r="T244" s="231"/>
      <c r="U244" s="114"/>
      <c r="V244" s="228"/>
      <c r="W244" s="158"/>
      <c r="X244" s="155"/>
      <c r="Y244" s="158"/>
      <c r="Z244" s="158"/>
      <c r="AB244" s="228"/>
      <c r="AC244" s="228"/>
      <c r="AD244" s="228"/>
      <c r="AE244" s="228"/>
      <c r="AF244" s="228"/>
      <c r="AG244" s="113"/>
    </row>
    <row r="245" spans="18:33">
      <c r="R245" s="164"/>
      <c r="S245" s="231"/>
      <c r="T245" s="231"/>
      <c r="U245" s="114"/>
      <c r="V245" s="228"/>
      <c r="W245" s="158"/>
      <c r="X245" s="155"/>
      <c r="Y245" s="158"/>
      <c r="Z245" s="158"/>
      <c r="AB245" s="228"/>
      <c r="AC245" s="228"/>
      <c r="AD245" s="228"/>
      <c r="AE245" s="228"/>
      <c r="AF245" s="228"/>
      <c r="AG245" s="113"/>
    </row>
    <row r="246" spans="18:33">
      <c r="R246" s="164"/>
      <c r="S246" s="231"/>
      <c r="T246" s="231"/>
      <c r="U246" s="114"/>
      <c r="V246" s="228"/>
      <c r="W246" s="158"/>
      <c r="X246" s="155"/>
      <c r="Y246" s="158"/>
      <c r="Z246" s="158"/>
      <c r="AB246" s="228"/>
      <c r="AC246" s="228"/>
      <c r="AD246" s="228"/>
      <c r="AE246" s="228"/>
      <c r="AF246" s="228"/>
      <c r="AG246" s="113"/>
    </row>
    <row r="247" spans="18:33">
      <c r="R247" s="164"/>
      <c r="S247" s="231"/>
      <c r="T247" s="231"/>
      <c r="U247" s="114"/>
      <c r="V247" s="228"/>
      <c r="W247" s="158"/>
      <c r="X247" s="155"/>
      <c r="Y247" s="158"/>
      <c r="Z247" s="158"/>
      <c r="AB247" s="228"/>
      <c r="AC247" s="228"/>
      <c r="AD247" s="228"/>
      <c r="AE247" s="228"/>
      <c r="AF247" s="228"/>
      <c r="AG247" s="113"/>
    </row>
    <row r="248" spans="18:33">
      <c r="R248" s="164"/>
      <c r="S248" s="231"/>
      <c r="T248" s="231"/>
      <c r="U248" s="114"/>
      <c r="V248" s="228"/>
      <c r="W248" s="158"/>
      <c r="X248" s="155"/>
      <c r="Y248" s="158"/>
      <c r="Z248" s="158"/>
      <c r="AB248" s="228"/>
      <c r="AC248" s="228"/>
      <c r="AD248" s="228"/>
      <c r="AE248" s="228"/>
      <c r="AF248" s="228"/>
      <c r="AG248" s="113"/>
    </row>
    <row r="249" spans="18:33">
      <c r="R249" s="164"/>
      <c r="S249" s="231"/>
      <c r="T249" s="231"/>
      <c r="U249" s="114"/>
      <c r="V249" s="228"/>
      <c r="W249" s="158"/>
      <c r="X249" s="155"/>
      <c r="Y249" s="158"/>
      <c r="Z249" s="158"/>
      <c r="AB249" s="228"/>
      <c r="AC249" s="228"/>
      <c r="AD249" s="228"/>
      <c r="AE249" s="228"/>
      <c r="AF249" s="228"/>
      <c r="AG249" s="113"/>
    </row>
    <row r="250" spans="18:33">
      <c r="R250" s="164"/>
      <c r="S250" s="231"/>
      <c r="T250" s="231"/>
      <c r="U250" s="114"/>
      <c r="V250" s="228"/>
      <c r="W250" s="158"/>
      <c r="X250" s="155"/>
      <c r="Y250" s="158"/>
      <c r="Z250" s="158"/>
      <c r="AB250" s="228"/>
      <c r="AC250" s="228"/>
      <c r="AD250" s="228"/>
      <c r="AE250" s="228"/>
      <c r="AF250" s="228"/>
      <c r="AG250" s="113"/>
    </row>
    <row r="251" spans="18:33">
      <c r="R251" s="164"/>
      <c r="S251" s="231"/>
      <c r="T251" s="231"/>
      <c r="U251" s="114"/>
      <c r="V251" s="228"/>
      <c r="W251" s="158"/>
      <c r="X251" s="155"/>
      <c r="Y251" s="158"/>
      <c r="Z251" s="158"/>
      <c r="AB251" s="228"/>
      <c r="AC251" s="228"/>
      <c r="AD251" s="228"/>
      <c r="AE251" s="228"/>
      <c r="AF251" s="228"/>
      <c r="AG251" s="113"/>
    </row>
    <row r="252" spans="18:33">
      <c r="R252" s="164"/>
      <c r="S252" s="231"/>
      <c r="T252" s="231"/>
      <c r="U252" s="114"/>
      <c r="V252" s="228"/>
      <c r="W252" s="158"/>
      <c r="X252" s="155"/>
      <c r="Y252" s="158"/>
      <c r="Z252" s="158"/>
      <c r="AB252" s="228"/>
      <c r="AC252" s="228"/>
      <c r="AD252" s="228"/>
      <c r="AE252" s="228"/>
      <c r="AF252" s="228"/>
      <c r="AG252" s="113"/>
    </row>
    <row r="253" spans="18:33">
      <c r="R253" s="164"/>
      <c r="S253" s="231"/>
      <c r="T253" s="231"/>
      <c r="U253" s="114"/>
      <c r="V253" s="228"/>
      <c r="W253" s="158"/>
      <c r="X253" s="155"/>
      <c r="Y253" s="158"/>
      <c r="Z253" s="158"/>
      <c r="AB253" s="228"/>
      <c r="AC253" s="228"/>
      <c r="AD253" s="228"/>
      <c r="AE253" s="228"/>
      <c r="AF253" s="228"/>
      <c r="AG253" s="113"/>
    </row>
    <row r="254" spans="18:33">
      <c r="R254" s="164"/>
      <c r="S254" s="231"/>
      <c r="T254" s="231"/>
      <c r="U254" s="114"/>
      <c r="V254" s="228"/>
      <c r="W254" s="158"/>
      <c r="X254" s="155"/>
      <c r="Y254" s="158"/>
      <c r="Z254" s="158"/>
      <c r="AB254" s="228"/>
      <c r="AC254" s="228"/>
      <c r="AD254" s="228"/>
      <c r="AE254" s="228"/>
      <c r="AF254" s="228"/>
      <c r="AG254" s="113"/>
    </row>
    <row r="255" spans="18:33">
      <c r="R255" s="164"/>
      <c r="S255" s="231"/>
      <c r="T255" s="231"/>
      <c r="U255" s="114"/>
      <c r="V255" s="228"/>
      <c r="W255" s="158"/>
      <c r="X255" s="155"/>
      <c r="Y255" s="158"/>
      <c r="Z255" s="158"/>
      <c r="AB255" s="228"/>
      <c r="AC255" s="228"/>
      <c r="AD255" s="228"/>
      <c r="AE255" s="228"/>
      <c r="AF255" s="228"/>
      <c r="AG255" s="113"/>
    </row>
  </sheetData>
  <sortState ref="B7:AI306">
    <sortCondition ref="AI6"/>
  </sortState>
  <mergeCells count="28">
    <mergeCell ref="AH3:AH4"/>
    <mergeCell ref="W3:W4"/>
    <mergeCell ref="X3:X4"/>
    <mergeCell ref="Y3:Y4"/>
    <mergeCell ref="Z3:Z4"/>
    <mergeCell ref="AA3:AA4"/>
    <mergeCell ref="AD3:AD4"/>
    <mergeCell ref="AG3:AG4"/>
    <mergeCell ref="AF3:AF4"/>
    <mergeCell ref="AB3:AB4"/>
    <mergeCell ref="AC3:AC4"/>
    <mergeCell ref="AE3:AE4"/>
    <mergeCell ref="U3:U4"/>
    <mergeCell ref="L3:R3"/>
    <mergeCell ref="S3:T3"/>
    <mergeCell ref="V3:V4"/>
    <mergeCell ref="A2:O2"/>
    <mergeCell ref="A3:A4"/>
    <mergeCell ref="B3:B4"/>
    <mergeCell ref="C3:C4"/>
    <mergeCell ref="F3:F4"/>
    <mergeCell ref="G3:G4"/>
    <mergeCell ref="H3:H4"/>
    <mergeCell ref="I3:I4"/>
    <mergeCell ref="J3:J4"/>
    <mergeCell ref="K3:K4"/>
    <mergeCell ref="D3:D4"/>
    <mergeCell ref="E3:E4"/>
  </mergeCells>
  <dataValidations count="3">
    <dataValidation allowBlank="1" showInputMessage="1" showErrorMessage="1" errorTitle="Lỗi nhập liệu" error="Dữ liệu chưa hợp lý" sqref="Z7:AA235 L7:N235"/>
    <dataValidation type="list" allowBlank="1" showInputMessage="1" showErrorMessage="1" errorTitle="Lỗi nhập liệu" error="Dữ liệu chưa hợp lý" sqref="X7:X235">
      <formula1>Dân_tộc</formula1>
    </dataValidation>
    <dataValidation allowBlank="1" showInputMessage="1" showErrorMessage="1" errorTitle="Lỗi nhập liệu" error="Dữ liệu không theo tiêu chuẩn" sqref="D7:D235"/>
  </dataValidations>
  <pageMargins left="0.7" right="0.7" top="0.75" bottom="0.75" header="0.3" footer="0.3"/>
  <pageSetup paperSize="8" orientation="landscape" r:id="rId1"/>
  <drawing r:id="rId2"/>
  <legacyDrawing r:id="rId3"/>
  <controls>
    <mc:AlternateContent xmlns:mc="http://schemas.openxmlformats.org/markup-compatibility/2006">
      <mc:Choice Requires="x14">
        <control shapeId="2050" r:id="rId4" name="ComboBox1">
          <controlPr defaultSize="0" print="0" autoLine="0" r:id="rId5">
            <anchor moveWithCells="1">
              <from>
                <xdr:col>20</xdr:col>
                <xdr:colOff>0</xdr:colOff>
                <xdr:row>7</xdr:row>
                <xdr:rowOff>0</xdr:rowOff>
              </from>
              <to>
                <xdr:col>21</xdr:col>
                <xdr:colOff>0</xdr:colOff>
                <xdr:row>8</xdr:row>
                <xdr:rowOff>0</xdr:rowOff>
              </to>
            </anchor>
          </controlPr>
        </control>
      </mc:Choice>
      <mc:Fallback>
        <control shapeId="2050" r:id="rId4" name="Combo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 id="{66317393-BB83-474D-A798-B2B1CCA3D028}">
            <xm:f>AND($N7&lt;&gt;"",$N7='E:\Quản lý Đảng viên\[Quan_ly_DV1.xlsm]ThietLap'!#REF!)</xm:f>
            <x14:dxf>
              <fill>
                <patternFill>
                  <bgColor theme="0" tint="-0.14996795556505021"/>
                </patternFill>
              </fill>
            </x14:dxf>
          </x14:cfRule>
          <x14:cfRule type="expression" priority="11" id="{D7A418D8-90AC-4092-B274-8FAA92CA7CB4}">
            <xm:f>AND($W7&lt;&gt;"",$W7&gt;='E:\Quản lý Đảng viên\[Quan_ly_DV1.xlsm]DK'!#REF!,$W7&lt;='E:\Quản lý Đảng viên\[Quan_ly_DV1.xlsm]DK'!#REF!)</xm:f>
            <x14:dxf>
              <fill>
                <patternFill>
                  <bgColor theme="7" tint="0.79998168889431442"/>
                </patternFill>
              </fill>
            </x14:dxf>
          </x14:cfRule>
          <x14:cfRule type="expression" priority="12" id="{88D6ACA8-AC91-4908-AD99-6F6BF8D6ABC9}">
            <xm:f>AND($M7&lt;&gt;"",$M7&gt;='E:\Quản lý Đảng viên\[Quan_ly_DV1.xlsm]DK'!#REF!,$M7&lt;='E:\Quản lý Đảng viên\[Quan_ly_DV1.xlsm]DK'!#REF!)</xm:f>
            <x14:dxf>
              <fill>
                <patternFill>
                  <bgColor theme="4" tint="0.59996337778862885"/>
                </patternFill>
              </fill>
            </x14:dxf>
          </x14:cfRule>
          <xm:sqref>V7:AA235</xm:sqref>
        </x14:conditionalFormatting>
        <x14:conditionalFormatting xmlns:xm="http://schemas.microsoft.com/office/excel/2006/main">
          <x14:cfRule type="expression" priority="96" id="{7AED382D-B010-435C-8206-507FAE29CA22}">
            <xm:f>AND(#REF!&lt;&gt;"",#REF!=ThietLap!$B$23)</xm:f>
            <x14:dxf>
              <fill>
                <patternFill>
                  <bgColor theme="0" tint="-0.14996795556505021"/>
                </patternFill>
              </fill>
            </x14:dxf>
          </x14:cfRule>
          <x14:cfRule type="expression" priority="97" id="{00000000-000E-0000-0300-000007000000}">
            <xm:f>AND($AF7&lt;&gt;"",$AF7&gt;=DK!$C$19,$AF7&lt;=DK!$C$20)</xm:f>
            <x14:dxf>
              <fill>
                <patternFill>
                  <bgColor theme="7" tint="0.79998168889431442"/>
                </patternFill>
              </fill>
            </x14:dxf>
          </x14:cfRule>
          <x14:cfRule type="expression" priority="98" id="{00000000-000E-0000-0300-000006000000}">
            <xm:f>AND(#REF!&lt;&gt;"",#REF!&gt;=DK!$C$19,#REF!&lt;=DK!$C$20)</xm:f>
            <x14:dxf>
              <fill>
                <patternFill>
                  <bgColor theme="4" tint="0.59996337778862885"/>
                </patternFill>
              </fill>
            </x14:dxf>
          </x14:cfRule>
          <xm:sqref>T7:U235 AB7:AC235 AE7:AF235 A7:Q235</xm:sqref>
        </x14:conditionalFormatting>
        <x14:conditionalFormatting xmlns:xm="http://schemas.microsoft.com/office/excel/2006/main">
          <x14:cfRule type="expression" priority="111" id="{F8BB14FB-C892-4326-9447-E141C98DF5B4}">
            <xm:f>AND(#REF!&lt;&gt;"",#REF!=ThietLap!$B$23)</xm:f>
            <x14:dxf>
              <fill>
                <patternFill>
                  <bgColor theme="0" tint="-0.14996795556505021"/>
                </patternFill>
              </fill>
            </x14:dxf>
          </x14:cfRule>
          <x14:cfRule type="expression" priority="112" id="{639CE411-E8EE-4130-A908-529EFBA92B5A}">
            <xm:f>AND($AF7&lt;&gt;"",$AF7&gt;=DK!$C$19,$AF7&lt;=DK!$C$20)</xm:f>
            <x14:dxf>
              <fill>
                <patternFill>
                  <bgColor theme="7" tint="0.79998168889431442"/>
                </patternFill>
              </fill>
            </x14:dxf>
          </x14:cfRule>
          <x14:cfRule type="expression" priority="113" id="{12AA6131-23D6-4822-94FF-EA504886863C}">
            <xm:f>AND(#REF!&lt;&gt;"",#REF!&gt;=DK!$C$19,#REF!&lt;=DK!$C$20)</xm:f>
            <x14:dxf>
              <fill>
                <patternFill>
                  <bgColor theme="4" tint="0.59996337778862885"/>
                </patternFill>
              </fill>
            </x14:dxf>
          </x14:cfRule>
          <xm:sqref>S7:S235</xm:sqref>
        </x14:conditionalFormatting>
        <x14:conditionalFormatting xmlns:xm="http://schemas.microsoft.com/office/excel/2006/main">
          <x14:cfRule type="expression" priority="114" id="{F2615EFA-FB05-4D41-B8CA-F1A6EE4E1B64}">
            <xm:f>AND(#REF!&lt;&gt;"",#REF!=ThietLap!$B$23)</xm:f>
            <x14:dxf>
              <fill>
                <patternFill>
                  <bgColor theme="0" tint="-0.14996795556505021"/>
                </patternFill>
              </fill>
            </x14:dxf>
          </x14:cfRule>
          <x14:cfRule type="expression" priority="115" id="{97DEC962-BF7F-4D68-BCB6-90086E6AD74D}">
            <xm:f>AND($AF7&lt;&gt;"",$AF7&gt;=DK!$C$19,$AF7&lt;=DK!$C$20)</xm:f>
            <x14:dxf>
              <fill>
                <patternFill>
                  <bgColor theme="7" tint="0.79998168889431442"/>
                </patternFill>
              </fill>
            </x14:dxf>
          </x14:cfRule>
          <x14:cfRule type="expression" priority="116" id="{23898439-DDCF-4203-AE83-C970B2E1EDD9}">
            <xm:f>AND(#REF!&lt;&gt;"",#REF!&gt;=DK!$C$19,#REF!&lt;=DK!$C$20)</xm:f>
            <x14:dxf>
              <fill>
                <patternFill>
                  <bgColor theme="4" tint="0.59996337778862885"/>
                </patternFill>
              </fill>
            </x14:dxf>
          </x14:cfRule>
          <xm:sqref>R7:R235</xm:sqref>
        </x14:conditionalFormatting>
        <x14:conditionalFormatting xmlns:xm="http://schemas.microsoft.com/office/excel/2006/main">
          <x14:cfRule type="expression" priority="117" id="{39F2290B-E795-4051-8901-EB7AC8B95D66}">
            <xm:f>AND(#REF!&lt;&gt;"",#REF!=ThietLap!$B$23)</xm:f>
            <x14:dxf>
              <fill>
                <patternFill>
                  <bgColor theme="0" tint="-0.14996795556505021"/>
                </patternFill>
              </fill>
            </x14:dxf>
          </x14:cfRule>
          <x14:cfRule type="expression" priority="118" id="{9AF0A5EB-5B61-4897-BFEE-2BDB8E143ED4}">
            <xm:f>AND($AF7&lt;&gt;"",$AF7&gt;=DK!$C$19,$AF7&lt;=DK!$C$20)</xm:f>
            <x14:dxf>
              <fill>
                <patternFill>
                  <bgColor theme="7" tint="0.79998168889431442"/>
                </patternFill>
              </fill>
            </x14:dxf>
          </x14:cfRule>
          <x14:cfRule type="expression" priority="119" id="{25672E1D-CDAC-457B-9A79-81A8E0F93641}">
            <xm:f>AND(#REF!&lt;&gt;"",#REF!&gt;=DK!$C$19,#REF!&lt;=DK!$C$20)</xm:f>
            <x14:dxf>
              <fill>
                <patternFill>
                  <bgColor theme="4" tint="0.59996337778862885"/>
                </patternFill>
              </fill>
            </x14:dxf>
          </x14:cfRule>
          <xm:sqref>AD7:AD235 AG7:AH235</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errorTitle="Lỗi nhập liệu" error="Dữ liệu không theo tiêu chuẩn">
          <x14:formula1>
            <xm:f>ThietLap!$C$9:$C$10</xm:f>
          </x14:formula1>
          <xm:sqref>H7:H235</xm:sqref>
        </x14:dataValidation>
        <x14:dataValidation type="list" allowBlank="1" showInputMessage="1" showErrorMessage="1" errorTitle="Lỗi nhập liệu" error="Dữ liệu không theo tiêu chuẩn">
          <x14:formula1>
            <xm:f>ThietLap!$U$2:$U$18</xm:f>
          </x14:formula1>
          <xm:sqref>I7:I235</xm:sqref>
        </x14:dataValidation>
        <x14:dataValidation type="list" allowBlank="1" showInputMessage="1" showErrorMessage="1" errorTitle="Lỗi nhập liệu" error="Dữ liệu không theo tiêu chuẩn">
          <x14:formula1>
            <xm:f>ThietLap!$D$9:$D$15</xm:f>
          </x14:formula1>
          <xm:sqref>J7:J235</xm:sqref>
        </x14:dataValidation>
        <x14:dataValidation type="list" allowBlank="1" showInputMessage="1" showErrorMessage="1">
          <x14:formula1>
            <xm:f>ThietLap!$F$9:$F$15</xm:f>
          </x14:formula1>
          <xm:sqref>T7:T235</xm:sqref>
        </x14:dataValidation>
        <x14:dataValidation type="list" allowBlank="1" showInputMessage="1" showErrorMessage="1" errorTitle="Lỗi nhập liệu" error="Dữ liệu chưa hợp lý">
          <x14:formula1>
            <xm:f>ThietLap!$T$2:$T$14</xm:f>
          </x14:formula1>
          <xm:sqref>Y7:Y235</xm:sqref>
        </x14:dataValidation>
        <x14:dataValidation type="list" allowBlank="1" showInputMessage="1" showErrorMessage="1">
          <x14:formula1>
            <xm:f>ThietLap!$I$9:$I$13</xm:f>
          </x14:formula1>
          <xm:sqref>AB7:AB235</xm:sqref>
        </x14:dataValidation>
        <x14:dataValidation type="list" allowBlank="1" showInputMessage="1" showErrorMessage="1">
          <x14:formula1>
            <xm:f>ThietLap!$H$9:$H$12</xm:f>
          </x14:formula1>
          <xm:sqref>AC7:AC235</xm:sqref>
        </x14:dataValidation>
        <x14:dataValidation type="list" allowBlank="1" showInputMessage="1" showErrorMessage="1">
          <x14:formula1>
            <xm:f>ThietLap!$E$9:$E$12</xm:f>
          </x14:formula1>
          <xm:sqref>AF7:AF235</xm:sqref>
        </x14:dataValidation>
        <x14:dataValidation type="list" allowBlank="1" showInputMessage="1" showErrorMessage="1">
          <x14:formula1>
            <xm:f>ThietLap!$G$9:$G$13</xm:f>
          </x14:formula1>
          <xm:sqref>AD7:AD235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Y1517"/>
  <sheetViews>
    <sheetView showGridLines="0" showZeros="0" zoomScale="85" zoomScaleNormal="85" workbookViewId="0">
      <pane ySplit="1" topLeftCell="A2" activePane="bottomLeft" state="frozen"/>
      <selection activeCell="C13" sqref="C13"/>
      <selection pane="bottomLeft" activeCell="A2" sqref="A2"/>
    </sheetView>
  </sheetViews>
  <sheetFormatPr defaultColWidth="11.5703125" defaultRowHeight="12.75"/>
  <cols>
    <col min="1" max="1" width="3.85546875" style="133" customWidth="1"/>
    <col min="2" max="2" width="14.5703125" style="6" customWidth="1"/>
    <col min="3" max="3" width="10.7109375" style="6" customWidth="1"/>
    <col min="4" max="4" width="10.7109375" style="135" customWidth="1"/>
    <col min="5" max="7" width="10.7109375" style="7" customWidth="1"/>
    <col min="8" max="8" width="2.7109375" style="6" customWidth="1"/>
    <col min="9" max="17" width="2.7109375" style="143" customWidth="1"/>
    <col min="18" max="18" width="3.85546875" style="143" customWidth="1"/>
    <col min="19" max="19" width="11.5703125" style="6"/>
    <col min="20" max="20" width="19.5703125" style="6" customWidth="1"/>
    <col min="21" max="33" width="16.5703125" style="6" customWidth="1"/>
    <col min="34" max="265" width="11.5703125" style="6"/>
    <col min="266" max="266" width="5.5703125" style="6" customWidth="1"/>
    <col min="267" max="267" width="18.42578125" style="6" customWidth="1"/>
    <col min="268" max="268" width="26.140625" style="6" customWidth="1"/>
    <col min="269" max="269" width="11.85546875" style="6" customWidth="1"/>
    <col min="270" max="270" width="15.85546875" style="6" customWidth="1"/>
    <col min="271" max="271" width="6.42578125" style="6" customWidth="1"/>
    <col min="272" max="521" width="11.5703125" style="6"/>
    <col min="522" max="522" width="5.5703125" style="6" customWidth="1"/>
    <col min="523" max="523" width="18.42578125" style="6" customWidth="1"/>
    <col min="524" max="524" width="26.140625" style="6" customWidth="1"/>
    <col min="525" max="525" width="11.85546875" style="6" customWidth="1"/>
    <col min="526" max="526" width="15.85546875" style="6" customWidth="1"/>
    <col min="527" max="527" width="6.42578125" style="6" customWidth="1"/>
    <col min="528" max="777" width="11.5703125" style="6"/>
    <col min="778" max="778" width="5.5703125" style="6" customWidth="1"/>
    <col min="779" max="779" width="18.42578125" style="6" customWidth="1"/>
    <col min="780" max="780" width="26.140625" style="6" customWidth="1"/>
    <col min="781" max="781" width="11.85546875" style="6" customWidth="1"/>
    <col min="782" max="782" width="15.85546875" style="6" customWidth="1"/>
    <col min="783" max="783" width="6.42578125" style="6" customWidth="1"/>
    <col min="784" max="1033" width="11.5703125" style="6"/>
    <col min="1034" max="1034" width="5.5703125" style="6" customWidth="1"/>
    <col min="1035" max="1035" width="18.42578125" style="6" customWidth="1"/>
    <col min="1036" max="1036" width="26.140625" style="6" customWidth="1"/>
    <col min="1037" max="1037" width="11.85546875" style="6" customWidth="1"/>
    <col min="1038" max="1038" width="15.85546875" style="6" customWidth="1"/>
    <col min="1039" max="1039" width="6.42578125" style="6" customWidth="1"/>
    <col min="1040" max="1289" width="11.5703125" style="6"/>
    <col min="1290" max="1290" width="5.5703125" style="6" customWidth="1"/>
    <col min="1291" max="1291" width="18.42578125" style="6" customWidth="1"/>
    <col min="1292" max="1292" width="26.140625" style="6" customWidth="1"/>
    <col min="1293" max="1293" width="11.85546875" style="6" customWidth="1"/>
    <col min="1294" max="1294" width="15.85546875" style="6" customWidth="1"/>
    <col min="1295" max="1295" width="6.42578125" style="6" customWidth="1"/>
    <col min="1296" max="1545" width="11.5703125" style="6"/>
    <col min="1546" max="1546" width="5.5703125" style="6" customWidth="1"/>
    <col min="1547" max="1547" width="18.42578125" style="6" customWidth="1"/>
    <col min="1548" max="1548" width="26.140625" style="6" customWidth="1"/>
    <col min="1549" max="1549" width="11.85546875" style="6" customWidth="1"/>
    <col min="1550" max="1550" width="15.85546875" style="6" customWidth="1"/>
    <col min="1551" max="1551" width="6.42578125" style="6" customWidth="1"/>
    <col min="1552" max="1801" width="11.5703125" style="6"/>
    <col min="1802" max="1802" width="5.5703125" style="6" customWidth="1"/>
    <col min="1803" max="1803" width="18.42578125" style="6" customWidth="1"/>
    <col min="1804" max="1804" width="26.140625" style="6" customWidth="1"/>
    <col min="1805" max="1805" width="11.85546875" style="6" customWidth="1"/>
    <col min="1806" max="1806" width="15.85546875" style="6" customWidth="1"/>
    <col min="1807" max="1807" width="6.42578125" style="6" customWidth="1"/>
    <col min="1808" max="2057" width="11.5703125" style="6"/>
    <col min="2058" max="2058" width="5.5703125" style="6" customWidth="1"/>
    <col min="2059" max="2059" width="18.42578125" style="6" customWidth="1"/>
    <col min="2060" max="2060" width="26.140625" style="6" customWidth="1"/>
    <col min="2061" max="2061" width="11.85546875" style="6" customWidth="1"/>
    <col min="2062" max="2062" width="15.85546875" style="6" customWidth="1"/>
    <col min="2063" max="2063" width="6.42578125" style="6" customWidth="1"/>
    <col min="2064" max="2313" width="11.5703125" style="6"/>
    <col min="2314" max="2314" width="5.5703125" style="6" customWidth="1"/>
    <col min="2315" max="2315" width="18.42578125" style="6" customWidth="1"/>
    <col min="2316" max="2316" width="26.140625" style="6" customWidth="1"/>
    <col min="2317" max="2317" width="11.85546875" style="6" customWidth="1"/>
    <col min="2318" max="2318" width="15.85546875" style="6" customWidth="1"/>
    <col min="2319" max="2319" width="6.42578125" style="6" customWidth="1"/>
    <col min="2320" max="2569" width="11.5703125" style="6"/>
    <col min="2570" max="2570" width="5.5703125" style="6" customWidth="1"/>
    <col min="2571" max="2571" width="18.42578125" style="6" customWidth="1"/>
    <col min="2572" max="2572" width="26.140625" style="6" customWidth="1"/>
    <col min="2573" max="2573" width="11.85546875" style="6" customWidth="1"/>
    <col min="2574" max="2574" width="15.85546875" style="6" customWidth="1"/>
    <col min="2575" max="2575" width="6.42578125" style="6" customWidth="1"/>
    <col min="2576" max="2825" width="11.5703125" style="6"/>
    <col min="2826" max="2826" width="5.5703125" style="6" customWidth="1"/>
    <col min="2827" max="2827" width="18.42578125" style="6" customWidth="1"/>
    <col min="2828" max="2828" width="26.140625" style="6" customWidth="1"/>
    <col min="2829" max="2829" width="11.85546875" style="6" customWidth="1"/>
    <col min="2830" max="2830" width="15.85546875" style="6" customWidth="1"/>
    <col min="2831" max="2831" width="6.42578125" style="6" customWidth="1"/>
    <col min="2832" max="3081" width="11.5703125" style="6"/>
    <col min="3082" max="3082" width="5.5703125" style="6" customWidth="1"/>
    <col min="3083" max="3083" width="18.42578125" style="6" customWidth="1"/>
    <col min="3084" max="3084" width="26.140625" style="6" customWidth="1"/>
    <col min="3085" max="3085" width="11.85546875" style="6" customWidth="1"/>
    <col min="3086" max="3086" width="15.85546875" style="6" customWidth="1"/>
    <col min="3087" max="3087" width="6.42578125" style="6" customWidth="1"/>
    <col min="3088" max="3337" width="11.5703125" style="6"/>
    <col min="3338" max="3338" width="5.5703125" style="6" customWidth="1"/>
    <col min="3339" max="3339" width="18.42578125" style="6" customWidth="1"/>
    <col min="3340" max="3340" width="26.140625" style="6" customWidth="1"/>
    <col min="3341" max="3341" width="11.85546875" style="6" customWidth="1"/>
    <col min="3342" max="3342" width="15.85546875" style="6" customWidth="1"/>
    <col min="3343" max="3343" width="6.42578125" style="6" customWidth="1"/>
    <col min="3344" max="3593" width="11.5703125" style="6"/>
    <col min="3594" max="3594" width="5.5703125" style="6" customWidth="1"/>
    <col min="3595" max="3595" width="18.42578125" style="6" customWidth="1"/>
    <col min="3596" max="3596" width="26.140625" style="6" customWidth="1"/>
    <col min="3597" max="3597" width="11.85546875" style="6" customWidth="1"/>
    <col min="3598" max="3598" width="15.85546875" style="6" customWidth="1"/>
    <col min="3599" max="3599" width="6.42578125" style="6" customWidth="1"/>
    <col min="3600" max="3849" width="11.5703125" style="6"/>
    <col min="3850" max="3850" width="5.5703125" style="6" customWidth="1"/>
    <col min="3851" max="3851" width="18.42578125" style="6" customWidth="1"/>
    <col min="3852" max="3852" width="26.140625" style="6" customWidth="1"/>
    <col min="3853" max="3853" width="11.85546875" style="6" customWidth="1"/>
    <col min="3854" max="3854" width="15.85546875" style="6" customWidth="1"/>
    <col min="3855" max="3855" width="6.42578125" style="6" customWidth="1"/>
    <col min="3856" max="4105" width="11.5703125" style="6"/>
    <col min="4106" max="4106" width="5.5703125" style="6" customWidth="1"/>
    <col min="4107" max="4107" width="18.42578125" style="6" customWidth="1"/>
    <col min="4108" max="4108" width="26.140625" style="6" customWidth="1"/>
    <col min="4109" max="4109" width="11.85546875" style="6" customWidth="1"/>
    <col min="4110" max="4110" width="15.85546875" style="6" customWidth="1"/>
    <col min="4111" max="4111" width="6.42578125" style="6" customWidth="1"/>
    <col min="4112" max="4361" width="11.5703125" style="6"/>
    <col min="4362" max="4362" width="5.5703125" style="6" customWidth="1"/>
    <col min="4363" max="4363" width="18.42578125" style="6" customWidth="1"/>
    <col min="4364" max="4364" width="26.140625" style="6" customWidth="1"/>
    <col min="4365" max="4365" width="11.85546875" style="6" customWidth="1"/>
    <col min="4366" max="4366" width="15.85546875" style="6" customWidth="1"/>
    <col min="4367" max="4367" width="6.42578125" style="6" customWidth="1"/>
    <col min="4368" max="4617" width="11.5703125" style="6"/>
    <col min="4618" max="4618" width="5.5703125" style="6" customWidth="1"/>
    <col min="4619" max="4619" width="18.42578125" style="6" customWidth="1"/>
    <col min="4620" max="4620" width="26.140625" style="6" customWidth="1"/>
    <col min="4621" max="4621" width="11.85546875" style="6" customWidth="1"/>
    <col min="4622" max="4622" width="15.85546875" style="6" customWidth="1"/>
    <col min="4623" max="4623" width="6.42578125" style="6" customWidth="1"/>
    <col min="4624" max="4873" width="11.5703125" style="6"/>
    <col min="4874" max="4874" width="5.5703125" style="6" customWidth="1"/>
    <col min="4875" max="4875" width="18.42578125" style="6" customWidth="1"/>
    <col min="4876" max="4876" width="26.140625" style="6" customWidth="1"/>
    <col min="4877" max="4877" width="11.85546875" style="6" customWidth="1"/>
    <col min="4878" max="4878" width="15.85546875" style="6" customWidth="1"/>
    <col min="4879" max="4879" width="6.42578125" style="6" customWidth="1"/>
    <col min="4880" max="5129" width="11.5703125" style="6"/>
    <col min="5130" max="5130" width="5.5703125" style="6" customWidth="1"/>
    <col min="5131" max="5131" width="18.42578125" style="6" customWidth="1"/>
    <col min="5132" max="5132" width="26.140625" style="6" customWidth="1"/>
    <col min="5133" max="5133" width="11.85546875" style="6" customWidth="1"/>
    <col min="5134" max="5134" width="15.85546875" style="6" customWidth="1"/>
    <col min="5135" max="5135" width="6.42578125" style="6" customWidth="1"/>
    <col min="5136" max="5385" width="11.5703125" style="6"/>
    <col min="5386" max="5386" width="5.5703125" style="6" customWidth="1"/>
    <col min="5387" max="5387" width="18.42578125" style="6" customWidth="1"/>
    <col min="5388" max="5388" width="26.140625" style="6" customWidth="1"/>
    <col min="5389" max="5389" width="11.85546875" style="6" customWidth="1"/>
    <col min="5390" max="5390" width="15.85546875" style="6" customWidth="1"/>
    <col min="5391" max="5391" width="6.42578125" style="6" customWidth="1"/>
    <col min="5392" max="5641" width="11.5703125" style="6"/>
    <col min="5642" max="5642" width="5.5703125" style="6" customWidth="1"/>
    <col min="5643" max="5643" width="18.42578125" style="6" customWidth="1"/>
    <col min="5644" max="5644" width="26.140625" style="6" customWidth="1"/>
    <col min="5645" max="5645" width="11.85546875" style="6" customWidth="1"/>
    <col min="5646" max="5646" width="15.85546875" style="6" customWidth="1"/>
    <col min="5647" max="5647" width="6.42578125" style="6" customWidth="1"/>
    <col min="5648" max="5897" width="11.5703125" style="6"/>
    <col min="5898" max="5898" width="5.5703125" style="6" customWidth="1"/>
    <col min="5899" max="5899" width="18.42578125" style="6" customWidth="1"/>
    <col min="5900" max="5900" width="26.140625" style="6" customWidth="1"/>
    <col min="5901" max="5901" width="11.85546875" style="6" customWidth="1"/>
    <col min="5902" max="5902" width="15.85546875" style="6" customWidth="1"/>
    <col min="5903" max="5903" width="6.42578125" style="6" customWidth="1"/>
    <col min="5904" max="6153" width="11.5703125" style="6"/>
    <col min="6154" max="6154" width="5.5703125" style="6" customWidth="1"/>
    <col min="6155" max="6155" width="18.42578125" style="6" customWidth="1"/>
    <col min="6156" max="6156" width="26.140625" style="6" customWidth="1"/>
    <col min="6157" max="6157" width="11.85546875" style="6" customWidth="1"/>
    <col min="6158" max="6158" width="15.85546875" style="6" customWidth="1"/>
    <col min="6159" max="6159" width="6.42578125" style="6" customWidth="1"/>
    <col min="6160" max="6409" width="11.5703125" style="6"/>
    <col min="6410" max="6410" width="5.5703125" style="6" customWidth="1"/>
    <col min="6411" max="6411" width="18.42578125" style="6" customWidth="1"/>
    <col min="6412" max="6412" width="26.140625" style="6" customWidth="1"/>
    <col min="6413" max="6413" width="11.85546875" style="6" customWidth="1"/>
    <col min="6414" max="6414" width="15.85546875" style="6" customWidth="1"/>
    <col min="6415" max="6415" width="6.42578125" style="6" customWidth="1"/>
    <col min="6416" max="6665" width="11.5703125" style="6"/>
    <col min="6666" max="6666" width="5.5703125" style="6" customWidth="1"/>
    <col min="6667" max="6667" width="18.42578125" style="6" customWidth="1"/>
    <col min="6668" max="6668" width="26.140625" style="6" customWidth="1"/>
    <col min="6669" max="6669" width="11.85546875" style="6" customWidth="1"/>
    <col min="6670" max="6670" width="15.85546875" style="6" customWidth="1"/>
    <col min="6671" max="6671" width="6.42578125" style="6" customWidth="1"/>
    <col min="6672" max="6921" width="11.5703125" style="6"/>
    <col min="6922" max="6922" width="5.5703125" style="6" customWidth="1"/>
    <col min="6923" max="6923" width="18.42578125" style="6" customWidth="1"/>
    <col min="6924" max="6924" width="26.140625" style="6" customWidth="1"/>
    <col min="6925" max="6925" width="11.85546875" style="6" customWidth="1"/>
    <col min="6926" max="6926" width="15.85546875" style="6" customWidth="1"/>
    <col min="6927" max="6927" width="6.42578125" style="6" customWidth="1"/>
    <col min="6928" max="7177" width="11.5703125" style="6"/>
    <col min="7178" max="7178" width="5.5703125" style="6" customWidth="1"/>
    <col min="7179" max="7179" width="18.42578125" style="6" customWidth="1"/>
    <col min="7180" max="7180" width="26.140625" style="6" customWidth="1"/>
    <col min="7181" max="7181" width="11.85546875" style="6" customWidth="1"/>
    <col min="7182" max="7182" width="15.85546875" style="6" customWidth="1"/>
    <col min="7183" max="7183" width="6.42578125" style="6" customWidth="1"/>
    <col min="7184" max="7433" width="11.5703125" style="6"/>
    <col min="7434" max="7434" width="5.5703125" style="6" customWidth="1"/>
    <col min="7435" max="7435" width="18.42578125" style="6" customWidth="1"/>
    <col min="7436" max="7436" width="26.140625" style="6" customWidth="1"/>
    <col min="7437" max="7437" width="11.85546875" style="6" customWidth="1"/>
    <col min="7438" max="7438" width="15.85546875" style="6" customWidth="1"/>
    <col min="7439" max="7439" width="6.42578125" style="6" customWidth="1"/>
    <col min="7440" max="7689" width="11.5703125" style="6"/>
    <col min="7690" max="7690" width="5.5703125" style="6" customWidth="1"/>
    <col min="7691" max="7691" width="18.42578125" style="6" customWidth="1"/>
    <col min="7692" max="7692" width="26.140625" style="6" customWidth="1"/>
    <col min="7693" max="7693" width="11.85546875" style="6" customWidth="1"/>
    <col min="7694" max="7694" width="15.85546875" style="6" customWidth="1"/>
    <col min="7695" max="7695" width="6.42578125" style="6" customWidth="1"/>
    <col min="7696" max="7945" width="11.5703125" style="6"/>
    <col min="7946" max="7946" width="5.5703125" style="6" customWidth="1"/>
    <col min="7947" max="7947" width="18.42578125" style="6" customWidth="1"/>
    <col min="7948" max="7948" width="26.140625" style="6" customWidth="1"/>
    <col min="7949" max="7949" width="11.85546875" style="6" customWidth="1"/>
    <col min="7950" max="7950" width="15.85546875" style="6" customWidth="1"/>
    <col min="7951" max="7951" width="6.42578125" style="6" customWidth="1"/>
    <col min="7952" max="8201" width="11.5703125" style="6"/>
    <col min="8202" max="8202" width="5.5703125" style="6" customWidth="1"/>
    <col min="8203" max="8203" width="18.42578125" style="6" customWidth="1"/>
    <col min="8204" max="8204" width="26.140625" style="6" customWidth="1"/>
    <col min="8205" max="8205" width="11.85546875" style="6" customWidth="1"/>
    <col min="8206" max="8206" width="15.85546875" style="6" customWidth="1"/>
    <col min="8207" max="8207" width="6.42578125" style="6" customWidth="1"/>
    <col min="8208" max="8457" width="11.5703125" style="6"/>
    <col min="8458" max="8458" width="5.5703125" style="6" customWidth="1"/>
    <col min="8459" max="8459" width="18.42578125" style="6" customWidth="1"/>
    <col min="8460" max="8460" width="26.140625" style="6" customWidth="1"/>
    <col min="8461" max="8461" width="11.85546875" style="6" customWidth="1"/>
    <col min="8462" max="8462" width="15.85546875" style="6" customWidth="1"/>
    <col min="8463" max="8463" width="6.42578125" style="6" customWidth="1"/>
    <col min="8464" max="8713" width="11.5703125" style="6"/>
    <col min="8714" max="8714" width="5.5703125" style="6" customWidth="1"/>
    <col min="8715" max="8715" width="18.42578125" style="6" customWidth="1"/>
    <col min="8716" max="8716" width="26.140625" style="6" customWidth="1"/>
    <col min="8717" max="8717" width="11.85546875" style="6" customWidth="1"/>
    <col min="8718" max="8718" width="15.85546875" style="6" customWidth="1"/>
    <col min="8719" max="8719" width="6.42578125" style="6" customWidth="1"/>
    <col min="8720" max="8969" width="11.5703125" style="6"/>
    <col min="8970" max="8970" width="5.5703125" style="6" customWidth="1"/>
    <col min="8971" max="8971" width="18.42578125" style="6" customWidth="1"/>
    <col min="8972" max="8972" width="26.140625" style="6" customWidth="1"/>
    <col min="8973" max="8973" width="11.85546875" style="6" customWidth="1"/>
    <col min="8974" max="8974" width="15.85546875" style="6" customWidth="1"/>
    <col min="8975" max="8975" width="6.42578125" style="6" customWidth="1"/>
    <col min="8976" max="9225" width="11.5703125" style="6"/>
    <col min="9226" max="9226" width="5.5703125" style="6" customWidth="1"/>
    <col min="9227" max="9227" width="18.42578125" style="6" customWidth="1"/>
    <col min="9228" max="9228" width="26.140625" style="6" customWidth="1"/>
    <col min="9229" max="9229" width="11.85546875" style="6" customWidth="1"/>
    <col min="9230" max="9230" width="15.85546875" style="6" customWidth="1"/>
    <col min="9231" max="9231" width="6.42578125" style="6" customWidth="1"/>
    <col min="9232" max="9481" width="11.5703125" style="6"/>
    <col min="9482" max="9482" width="5.5703125" style="6" customWidth="1"/>
    <col min="9483" max="9483" width="18.42578125" style="6" customWidth="1"/>
    <col min="9484" max="9484" width="26.140625" style="6" customWidth="1"/>
    <col min="9485" max="9485" width="11.85546875" style="6" customWidth="1"/>
    <col min="9486" max="9486" width="15.85546875" style="6" customWidth="1"/>
    <col min="9487" max="9487" width="6.42578125" style="6" customWidth="1"/>
    <col min="9488" max="9737" width="11.5703125" style="6"/>
    <col min="9738" max="9738" width="5.5703125" style="6" customWidth="1"/>
    <col min="9739" max="9739" width="18.42578125" style="6" customWidth="1"/>
    <col min="9740" max="9740" width="26.140625" style="6" customWidth="1"/>
    <col min="9741" max="9741" width="11.85546875" style="6" customWidth="1"/>
    <col min="9742" max="9742" width="15.85546875" style="6" customWidth="1"/>
    <col min="9743" max="9743" width="6.42578125" style="6" customWidth="1"/>
    <col min="9744" max="9993" width="11.5703125" style="6"/>
    <col min="9994" max="9994" width="5.5703125" style="6" customWidth="1"/>
    <col min="9995" max="9995" width="18.42578125" style="6" customWidth="1"/>
    <col min="9996" max="9996" width="26.140625" style="6" customWidth="1"/>
    <col min="9997" max="9997" width="11.85546875" style="6" customWidth="1"/>
    <col min="9998" max="9998" width="15.85546875" style="6" customWidth="1"/>
    <col min="9999" max="9999" width="6.42578125" style="6" customWidth="1"/>
    <col min="10000" max="10249" width="11.5703125" style="6"/>
    <col min="10250" max="10250" width="5.5703125" style="6" customWidth="1"/>
    <col min="10251" max="10251" width="18.42578125" style="6" customWidth="1"/>
    <col min="10252" max="10252" width="26.140625" style="6" customWidth="1"/>
    <col min="10253" max="10253" width="11.85546875" style="6" customWidth="1"/>
    <col min="10254" max="10254" width="15.85546875" style="6" customWidth="1"/>
    <col min="10255" max="10255" width="6.42578125" style="6" customWidth="1"/>
    <col min="10256" max="10505" width="11.5703125" style="6"/>
    <col min="10506" max="10506" width="5.5703125" style="6" customWidth="1"/>
    <col min="10507" max="10507" width="18.42578125" style="6" customWidth="1"/>
    <col min="10508" max="10508" width="26.140625" style="6" customWidth="1"/>
    <col min="10509" max="10509" width="11.85546875" style="6" customWidth="1"/>
    <col min="10510" max="10510" width="15.85546875" style="6" customWidth="1"/>
    <col min="10511" max="10511" width="6.42578125" style="6" customWidth="1"/>
    <col min="10512" max="10761" width="11.5703125" style="6"/>
    <col min="10762" max="10762" width="5.5703125" style="6" customWidth="1"/>
    <col min="10763" max="10763" width="18.42578125" style="6" customWidth="1"/>
    <col min="10764" max="10764" width="26.140625" style="6" customWidth="1"/>
    <col min="10765" max="10765" width="11.85546875" style="6" customWidth="1"/>
    <col min="10766" max="10766" width="15.85546875" style="6" customWidth="1"/>
    <col min="10767" max="10767" width="6.42578125" style="6" customWidth="1"/>
    <col min="10768" max="11017" width="11.5703125" style="6"/>
    <col min="11018" max="11018" width="5.5703125" style="6" customWidth="1"/>
    <col min="11019" max="11019" width="18.42578125" style="6" customWidth="1"/>
    <col min="11020" max="11020" width="26.140625" style="6" customWidth="1"/>
    <col min="11021" max="11021" width="11.85546875" style="6" customWidth="1"/>
    <col min="11022" max="11022" width="15.85546875" style="6" customWidth="1"/>
    <col min="11023" max="11023" width="6.42578125" style="6" customWidth="1"/>
    <col min="11024" max="11273" width="11.5703125" style="6"/>
    <col min="11274" max="11274" width="5.5703125" style="6" customWidth="1"/>
    <col min="11275" max="11275" width="18.42578125" style="6" customWidth="1"/>
    <col min="11276" max="11276" width="26.140625" style="6" customWidth="1"/>
    <col min="11277" max="11277" width="11.85546875" style="6" customWidth="1"/>
    <col min="11278" max="11278" width="15.85546875" style="6" customWidth="1"/>
    <col min="11279" max="11279" width="6.42578125" style="6" customWidth="1"/>
    <col min="11280" max="11529" width="11.5703125" style="6"/>
    <col min="11530" max="11530" width="5.5703125" style="6" customWidth="1"/>
    <col min="11531" max="11531" width="18.42578125" style="6" customWidth="1"/>
    <col min="11532" max="11532" width="26.140625" style="6" customWidth="1"/>
    <col min="11533" max="11533" width="11.85546875" style="6" customWidth="1"/>
    <col min="11534" max="11534" width="15.85546875" style="6" customWidth="1"/>
    <col min="11535" max="11535" width="6.42578125" style="6" customWidth="1"/>
    <col min="11536" max="11785" width="11.5703125" style="6"/>
    <col min="11786" max="11786" width="5.5703125" style="6" customWidth="1"/>
    <col min="11787" max="11787" width="18.42578125" style="6" customWidth="1"/>
    <col min="11788" max="11788" width="26.140625" style="6" customWidth="1"/>
    <col min="11789" max="11789" width="11.85546875" style="6" customWidth="1"/>
    <col min="11790" max="11790" width="15.85546875" style="6" customWidth="1"/>
    <col min="11791" max="11791" width="6.42578125" style="6" customWidth="1"/>
    <col min="11792" max="12041" width="11.5703125" style="6"/>
    <col min="12042" max="12042" width="5.5703125" style="6" customWidth="1"/>
    <col min="12043" max="12043" width="18.42578125" style="6" customWidth="1"/>
    <col min="12044" max="12044" width="26.140625" style="6" customWidth="1"/>
    <col min="12045" max="12045" width="11.85546875" style="6" customWidth="1"/>
    <col min="12046" max="12046" width="15.85546875" style="6" customWidth="1"/>
    <col min="12047" max="12047" width="6.42578125" style="6" customWidth="1"/>
    <col min="12048" max="12297" width="11.5703125" style="6"/>
    <col min="12298" max="12298" width="5.5703125" style="6" customWidth="1"/>
    <col min="12299" max="12299" width="18.42578125" style="6" customWidth="1"/>
    <col min="12300" max="12300" width="26.140625" style="6" customWidth="1"/>
    <col min="12301" max="12301" width="11.85546875" style="6" customWidth="1"/>
    <col min="12302" max="12302" width="15.85546875" style="6" customWidth="1"/>
    <col min="12303" max="12303" width="6.42578125" style="6" customWidth="1"/>
    <col min="12304" max="12553" width="11.5703125" style="6"/>
    <col min="12554" max="12554" width="5.5703125" style="6" customWidth="1"/>
    <col min="12555" max="12555" width="18.42578125" style="6" customWidth="1"/>
    <col min="12556" max="12556" width="26.140625" style="6" customWidth="1"/>
    <col min="12557" max="12557" width="11.85546875" style="6" customWidth="1"/>
    <col min="12558" max="12558" width="15.85546875" style="6" customWidth="1"/>
    <col min="12559" max="12559" width="6.42578125" style="6" customWidth="1"/>
    <col min="12560" max="12809" width="11.5703125" style="6"/>
    <col min="12810" max="12810" width="5.5703125" style="6" customWidth="1"/>
    <col min="12811" max="12811" width="18.42578125" style="6" customWidth="1"/>
    <col min="12812" max="12812" width="26.140625" style="6" customWidth="1"/>
    <col min="12813" max="12813" width="11.85546875" style="6" customWidth="1"/>
    <col min="12814" max="12814" width="15.85546875" style="6" customWidth="1"/>
    <col min="12815" max="12815" width="6.42578125" style="6" customWidth="1"/>
    <col min="12816" max="13065" width="11.5703125" style="6"/>
    <col min="13066" max="13066" width="5.5703125" style="6" customWidth="1"/>
    <col min="13067" max="13067" width="18.42578125" style="6" customWidth="1"/>
    <col min="13068" max="13068" width="26.140625" style="6" customWidth="1"/>
    <col min="13069" max="13069" width="11.85546875" style="6" customWidth="1"/>
    <col min="13070" max="13070" width="15.85546875" style="6" customWidth="1"/>
    <col min="13071" max="13071" width="6.42578125" style="6" customWidth="1"/>
    <col min="13072" max="13321" width="11.5703125" style="6"/>
    <col min="13322" max="13322" width="5.5703125" style="6" customWidth="1"/>
    <col min="13323" max="13323" width="18.42578125" style="6" customWidth="1"/>
    <col min="13324" max="13324" width="26.140625" style="6" customWidth="1"/>
    <col min="13325" max="13325" width="11.85546875" style="6" customWidth="1"/>
    <col min="13326" max="13326" width="15.85546875" style="6" customWidth="1"/>
    <col min="13327" max="13327" width="6.42578125" style="6" customWidth="1"/>
    <col min="13328" max="13577" width="11.5703125" style="6"/>
    <col min="13578" max="13578" width="5.5703125" style="6" customWidth="1"/>
    <col min="13579" max="13579" width="18.42578125" style="6" customWidth="1"/>
    <col min="13580" max="13580" width="26.140625" style="6" customWidth="1"/>
    <col min="13581" max="13581" width="11.85546875" style="6" customWidth="1"/>
    <col min="13582" max="13582" width="15.85546875" style="6" customWidth="1"/>
    <col min="13583" max="13583" width="6.42578125" style="6" customWidth="1"/>
    <col min="13584" max="13833" width="11.5703125" style="6"/>
    <col min="13834" max="13834" width="5.5703125" style="6" customWidth="1"/>
    <col min="13835" max="13835" width="18.42578125" style="6" customWidth="1"/>
    <col min="13836" max="13836" width="26.140625" style="6" customWidth="1"/>
    <col min="13837" max="13837" width="11.85546875" style="6" customWidth="1"/>
    <col min="13838" max="13838" width="15.85546875" style="6" customWidth="1"/>
    <col min="13839" max="13839" width="6.42578125" style="6" customWidth="1"/>
    <col min="13840" max="14089" width="11.5703125" style="6"/>
    <col min="14090" max="14090" width="5.5703125" style="6" customWidth="1"/>
    <col min="14091" max="14091" width="18.42578125" style="6" customWidth="1"/>
    <col min="14092" max="14092" width="26.140625" style="6" customWidth="1"/>
    <col min="14093" max="14093" width="11.85546875" style="6" customWidth="1"/>
    <col min="14094" max="14094" width="15.85546875" style="6" customWidth="1"/>
    <col min="14095" max="14095" width="6.42578125" style="6" customWidth="1"/>
    <col min="14096" max="14345" width="11.5703125" style="6"/>
    <col min="14346" max="14346" width="5.5703125" style="6" customWidth="1"/>
    <col min="14347" max="14347" width="18.42578125" style="6" customWidth="1"/>
    <col min="14348" max="14348" width="26.140625" style="6" customWidth="1"/>
    <col min="14349" max="14349" width="11.85546875" style="6" customWidth="1"/>
    <col min="14350" max="14350" width="15.85546875" style="6" customWidth="1"/>
    <col min="14351" max="14351" width="6.42578125" style="6" customWidth="1"/>
    <col min="14352" max="14601" width="11.5703125" style="6"/>
    <col min="14602" max="14602" width="5.5703125" style="6" customWidth="1"/>
    <col min="14603" max="14603" width="18.42578125" style="6" customWidth="1"/>
    <col min="14604" max="14604" width="26.140625" style="6" customWidth="1"/>
    <col min="14605" max="14605" width="11.85546875" style="6" customWidth="1"/>
    <col min="14606" max="14606" width="15.85546875" style="6" customWidth="1"/>
    <col min="14607" max="14607" width="6.42578125" style="6" customWidth="1"/>
    <col min="14608" max="14857" width="11.5703125" style="6"/>
    <col min="14858" max="14858" width="5.5703125" style="6" customWidth="1"/>
    <col min="14859" max="14859" width="18.42578125" style="6" customWidth="1"/>
    <col min="14860" max="14860" width="26.140625" style="6" customWidth="1"/>
    <col min="14861" max="14861" width="11.85546875" style="6" customWidth="1"/>
    <col min="14862" max="14862" width="15.85546875" style="6" customWidth="1"/>
    <col min="14863" max="14863" width="6.42578125" style="6" customWidth="1"/>
    <col min="14864" max="15113" width="11.5703125" style="6"/>
    <col min="15114" max="15114" width="5.5703125" style="6" customWidth="1"/>
    <col min="15115" max="15115" width="18.42578125" style="6" customWidth="1"/>
    <col min="15116" max="15116" width="26.140625" style="6" customWidth="1"/>
    <col min="15117" max="15117" width="11.85546875" style="6" customWidth="1"/>
    <col min="15118" max="15118" width="15.85546875" style="6" customWidth="1"/>
    <col min="15119" max="15119" width="6.42578125" style="6" customWidth="1"/>
    <col min="15120" max="15369" width="11.5703125" style="6"/>
    <col min="15370" max="15370" width="5.5703125" style="6" customWidth="1"/>
    <col min="15371" max="15371" width="18.42578125" style="6" customWidth="1"/>
    <col min="15372" max="15372" width="26.140625" style="6" customWidth="1"/>
    <col min="15373" max="15373" width="11.85546875" style="6" customWidth="1"/>
    <col min="15374" max="15374" width="15.85546875" style="6" customWidth="1"/>
    <col min="15375" max="15375" width="6.42578125" style="6" customWidth="1"/>
    <col min="15376" max="15625" width="11.5703125" style="6"/>
    <col min="15626" max="15626" width="5.5703125" style="6" customWidth="1"/>
    <col min="15627" max="15627" width="18.42578125" style="6" customWidth="1"/>
    <col min="15628" max="15628" width="26.140625" style="6" customWidth="1"/>
    <col min="15629" max="15629" width="11.85546875" style="6" customWidth="1"/>
    <col min="15630" max="15630" width="15.85546875" style="6" customWidth="1"/>
    <col min="15631" max="15631" width="6.42578125" style="6" customWidth="1"/>
    <col min="15632" max="15881" width="11.5703125" style="6"/>
    <col min="15882" max="15882" width="5.5703125" style="6" customWidth="1"/>
    <col min="15883" max="15883" width="18.42578125" style="6" customWidth="1"/>
    <col min="15884" max="15884" width="26.140625" style="6" customWidth="1"/>
    <col min="15885" max="15885" width="11.85546875" style="6" customWidth="1"/>
    <col min="15886" max="15886" width="15.85546875" style="6" customWidth="1"/>
    <col min="15887" max="15887" width="6.42578125" style="6" customWidth="1"/>
    <col min="15888" max="16137" width="11.5703125" style="6"/>
    <col min="16138" max="16138" width="5.5703125" style="6" customWidth="1"/>
    <col min="16139" max="16139" width="18.42578125" style="6" customWidth="1"/>
    <col min="16140" max="16140" width="26.140625" style="6" customWidth="1"/>
    <col min="16141" max="16141" width="11.85546875" style="6" customWidth="1"/>
    <col min="16142" max="16142" width="15.85546875" style="6" customWidth="1"/>
    <col min="16143" max="16143" width="6.42578125" style="6" customWidth="1"/>
    <col min="16144" max="16384" width="11.5703125" style="6"/>
  </cols>
  <sheetData>
    <row r="1" spans="1:21" ht="54" customHeight="1">
      <c r="A1" s="473" t="s">
        <v>205</v>
      </c>
      <c r="B1" s="473"/>
      <c r="C1" s="473"/>
      <c r="D1" s="473"/>
      <c r="E1" s="473"/>
      <c r="F1" s="473"/>
      <c r="G1" s="473"/>
      <c r="H1" s="473"/>
      <c r="I1" s="473"/>
      <c r="J1" s="473"/>
      <c r="K1" s="473"/>
      <c r="L1" s="473"/>
      <c r="M1" s="473"/>
      <c r="N1" s="473"/>
      <c r="O1" s="473"/>
      <c r="P1" s="473"/>
      <c r="Q1" s="473"/>
      <c r="R1" s="473"/>
      <c r="U1" s="239" t="s">
        <v>555</v>
      </c>
    </row>
    <row r="2" spans="1:21" ht="17.25" customHeight="1">
      <c r="A2" s="144"/>
      <c r="B2" s="489" t="s">
        <v>206</v>
      </c>
      <c r="C2" s="489"/>
      <c r="D2" s="489"/>
      <c r="E2" s="138"/>
      <c r="F2" s="138"/>
      <c r="G2" s="138"/>
      <c r="H2" s="239"/>
      <c r="I2" s="141"/>
      <c r="J2" s="141"/>
      <c r="K2" s="141"/>
      <c r="L2" s="141"/>
      <c r="M2" s="141"/>
      <c r="N2" s="141"/>
      <c r="O2" s="141"/>
      <c r="P2" s="141"/>
      <c r="Q2" s="141"/>
      <c r="R2" s="141"/>
    </row>
    <row r="3" spans="1:21" ht="17.25" customHeight="1">
      <c r="A3" s="144"/>
      <c r="B3" s="261" t="s">
        <v>251</v>
      </c>
      <c r="C3" s="489" t="s">
        <v>509</v>
      </c>
      <c r="D3" s="489"/>
      <c r="F3" s="223" t="s">
        <v>207</v>
      </c>
      <c r="G3" s="171"/>
      <c r="H3" s="221" t="str">
        <f>MID(U3,1,1)</f>
        <v/>
      </c>
      <c r="I3" s="221" t="str">
        <f>MID(U3,2,1)</f>
        <v/>
      </c>
      <c r="J3" s="221" t="str">
        <f>MID(U3,3,1)</f>
        <v/>
      </c>
      <c r="K3" s="221" t="str">
        <f>MID(U3,4,1)</f>
        <v/>
      </c>
      <c r="L3" s="221" t="str">
        <f>MID(U3,5,1)</f>
        <v/>
      </c>
      <c r="M3" s="221" t="str">
        <f>MID(U3,6,1)</f>
        <v/>
      </c>
      <c r="N3" s="222"/>
      <c r="O3" s="221" t="s">
        <v>506</v>
      </c>
      <c r="P3" s="221" t="s">
        <v>507</v>
      </c>
      <c r="Q3" s="221" t="s">
        <v>508</v>
      </c>
      <c r="R3" s="222"/>
      <c r="T3" s="139" t="s">
        <v>207</v>
      </c>
      <c r="U3" s="220" t="str">
        <f>IF($D$15="","",INDEX(DSDV!$B$7:$B$216,MATCH($D$15,DSDV!$G$7:$G$216,0)))</f>
        <v/>
      </c>
    </row>
    <row r="4" spans="1:21" ht="17.25" customHeight="1">
      <c r="A4" s="144"/>
      <c r="B4" s="490" t="s">
        <v>210</v>
      </c>
      <c r="C4" s="490"/>
      <c r="D4" s="490"/>
      <c r="F4" s="6"/>
      <c r="G4" s="6"/>
      <c r="I4" s="6"/>
      <c r="J4" s="6"/>
      <c r="K4" s="6"/>
      <c r="L4" s="6"/>
      <c r="M4" s="6"/>
      <c r="N4" s="6"/>
      <c r="O4" s="6"/>
      <c r="P4" s="6"/>
      <c r="Q4" s="6"/>
      <c r="R4" s="6"/>
      <c r="T4" s="139" t="s">
        <v>208</v>
      </c>
      <c r="U4" s="148" t="str">
        <f>IF($D$15="","",INDEX(DSDV!$C$7:$C$216,MATCH($D$15,DSDV!$G$7:$G$216,0)))</f>
        <v/>
      </c>
    </row>
    <row r="5" spans="1:21" ht="17.25" customHeight="1">
      <c r="A5" s="144"/>
      <c r="B5" s="261" t="s">
        <v>251</v>
      </c>
      <c r="C5" s="489"/>
      <c r="D5" s="489"/>
      <c r="F5" s="470" t="s">
        <v>208</v>
      </c>
      <c r="G5" s="470"/>
      <c r="I5" s="221" t="str">
        <f>MID(U4,1,1)</f>
        <v/>
      </c>
      <c r="J5" s="221" t="str">
        <f>MID(U4,2,1)</f>
        <v/>
      </c>
      <c r="K5" s="171"/>
      <c r="L5" s="221" t="str">
        <f>MID(U4,3,1)</f>
        <v/>
      </c>
      <c r="M5" s="221" t="str">
        <f>MID(U4,4,1)</f>
        <v/>
      </c>
      <c r="N5" s="221" t="str">
        <f>MID(U4,5,1)</f>
        <v/>
      </c>
      <c r="O5" s="221" t="str">
        <f>MID(U4,6,1)</f>
        <v/>
      </c>
      <c r="P5" s="221" t="str">
        <f>MID(U4,7,1)</f>
        <v/>
      </c>
      <c r="Q5" s="221" t="str">
        <f>MID(U4,8,1)</f>
        <v/>
      </c>
      <c r="R5" s="261"/>
    </row>
    <row r="6" spans="1:21" ht="17.25" customHeight="1">
      <c r="A6" s="144" t="s">
        <v>209</v>
      </c>
      <c r="B6" s="490" t="s">
        <v>211</v>
      </c>
      <c r="C6" s="490"/>
      <c r="D6" s="490"/>
      <c r="E6" s="138"/>
      <c r="F6" s="138"/>
      <c r="G6" s="138"/>
      <c r="H6" s="138"/>
      <c r="I6" s="141"/>
      <c r="J6" s="141"/>
      <c r="K6" s="141"/>
      <c r="L6" s="141"/>
      <c r="M6" s="141"/>
      <c r="N6" s="141"/>
      <c r="O6" s="141"/>
      <c r="P6" s="141"/>
      <c r="Q6" s="141"/>
      <c r="R6" s="141"/>
    </row>
    <row r="7" spans="1:21" ht="17.25" customHeight="1">
      <c r="A7" s="144"/>
      <c r="B7" s="490" t="s">
        <v>212</v>
      </c>
      <c r="C7" s="490"/>
      <c r="D7" s="490"/>
      <c r="E7" s="138"/>
      <c r="F7" s="138"/>
      <c r="G7" s="138"/>
      <c r="H7" s="138"/>
      <c r="I7" s="141"/>
      <c r="J7" s="141"/>
      <c r="K7" s="141"/>
      <c r="L7" s="141"/>
      <c r="M7" s="141"/>
      <c r="N7" s="141"/>
      <c r="O7" s="141"/>
      <c r="P7" s="141"/>
      <c r="Q7" s="141"/>
      <c r="R7" s="141"/>
    </row>
    <row r="8" spans="1:21" ht="17.25" customHeight="1">
      <c r="A8" s="144"/>
      <c r="B8" s="261" t="str">
        <f>IF($D$15="","",VLOOKUP($D$15,Bang_DSDV,17,0))</f>
        <v/>
      </c>
      <c r="C8" s="261"/>
      <c r="D8" s="261"/>
      <c r="E8" s="138"/>
      <c r="F8" s="138"/>
      <c r="G8" s="138"/>
      <c r="H8" s="138"/>
      <c r="I8" s="141"/>
      <c r="J8" s="141"/>
      <c r="K8" s="141"/>
      <c r="L8" s="141"/>
      <c r="M8" s="141"/>
      <c r="N8" s="141"/>
      <c r="O8" s="141"/>
      <c r="P8" s="141"/>
      <c r="Q8" s="141"/>
      <c r="R8" s="141"/>
    </row>
    <row r="9" spans="1:21" ht="17.25" customHeight="1">
      <c r="A9" s="144"/>
      <c r="B9" s="490" t="s">
        <v>213</v>
      </c>
      <c r="C9" s="490"/>
      <c r="D9" s="490"/>
      <c r="E9" s="138"/>
      <c r="F9" s="138"/>
      <c r="G9" s="138"/>
      <c r="H9" s="138"/>
      <c r="I9" s="141"/>
      <c r="J9" s="141"/>
      <c r="K9" s="141"/>
      <c r="L9" s="141"/>
      <c r="M9" s="141"/>
      <c r="N9" s="141"/>
      <c r="O9" s="141"/>
      <c r="P9" s="141"/>
      <c r="Q9" s="141"/>
      <c r="R9" s="141"/>
    </row>
    <row r="10" spans="1:21" ht="12.75" customHeight="1">
      <c r="A10" s="144"/>
      <c r="B10" s="261" t="s">
        <v>252</v>
      </c>
      <c r="C10" s="261" t="str">
        <f>IF($D$15="","",VLOOKUP($D$15,Bang_DSDV,16,0))</f>
        <v/>
      </c>
      <c r="D10" s="261"/>
      <c r="E10" s="138"/>
      <c r="F10" s="138"/>
      <c r="G10" s="138"/>
      <c r="H10" s="138"/>
      <c r="I10" s="141"/>
      <c r="J10" s="141"/>
      <c r="K10" s="141"/>
      <c r="L10" s="141"/>
      <c r="M10" s="141"/>
      <c r="N10" s="141"/>
      <c r="O10" s="141"/>
      <c r="P10" s="141"/>
      <c r="Q10" s="141"/>
      <c r="R10" s="141"/>
    </row>
    <row r="11" spans="1:21" ht="30" customHeight="1">
      <c r="B11" s="488" t="s">
        <v>177</v>
      </c>
      <c r="C11" s="488"/>
      <c r="D11" s="488"/>
      <c r="E11" s="488"/>
      <c r="F11" s="488"/>
      <c r="G11" s="488"/>
      <c r="H11" s="488"/>
      <c r="I11" s="488"/>
      <c r="J11" s="488"/>
      <c r="K11" s="488"/>
      <c r="L11" s="488"/>
      <c r="M11" s="488"/>
      <c r="N11" s="488"/>
      <c r="O11" s="488"/>
      <c r="P11" s="488"/>
      <c r="Q11" s="488"/>
      <c r="R11" s="254"/>
    </row>
    <row r="12" spans="1:21" ht="30" customHeight="1">
      <c r="B12" s="488"/>
      <c r="C12" s="488"/>
      <c r="D12" s="488"/>
      <c r="E12" s="488"/>
      <c r="F12" s="488"/>
      <c r="G12" s="488"/>
      <c r="H12" s="488"/>
      <c r="I12" s="488"/>
      <c r="J12" s="488"/>
      <c r="K12" s="488"/>
      <c r="L12" s="488"/>
      <c r="M12" s="488"/>
      <c r="N12" s="488"/>
      <c r="O12" s="488"/>
      <c r="P12" s="488"/>
      <c r="Q12" s="488"/>
      <c r="R12" s="254"/>
    </row>
    <row r="13" spans="1:21" ht="15.75" customHeight="1"/>
    <row r="14" spans="1:21" s="8" customFormat="1" ht="20.25" customHeight="1">
      <c r="A14" s="65"/>
      <c r="B14" s="8" t="s">
        <v>179</v>
      </c>
      <c r="D14" s="142" t="str">
        <f>IF($D$15="","",INDEX(DSDV!$F$7:$F$216,MATCH($D$15,DSDV!$G$7:$G$216,0)))</f>
        <v/>
      </c>
      <c r="E14" s="142"/>
      <c r="F14" s="142"/>
      <c r="G14" s="474" t="s">
        <v>733</v>
      </c>
      <c r="H14" s="474"/>
      <c r="I14" s="140" t="str">
        <f>IF($D$15="","",VLOOKUP($D$15,Bang_DSDV,2,0))</f>
        <v/>
      </c>
      <c r="J14" s="256"/>
      <c r="K14" s="256"/>
      <c r="L14" s="256"/>
      <c r="M14" s="256"/>
      <c r="N14" s="256"/>
      <c r="O14" s="256"/>
      <c r="P14" s="256"/>
      <c r="Q14" s="256"/>
      <c r="R14" s="256"/>
      <c r="T14" s="6"/>
    </row>
    <row r="15" spans="1:21" s="8" customFormat="1" ht="18" customHeight="1">
      <c r="A15" s="65"/>
      <c r="B15" s="8" t="s">
        <v>178</v>
      </c>
      <c r="D15" s="142"/>
      <c r="E15" s="176"/>
      <c r="F15" s="142"/>
      <c r="G15" s="474" t="s">
        <v>180</v>
      </c>
      <c r="H15" s="474"/>
      <c r="I15" s="474" t="str">
        <f>IF($D$15="","",VLOOKUP($D$15,Bang_DSDV,5,0))</f>
        <v/>
      </c>
      <c r="J15" s="474"/>
      <c r="K15" s="474"/>
      <c r="L15" s="474"/>
      <c r="M15" s="474"/>
      <c r="N15" s="474"/>
      <c r="O15" s="255"/>
      <c r="P15" s="255"/>
      <c r="Q15" s="255"/>
      <c r="R15" s="255"/>
    </row>
    <row r="16" spans="1:21" s="8" customFormat="1" ht="18" customHeight="1">
      <c r="B16" s="8" t="s">
        <v>253</v>
      </c>
      <c r="D16" s="169" t="str">
        <f>IF($D$15="","",VLOOKUP($D$15,Bang_DSDV,27,0))</f>
        <v/>
      </c>
      <c r="E16" s="142"/>
      <c r="F16" s="176"/>
      <c r="G16" s="176"/>
      <c r="H16" s="176"/>
      <c r="I16" s="176"/>
      <c r="J16" s="176"/>
      <c r="K16" s="176"/>
      <c r="L16" s="176"/>
      <c r="M16" s="176"/>
      <c r="N16" s="176"/>
      <c r="O16" s="176"/>
      <c r="P16" s="176"/>
      <c r="Q16" s="176"/>
      <c r="R16" s="176"/>
    </row>
    <row r="17" spans="1:18" s="8" customFormat="1" ht="15.75">
      <c r="A17" s="309"/>
      <c r="B17" s="8" t="s">
        <v>181</v>
      </c>
      <c r="D17" s="134"/>
      <c r="E17" s="142"/>
      <c r="F17" s="142" t="str">
        <f>IF($D$15="","",VLOOKUP($D$15,Bang_DSDV,28,0))</f>
        <v/>
      </c>
      <c r="G17" s="142"/>
      <c r="H17" s="142"/>
      <c r="I17" s="142"/>
      <c r="J17" s="142"/>
      <c r="K17" s="142"/>
      <c r="L17" s="142"/>
      <c r="M17" s="142"/>
      <c r="N17" s="142"/>
      <c r="O17" s="142"/>
      <c r="P17" s="142"/>
      <c r="Q17" s="142"/>
      <c r="R17" s="142"/>
    </row>
    <row r="18" spans="1:18" s="8" customFormat="1" ht="18" customHeight="1">
      <c r="B18" s="8" t="s">
        <v>182</v>
      </c>
      <c r="C18" s="8" t="str">
        <f>IF($D$15="","",VLOOKUP($D$15,Bang_DSDV,18,0))</f>
        <v/>
      </c>
      <c r="E18" s="9"/>
      <c r="F18" s="9"/>
      <c r="G18" s="474" t="s">
        <v>183</v>
      </c>
      <c r="H18" s="474"/>
      <c r="I18" s="477" t="str">
        <f>IF($D$15="","",VLOOKUP($D$15,Bang_DSDV,19,0))</f>
        <v/>
      </c>
      <c r="J18" s="477"/>
      <c r="K18" s="477"/>
      <c r="L18" s="477"/>
      <c r="M18" s="256"/>
      <c r="N18" s="256"/>
      <c r="O18" s="256"/>
      <c r="P18" s="256"/>
      <c r="Q18" s="256"/>
      <c r="R18" s="256"/>
    </row>
    <row r="19" spans="1:18" s="8" customFormat="1" ht="18" customHeight="1">
      <c r="B19" s="8" t="s">
        <v>184</v>
      </c>
      <c r="C19" s="8" t="str">
        <f>IF($D$15="","",VLOOKUP($D$15,Bang_DSDV,3,0))</f>
        <v/>
      </c>
      <c r="E19" s="9"/>
      <c r="F19" s="9"/>
      <c r="G19" s="474" t="s">
        <v>185</v>
      </c>
      <c r="H19" s="474"/>
      <c r="I19" s="477" t="str">
        <f>IF($D$15="","",VLOOKUP($D$15,Bang_DSDV,13,0))</f>
        <v/>
      </c>
      <c r="J19" s="477"/>
      <c r="K19" s="477"/>
      <c r="L19" s="477"/>
      <c r="M19" s="256"/>
      <c r="N19" s="256"/>
      <c r="O19" s="256"/>
      <c r="P19" s="256"/>
      <c r="Q19" s="256"/>
      <c r="R19" s="256"/>
    </row>
    <row r="20" spans="1:18" s="8" customFormat="1" ht="18" customHeight="1">
      <c r="B20" s="8" t="s">
        <v>201</v>
      </c>
      <c r="D20" s="134"/>
      <c r="E20" s="9"/>
      <c r="F20" s="142" t="str">
        <f>IF($D$15="","",VLOOKUP($D$15,Bang_DSDV,4,0))</f>
        <v/>
      </c>
      <c r="G20" s="142"/>
      <c r="H20" s="142"/>
      <c r="I20" s="140"/>
      <c r="J20" s="256"/>
      <c r="K20" s="256"/>
      <c r="L20" s="256"/>
      <c r="M20" s="256"/>
      <c r="N20" s="256"/>
      <c r="O20" s="256"/>
      <c r="P20" s="256"/>
      <c r="Q20" s="256"/>
      <c r="R20" s="256"/>
    </row>
    <row r="21" spans="1:18" s="8" customFormat="1" ht="18" customHeight="1">
      <c r="B21" s="8" t="s">
        <v>200</v>
      </c>
      <c r="D21" s="134"/>
      <c r="E21" s="9"/>
      <c r="F21" s="137"/>
      <c r="G21" s="142" t="str">
        <f>IF($D$15="","",VLOOKUP($D$15,Bang_DSDV,25,0))</f>
        <v/>
      </c>
      <c r="H21" s="142"/>
      <c r="I21" s="142"/>
      <c r="J21" s="142"/>
      <c r="K21" s="142"/>
      <c r="L21" s="142"/>
      <c r="M21" s="142"/>
      <c r="N21" s="142"/>
      <c r="O21" s="142"/>
      <c r="P21" s="142"/>
      <c r="Q21" s="142"/>
      <c r="R21" s="142"/>
    </row>
    <row r="22" spans="1:18" s="8" customFormat="1" ht="18" customHeight="1">
      <c r="B22" s="8" t="s">
        <v>186</v>
      </c>
      <c r="D22" s="142" t="str">
        <f>IF($D$15="","",VLOOKUP($D$15,Bang_DSDV,14,0))</f>
        <v/>
      </c>
      <c r="E22" s="142"/>
      <c r="F22" s="142"/>
      <c r="G22" s="9"/>
      <c r="I22" s="140"/>
      <c r="J22" s="256"/>
      <c r="K22" s="256"/>
      <c r="L22" s="256"/>
      <c r="M22" s="256"/>
      <c r="N22" s="256"/>
      <c r="O22" s="256"/>
      <c r="P22" s="256"/>
      <c r="Q22" s="256"/>
      <c r="R22" s="256"/>
    </row>
    <row r="23" spans="1:18" s="8" customFormat="1" ht="18" customHeight="1">
      <c r="B23" s="8" t="s">
        <v>187</v>
      </c>
      <c r="D23" s="262" t="str">
        <f>IF($D$15="","",VLOOKUP($D$15,Bang_DSDV,6,0))</f>
        <v/>
      </c>
      <c r="E23" s="142"/>
      <c r="F23" s="242" t="s">
        <v>188</v>
      </c>
      <c r="G23" s="8" t="str">
        <f>IF($D$15="","",VLOOKUP($D$15,Bang_DSDV,7,0))</f>
        <v/>
      </c>
    </row>
    <row r="24" spans="1:18" s="8" customFormat="1" ht="18" customHeight="1">
      <c r="B24" s="8" t="s">
        <v>189</v>
      </c>
      <c r="D24" s="262" t="str">
        <f>IF($D$15="","",VLOOKUP($D$15,Bang_DSDV,8,0))</f>
        <v/>
      </c>
      <c r="E24" s="142"/>
      <c r="F24" s="242" t="s">
        <v>188</v>
      </c>
      <c r="G24" s="8" t="str">
        <f>IF($D$15="","",VLOOKUP($D$15,Bang_DSDV,9,0))</f>
        <v/>
      </c>
    </row>
    <row r="25" spans="1:18" s="8" customFormat="1" ht="18" customHeight="1">
      <c r="B25" s="8" t="s">
        <v>190</v>
      </c>
      <c r="D25" s="262" t="str">
        <f>IF($D$15="","",VLOOKUP($D$15,Bang_DSDV,10,0))</f>
        <v/>
      </c>
      <c r="E25" s="142"/>
      <c r="F25" s="9"/>
      <c r="G25" s="474" t="s">
        <v>191</v>
      </c>
      <c r="H25" s="474"/>
      <c r="I25" s="474"/>
      <c r="J25" s="475" t="str">
        <f>IF($D$15="","",VLOOKUP($D$15,Bang_DSDV,11,0))</f>
        <v/>
      </c>
      <c r="K25" s="475"/>
      <c r="L25" s="475"/>
      <c r="M25" s="475"/>
      <c r="N25" s="255"/>
      <c r="O25" s="255"/>
      <c r="P25" s="255"/>
      <c r="Q25" s="255"/>
      <c r="R25" s="255"/>
    </row>
    <row r="26" spans="1:18" s="8" customFormat="1" ht="18" customHeight="1">
      <c r="B26" s="8" t="s">
        <v>192</v>
      </c>
      <c r="D26" s="134"/>
      <c r="E26" s="9"/>
      <c r="F26" s="9" t="str">
        <f>IF($D$15="","",VLOOKUP($D$15,Bang_DSDV,12,0))</f>
        <v/>
      </c>
      <c r="G26" s="9"/>
      <c r="I26" s="140"/>
      <c r="J26" s="256"/>
      <c r="K26" s="256"/>
      <c r="L26" s="256"/>
      <c r="M26" s="256"/>
      <c r="N26" s="256"/>
      <c r="O26" s="256"/>
      <c r="P26" s="256"/>
      <c r="Q26" s="256"/>
      <c r="R26" s="256"/>
    </row>
    <row r="27" spans="1:18" s="8" customFormat="1" ht="18" customHeight="1">
      <c r="B27" s="8" t="s">
        <v>214</v>
      </c>
      <c r="D27" s="475"/>
      <c r="E27" s="475"/>
      <c r="F27" s="9"/>
      <c r="G27" s="9"/>
      <c r="I27" s="140"/>
      <c r="J27" s="256"/>
      <c r="K27" s="256"/>
      <c r="L27" s="256"/>
      <c r="M27" s="256"/>
      <c r="N27" s="256"/>
      <c r="O27" s="256"/>
      <c r="P27" s="256"/>
      <c r="Q27" s="256"/>
      <c r="R27" s="256"/>
    </row>
    <row r="28" spans="1:18" s="8" customFormat="1" ht="18" customHeight="1">
      <c r="B28" s="136" t="s">
        <v>194</v>
      </c>
      <c r="D28" s="145" t="str">
        <f>IF($D$15="","",VLOOKUP($D$15,Bang_DSDV,20,0))</f>
        <v/>
      </c>
      <c r="F28" s="478" t="s">
        <v>193</v>
      </c>
      <c r="G28" s="478"/>
      <c r="H28" s="478" t="str">
        <f>IF($D$15="","",VLOOKUP($D$15,Bang_DSDV,21,0))</f>
        <v/>
      </c>
      <c r="I28" s="478"/>
      <c r="J28" s="478"/>
      <c r="K28" s="478"/>
      <c r="L28" s="256"/>
      <c r="M28" s="256"/>
      <c r="N28" s="256"/>
      <c r="O28" s="256"/>
      <c r="P28" s="256"/>
      <c r="Q28" s="256"/>
      <c r="R28" s="256"/>
    </row>
    <row r="29" spans="1:18" s="8" customFormat="1" ht="18" customHeight="1">
      <c r="B29" s="136" t="s">
        <v>195</v>
      </c>
      <c r="D29" s="145" t="str">
        <f>IF($D$15="","",VLOOKUP($D$15,Bang_DSDV,24,0))</f>
        <v/>
      </c>
      <c r="E29" s="145"/>
      <c r="F29" s="479" t="s">
        <v>196</v>
      </c>
      <c r="G29" s="479"/>
      <c r="H29" s="493" t="str">
        <f>IF($D$15="","",VLOOKUP($D$15,Bang_DSDV,26,0))</f>
        <v/>
      </c>
      <c r="I29" s="493"/>
      <c r="J29" s="493"/>
      <c r="K29" s="493"/>
      <c r="L29" s="145"/>
      <c r="M29" s="145"/>
      <c r="N29" s="145"/>
      <c r="O29" s="145"/>
      <c r="P29" s="145"/>
      <c r="Q29" s="145"/>
      <c r="R29" s="145"/>
    </row>
    <row r="30" spans="1:18" s="8" customFormat="1" ht="18" customHeight="1">
      <c r="B30" s="8" t="s">
        <v>197</v>
      </c>
      <c r="D30" s="134"/>
      <c r="E30" s="149" t="str">
        <f>IF($D$15="","",INDEX(DSDV!$D$7:$D$216,MATCH($D$15,DSDV!$G$7:$G$216,0)))</f>
        <v/>
      </c>
      <c r="F30" s="142"/>
      <c r="G30" s="250" t="s">
        <v>198</v>
      </c>
      <c r="I30" s="478" t="str">
        <f>IF($D$15="","",INDEX(DSDV!$E$7:$E$216,MATCH($D$15,DSDV!$G$7:$G$216,0)))</f>
        <v/>
      </c>
      <c r="J30" s="478"/>
      <c r="K30" s="478"/>
      <c r="L30" s="478"/>
      <c r="M30" s="478"/>
      <c r="N30" s="256"/>
      <c r="O30" s="256"/>
      <c r="P30" s="256"/>
      <c r="Q30" s="256"/>
      <c r="R30" s="256"/>
    </row>
    <row r="31" spans="1:18" ht="18" customHeight="1">
      <c r="A31" s="6"/>
      <c r="B31" s="491" t="s">
        <v>199</v>
      </c>
      <c r="C31" s="491"/>
      <c r="D31" s="491"/>
      <c r="E31" s="491"/>
      <c r="F31" s="491"/>
      <c r="G31" s="491"/>
      <c r="H31" s="491"/>
      <c r="I31" s="491"/>
      <c r="J31" s="256"/>
      <c r="K31" s="256"/>
      <c r="L31" s="256"/>
      <c r="M31" s="256"/>
      <c r="N31" s="256"/>
      <c r="O31" s="256"/>
      <c r="P31" s="256"/>
      <c r="Q31" s="256"/>
      <c r="R31" s="256"/>
    </row>
    <row r="32" spans="1:18" ht="7.5" customHeight="1">
      <c r="A32" s="6"/>
    </row>
    <row r="33" spans="1:18" ht="18" customHeight="1">
      <c r="A33" s="6"/>
      <c r="B33" s="487" t="s">
        <v>165</v>
      </c>
      <c r="C33" s="487"/>
      <c r="D33" s="492" t="s">
        <v>203</v>
      </c>
      <c r="E33" s="492"/>
      <c r="F33" s="492"/>
      <c r="G33" s="492"/>
      <c r="H33" s="487" t="s">
        <v>204</v>
      </c>
      <c r="I33" s="487"/>
      <c r="J33" s="487"/>
      <c r="K33" s="487"/>
      <c r="L33" s="487"/>
      <c r="M33" s="487"/>
      <c r="N33" s="487"/>
      <c r="O33" s="487"/>
      <c r="P33" s="487"/>
      <c r="Q33" s="487"/>
      <c r="R33" s="8"/>
    </row>
    <row r="34" spans="1:18" ht="18" customHeight="1">
      <c r="A34" s="6"/>
      <c r="B34" s="320" t="s">
        <v>166</v>
      </c>
      <c r="C34" s="320" t="s">
        <v>202</v>
      </c>
      <c r="D34" s="492"/>
      <c r="E34" s="492"/>
      <c r="F34" s="492"/>
      <c r="G34" s="492"/>
      <c r="H34" s="487"/>
      <c r="I34" s="487"/>
      <c r="J34" s="487"/>
      <c r="K34" s="487"/>
      <c r="L34" s="487"/>
      <c r="M34" s="487"/>
      <c r="N34" s="487"/>
      <c r="O34" s="487"/>
      <c r="P34" s="487"/>
      <c r="Q34" s="487"/>
      <c r="R34" s="8"/>
    </row>
    <row r="35" spans="1:18" ht="24.95" customHeight="1">
      <c r="A35" s="6"/>
      <c r="B35" s="321"/>
      <c r="C35" s="321"/>
      <c r="D35" s="480"/>
      <c r="E35" s="481"/>
      <c r="F35" s="481"/>
      <c r="G35" s="481"/>
      <c r="H35" s="482"/>
      <c r="I35" s="483"/>
      <c r="J35" s="483"/>
      <c r="K35" s="483"/>
      <c r="L35" s="483"/>
      <c r="M35" s="483"/>
      <c r="N35" s="483"/>
      <c r="O35" s="483"/>
      <c r="P35" s="483"/>
      <c r="Q35" s="483"/>
      <c r="R35" s="211"/>
    </row>
    <row r="36" spans="1:18" ht="24.95" customHeight="1">
      <c r="A36" s="6"/>
      <c r="B36" s="322"/>
      <c r="C36" s="322"/>
      <c r="D36" s="480"/>
      <c r="E36" s="481"/>
      <c r="F36" s="481"/>
      <c r="G36" s="481"/>
      <c r="H36" s="482"/>
      <c r="I36" s="483"/>
      <c r="J36" s="483"/>
      <c r="K36" s="483"/>
      <c r="L36" s="483"/>
      <c r="M36" s="483"/>
      <c r="N36" s="483"/>
      <c r="O36" s="483"/>
      <c r="P36" s="483"/>
      <c r="Q36" s="483"/>
      <c r="R36" s="257"/>
    </row>
    <row r="37" spans="1:18" ht="24.95" customHeight="1">
      <c r="A37" s="6"/>
      <c r="B37" s="322"/>
      <c r="C37" s="322"/>
      <c r="D37" s="480"/>
      <c r="E37" s="481"/>
      <c r="F37" s="481"/>
      <c r="G37" s="481"/>
      <c r="H37" s="482"/>
      <c r="I37" s="483"/>
      <c r="J37" s="483"/>
      <c r="K37" s="483"/>
      <c r="L37" s="483"/>
      <c r="M37" s="483"/>
      <c r="N37" s="483"/>
      <c r="O37" s="483"/>
      <c r="P37" s="483"/>
      <c r="Q37" s="483"/>
      <c r="R37" s="257"/>
    </row>
    <row r="38" spans="1:18" ht="24.95" customHeight="1">
      <c r="A38" s="6"/>
      <c r="B38" s="322"/>
      <c r="C38" s="322"/>
      <c r="D38" s="480"/>
      <c r="E38" s="481"/>
      <c r="F38" s="481"/>
      <c r="G38" s="481"/>
      <c r="H38" s="482"/>
      <c r="I38" s="483"/>
      <c r="J38" s="483"/>
      <c r="K38" s="483"/>
      <c r="L38" s="483"/>
      <c r="M38" s="483"/>
      <c r="N38" s="483"/>
      <c r="O38" s="483"/>
      <c r="P38" s="483"/>
      <c r="Q38" s="483"/>
      <c r="R38" s="257"/>
    </row>
    <row r="39" spans="1:18" ht="24.95" customHeight="1">
      <c r="A39" s="6"/>
      <c r="B39" s="322"/>
      <c r="C39" s="322"/>
      <c r="D39" s="480"/>
      <c r="E39" s="481"/>
      <c r="F39" s="481"/>
      <c r="G39" s="481"/>
      <c r="H39" s="482"/>
      <c r="I39" s="483"/>
      <c r="J39" s="483"/>
      <c r="K39" s="483"/>
      <c r="L39" s="483"/>
      <c r="M39" s="483"/>
      <c r="N39" s="483"/>
      <c r="O39" s="483"/>
      <c r="P39" s="483"/>
      <c r="Q39" s="483"/>
      <c r="R39" s="257"/>
    </row>
    <row r="40" spans="1:18" ht="24.95" customHeight="1">
      <c r="A40" s="6"/>
      <c r="B40" s="322"/>
      <c r="C40" s="322"/>
      <c r="D40" s="480"/>
      <c r="E40" s="481"/>
      <c r="F40" s="481"/>
      <c r="G40" s="481"/>
      <c r="H40" s="482"/>
      <c r="I40" s="483"/>
      <c r="J40" s="483"/>
      <c r="K40" s="483"/>
      <c r="L40" s="483"/>
      <c r="M40" s="483"/>
      <c r="N40" s="483"/>
      <c r="O40" s="483"/>
      <c r="P40" s="483"/>
      <c r="Q40" s="483"/>
      <c r="R40" s="257"/>
    </row>
    <row r="41" spans="1:18" ht="24.95" customHeight="1">
      <c r="A41" s="6"/>
      <c r="B41" s="322"/>
      <c r="C41" s="322"/>
      <c r="D41" s="480"/>
      <c r="E41" s="481"/>
      <c r="F41" s="481"/>
      <c r="G41" s="481"/>
      <c r="H41" s="482"/>
      <c r="I41" s="483"/>
      <c r="J41" s="483"/>
      <c r="K41" s="483"/>
      <c r="L41" s="483"/>
      <c r="M41" s="483"/>
      <c r="N41" s="483"/>
      <c r="O41" s="483"/>
      <c r="P41" s="483"/>
      <c r="Q41" s="483"/>
      <c r="R41" s="257"/>
    </row>
    <row r="42" spans="1:18" ht="24.95" customHeight="1">
      <c r="A42" s="6"/>
      <c r="B42" s="323"/>
      <c r="C42" s="323"/>
      <c r="D42" s="481"/>
      <c r="E42" s="481"/>
      <c r="F42" s="481"/>
      <c r="G42" s="481"/>
      <c r="H42" s="484"/>
      <c r="I42" s="484"/>
      <c r="J42" s="484"/>
      <c r="K42" s="484"/>
      <c r="L42" s="484"/>
      <c r="M42" s="484"/>
      <c r="N42" s="484"/>
      <c r="O42" s="484"/>
      <c r="P42" s="484"/>
      <c r="Q42" s="484"/>
      <c r="R42" s="257"/>
    </row>
    <row r="43" spans="1:18" ht="18" customHeight="1">
      <c r="A43" s="6"/>
      <c r="B43" s="170"/>
      <c r="C43" s="170"/>
      <c r="D43" s="133"/>
      <c r="E43" s="171"/>
      <c r="F43" s="171"/>
      <c r="G43" s="171"/>
    </row>
    <row r="44" spans="1:18" ht="18" customHeight="1">
      <c r="A44" s="6"/>
      <c r="B44" s="460" t="s">
        <v>624</v>
      </c>
      <c r="C44" s="460"/>
      <c r="D44" s="460"/>
      <c r="E44" s="460"/>
      <c r="F44" s="460"/>
      <c r="G44" s="460"/>
      <c r="H44" s="460"/>
      <c r="I44" s="460"/>
      <c r="J44" s="460"/>
      <c r="K44" s="460"/>
      <c r="L44" s="460"/>
      <c r="M44" s="460"/>
      <c r="N44" s="460"/>
      <c r="O44" s="460"/>
      <c r="P44" s="460"/>
      <c r="Q44" s="460"/>
      <c r="R44" s="253"/>
    </row>
    <row r="45" spans="1:18" ht="18" customHeight="1">
      <c r="A45" s="6"/>
      <c r="B45" s="460"/>
      <c r="C45" s="460"/>
      <c r="D45" s="460"/>
      <c r="E45" s="460"/>
      <c r="F45" s="460"/>
      <c r="G45" s="460"/>
      <c r="H45" s="460"/>
      <c r="I45" s="460"/>
      <c r="J45" s="460"/>
      <c r="K45" s="460"/>
      <c r="L45" s="460"/>
      <c r="M45" s="460"/>
      <c r="N45" s="460"/>
      <c r="O45" s="460"/>
      <c r="P45" s="460"/>
      <c r="Q45" s="460"/>
      <c r="R45" s="253"/>
    </row>
    <row r="46" spans="1:18" ht="18" customHeight="1">
      <c r="A46" s="6"/>
      <c r="B46" s="245"/>
      <c r="C46"/>
      <c r="D46"/>
      <c r="E46"/>
      <c r="F46"/>
      <c r="G46"/>
      <c r="H46"/>
    </row>
    <row r="47" spans="1:18" ht="26.25" customHeight="1">
      <c r="A47" s="6"/>
      <c r="B47" s="476" t="s">
        <v>625</v>
      </c>
      <c r="C47" s="476" t="s">
        <v>626</v>
      </c>
      <c r="D47" s="476"/>
      <c r="E47" s="476" t="s">
        <v>165</v>
      </c>
      <c r="F47" s="476"/>
      <c r="G47" s="476" t="s">
        <v>627</v>
      </c>
      <c r="H47" s="486" t="s">
        <v>628</v>
      </c>
      <c r="I47" s="486"/>
      <c r="J47" s="486"/>
      <c r="K47" s="486"/>
      <c r="L47" s="486"/>
      <c r="M47" s="486"/>
      <c r="N47" s="476" t="s">
        <v>220</v>
      </c>
      <c r="O47" s="476"/>
      <c r="P47" s="476"/>
      <c r="Q47" s="476"/>
      <c r="R47" s="246"/>
    </row>
    <row r="48" spans="1:18" ht="26.25" customHeight="1">
      <c r="A48" s="6"/>
      <c r="B48" s="476"/>
      <c r="C48" s="476"/>
      <c r="D48" s="476"/>
      <c r="E48" s="324" t="s">
        <v>166</v>
      </c>
      <c r="F48" s="324" t="s">
        <v>167</v>
      </c>
      <c r="G48" s="476"/>
      <c r="H48" s="486"/>
      <c r="I48" s="486"/>
      <c r="J48" s="486"/>
      <c r="K48" s="486"/>
      <c r="L48" s="486"/>
      <c r="M48" s="486"/>
      <c r="N48" s="476"/>
      <c r="O48" s="476"/>
      <c r="P48" s="476"/>
      <c r="Q48" s="476"/>
      <c r="R48" s="246"/>
    </row>
    <row r="49" spans="1:18" ht="18" customHeight="1">
      <c r="A49" s="6"/>
      <c r="B49" s="325"/>
      <c r="C49" s="463"/>
      <c r="D49" s="452"/>
      <c r="E49" s="326"/>
      <c r="F49" s="326"/>
      <c r="G49" s="325"/>
      <c r="H49" s="463"/>
      <c r="I49" s="452"/>
      <c r="J49" s="452"/>
      <c r="K49" s="452"/>
      <c r="L49" s="452"/>
      <c r="M49" s="452"/>
      <c r="N49" s="463"/>
      <c r="O49" s="452"/>
      <c r="P49" s="452"/>
      <c r="Q49" s="452"/>
      <c r="R49" s="258"/>
    </row>
    <row r="50" spans="1:18" ht="18" customHeight="1">
      <c r="A50" s="6"/>
      <c r="B50" s="325"/>
      <c r="C50" s="463"/>
      <c r="D50" s="452"/>
      <c r="E50" s="326"/>
      <c r="F50" s="326"/>
      <c r="G50" s="325"/>
      <c r="H50" s="463"/>
      <c r="I50" s="452"/>
      <c r="J50" s="452"/>
      <c r="K50" s="452"/>
      <c r="L50" s="452"/>
      <c r="M50" s="452"/>
      <c r="N50" s="463"/>
      <c r="O50" s="452"/>
      <c r="P50" s="452"/>
      <c r="Q50" s="452"/>
      <c r="R50" s="258"/>
    </row>
    <row r="51" spans="1:18" ht="18" customHeight="1">
      <c r="A51" s="6"/>
      <c r="B51" s="325"/>
      <c r="C51" s="463"/>
      <c r="D51" s="452"/>
      <c r="E51" s="326"/>
      <c r="F51" s="326"/>
      <c r="G51" s="325"/>
      <c r="H51" s="463"/>
      <c r="I51" s="452"/>
      <c r="J51" s="452"/>
      <c r="K51" s="452"/>
      <c r="L51" s="452"/>
      <c r="M51" s="452"/>
      <c r="N51" s="463"/>
      <c r="O51" s="452"/>
      <c r="P51" s="452"/>
      <c r="Q51" s="452"/>
      <c r="R51" s="258"/>
    </row>
    <row r="52" spans="1:18" ht="18" customHeight="1">
      <c r="A52" s="6"/>
      <c r="B52" s="327"/>
      <c r="C52" s="452"/>
      <c r="D52" s="452"/>
      <c r="E52" s="327"/>
      <c r="F52" s="327"/>
      <c r="G52" s="327"/>
      <c r="H52" s="452"/>
      <c r="I52" s="452"/>
      <c r="J52" s="452"/>
      <c r="K52" s="452"/>
      <c r="L52" s="452"/>
      <c r="M52" s="452"/>
      <c r="N52" s="452"/>
      <c r="O52" s="452"/>
      <c r="P52" s="452"/>
      <c r="Q52" s="452"/>
      <c r="R52" s="258"/>
    </row>
    <row r="53" spans="1:18" ht="18" customHeight="1">
      <c r="A53" s="6"/>
      <c r="B53" s="327"/>
      <c r="C53" s="452"/>
      <c r="D53" s="452"/>
      <c r="E53" s="327"/>
      <c r="F53" s="327"/>
      <c r="G53" s="327"/>
      <c r="H53" s="452"/>
      <c r="I53" s="452"/>
      <c r="J53" s="452"/>
      <c r="K53" s="452"/>
      <c r="L53" s="452"/>
      <c r="M53" s="452"/>
      <c r="N53" s="452"/>
      <c r="O53" s="452"/>
      <c r="P53" s="452"/>
      <c r="Q53" s="452"/>
      <c r="R53" s="258"/>
    </row>
    <row r="54" spans="1:18" ht="18" customHeight="1">
      <c r="A54" s="6"/>
      <c r="B54" s="327"/>
      <c r="C54" s="452"/>
      <c r="D54" s="452"/>
      <c r="E54" s="327"/>
      <c r="F54" s="327"/>
      <c r="G54" s="327"/>
      <c r="H54" s="452"/>
      <c r="I54" s="452"/>
      <c r="J54" s="452"/>
      <c r="K54" s="452"/>
      <c r="L54" s="452"/>
      <c r="M54" s="452"/>
      <c r="N54" s="452"/>
      <c r="O54" s="452"/>
      <c r="P54" s="452"/>
      <c r="Q54" s="452"/>
      <c r="R54" s="258"/>
    </row>
    <row r="55" spans="1:18" ht="18" customHeight="1">
      <c r="A55" s="6"/>
      <c r="B55" s="327"/>
      <c r="C55" s="452"/>
      <c r="D55" s="452"/>
      <c r="E55" s="327"/>
      <c r="F55" s="327"/>
      <c r="G55" s="327"/>
      <c r="H55" s="452"/>
      <c r="I55" s="452"/>
      <c r="J55" s="452"/>
      <c r="K55" s="452"/>
      <c r="L55" s="452"/>
      <c r="M55" s="452"/>
      <c r="N55" s="452"/>
      <c r="O55" s="452"/>
      <c r="P55" s="452"/>
      <c r="Q55" s="452"/>
      <c r="R55" s="258"/>
    </row>
    <row r="56" spans="1:18" ht="18" customHeight="1">
      <c r="A56" s="6"/>
      <c r="B56" s="327"/>
      <c r="C56" s="452"/>
      <c r="D56" s="452"/>
      <c r="E56" s="327"/>
      <c r="F56" s="327"/>
      <c r="G56" s="327"/>
      <c r="H56" s="452"/>
      <c r="I56" s="452"/>
      <c r="J56" s="452"/>
      <c r="K56" s="452"/>
      <c r="L56" s="452"/>
      <c r="M56" s="452"/>
      <c r="N56" s="452"/>
      <c r="O56" s="452"/>
      <c r="P56" s="452"/>
      <c r="Q56" s="452"/>
      <c r="R56" s="258"/>
    </row>
    <row r="57" spans="1:18" ht="18" customHeight="1">
      <c r="A57" s="6"/>
      <c r="B57" s="327"/>
      <c r="C57" s="452"/>
      <c r="D57" s="452"/>
      <c r="E57" s="327"/>
      <c r="F57" s="327"/>
      <c r="G57" s="327"/>
      <c r="H57" s="452"/>
      <c r="I57" s="452"/>
      <c r="J57" s="452"/>
      <c r="K57" s="452"/>
      <c r="L57" s="452"/>
      <c r="M57" s="452"/>
      <c r="N57" s="452"/>
      <c r="O57" s="452"/>
      <c r="P57" s="452"/>
      <c r="Q57" s="452"/>
      <c r="R57" s="258"/>
    </row>
    <row r="58" spans="1:18" ht="18" customHeight="1">
      <c r="A58" s="6"/>
      <c r="B58" s="328"/>
      <c r="C58" s="452"/>
      <c r="D58" s="452"/>
      <c r="E58" s="328"/>
      <c r="F58" s="328"/>
      <c r="G58" s="328"/>
      <c r="H58" s="452"/>
      <c r="I58" s="452"/>
      <c r="J58" s="452"/>
      <c r="K58" s="452"/>
      <c r="L58" s="452"/>
      <c r="M58" s="452"/>
      <c r="N58" s="452"/>
      <c r="O58" s="452"/>
      <c r="P58" s="452"/>
      <c r="Q58" s="452"/>
      <c r="R58" s="259"/>
    </row>
    <row r="59" spans="1:18" ht="18" customHeight="1">
      <c r="A59" s="6"/>
      <c r="B59" s="170"/>
      <c r="C59" s="170"/>
      <c r="D59" s="133"/>
      <c r="E59" s="171"/>
      <c r="F59" s="171"/>
      <c r="G59" s="171"/>
    </row>
    <row r="60" spans="1:18" ht="18" customHeight="1">
      <c r="B60" s="459" t="s">
        <v>712</v>
      </c>
      <c r="C60" s="459"/>
      <c r="D60" s="459"/>
      <c r="E60" s="459"/>
      <c r="F60" s="459"/>
      <c r="G60" s="459"/>
      <c r="H60" s="459"/>
      <c r="I60" s="459"/>
      <c r="J60" s="459"/>
      <c r="K60" s="459"/>
      <c r="L60" s="459"/>
      <c r="M60" s="459"/>
      <c r="N60" s="459"/>
      <c r="O60" s="459"/>
      <c r="P60" s="459"/>
      <c r="Q60" s="459"/>
    </row>
    <row r="61" spans="1:18" ht="102.75" customHeight="1">
      <c r="A61" s="266"/>
      <c r="B61" s="457"/>
      <c r="C61" s="457"/>
      <c r="D61" s="457"/>
      <c r="E61" s="457"/>
      <c r="F61" s="457"/>
      <c r="G61" s="457"/>
      <c r="H61" s="457"/>
      <c r="I61" s="457"/>
      <c r="J61" s="457"/>
      <c r="K61" s="457"/>
      <c r="L61" s="457"/>
      <c r="M61" s="457"/>
      <c r="N61" s="457"/>
      <c r="O61" s="457"/>
      <c r="P61" s="457"/>
      <c r="Q61" s="457"/>
    </row>
    <row r="62" spans="1:18" ht="18" customHeight="1">
      <c r="A62" s="6"/>
      <c r="B62" s="460" t="s">
        <v>598</v>
      </c>
      <c r="C62" s="460"/>
      <c r="D62" s="460"/>
      <c r="E62" s="460"/>
      <c r="F62" s="460"/>
      <c r="G62" s="460"/>
      <c r="H62" s="460"/>
      <c r="I62" s="460"/>
      <c r="J62" s="460"/>
      <c r="K62" s="460"/>
      <c r="L62" s="460"/>
      <c r="M62" s="460"/>
      <c r="N62" s="460"/>
      <c r="O62" s="460"/>
      <c r="P62" s="460"/>
      <c r="Q62" s="460"/>
      <c r="R62" s="252"/>
    </row>
    <row r="63" spans="1:18" ht="15" customHeight="1">
      <c r="B63" s="253"/>
      <c r="C63" s="253"/>
      <c r="D63" s="253"/>
      <c r="E63" s="253"/>
      <c r="F63" s="253"/>
      <c r="G63" s="253"/>
      <c r="H63" s="253"/>
      <c r="I63" s="253"/>
      <c r="J63" s="253"/>
      <c r="K63" s="253"/>
      <c r="L63" s="253"/>
      <c r="M63" s="253"/>
      <c r="N63" s="253"/>
      <c r="O63" s="253"/>
      <c r="P63" s="253"/>
      <c r="Q63" s="253"/>
      <c r="R63" s="252"/>
    </row>
    <row r="64" spans="1:18" ht="15.75">
      <c r="B64" s="458" t="s">
        <v>593</v>
      </c>
      <c r="C64" s="458"/>
      <c r="D64" s="458"/>
      <c r="E64" s="458"/>
      <c r="F64" s="458"/>
      <c r="G64" s="458"/>
      <c r="H64" s="458"/>
      <c r="I64" s="458"/>
      <c r="J64" s="458"/>
      <c r="K64" s="458"/>
      <c r="L64" s="458"/>
      <c r="M64" s="458"/>
      <c r="N64" s="458"/>
      <c r="O64" s="458"/>
      <c r="P64" s="458"/>
      <c r="Q64" s="458"/>
      <c r="R64" s="260"/>
    </row>
    <row r="65" spans="1:25" ht="52.5" customHeight="1">
      <c r="A65" s="246"/>
      <c r="B65" s="324" t="s">
        <v>594</v>
      </c>
      <c r="C65" s="476" t="s">
        <v>595</v>
      </c>
      <c r="D65" s="476"/>
      <c r="E65" s="324" t="s">
        <v>596</v>
      </c>
      <c r="F65" s="476" t="s">
        <v>597</v>
      </c>
      <c r="G65" s="476"/>
      <c r="H65" s="476"/>
      <c r="I65" s="476"/>
      <c r="J65" s="476"/>
      <c r="K65" s="476"/>
      <c r="L65" s="476"/>
      <c r="M65" s="476"/>
      <c r="N65" s="476"/>
      <c r="O65" s="476"/>
      <c r="P65" s="476"/>
      <c r="Q65" s="476"/>
      <c r="R65" s="6"/>
    </row>
    <row r="66" spans="1:25" ht="18.75" customHeight="1">
      <c r="A66" s="247"/>
      <c r="B66" s="329"/>
      <c r="C66" s="454"/>
      <c r="D66" s="455"/>
      <c r="E66" s="329"/>
      <c r="F66" s="456"/>
      <c r="G66" s="453"/>
      <c r="H66" s="453"/>
      <c r="I66" s="453"/>
      <c r="J66" s="453"/>
      <c r="K66" s="453"/>
      <c r="L66" s="453"/>
      <c r="M66" s="453"/>
      <c r="N66" s="453"/>
      <c r="O66" s="453"/>
      <c r="P66" s="453"/>
      <c r="Q66" s="453"/>
      <c r="R66" s="6"/>
      <c r="U66" s="308"/>
      <c r="Y66" s="308"/>
    </row>
    <row r="67" spans="1:25" ht="18.75" customHeight="1">
      <c r="A67" s="248"/>
      <c r="B67" s="329"/>
      <c r="C67" s="454"/>
      <c r="D67" s="455"/>
      <c r="E67" s="329"/>
      <c r="F67" s="456"/>
      <c r="G67" s="453"/>
      <c r="H67" s="453"/>
      <c r="I67" s="453"/>
      <c r="J67" s="453"/>
      <c r="K67" s="453"/>
      <c r="L67" s="453"/>
      <c r="M67" s="453"/>
      <c r="N67" s="453"/>
      <c r="O67" s="453"/>
      <c r="P67" s="453"/>
      <c r="Q67" s="453"/>
      <c r="R67" s="6"/>
    </row>
    <row r="68" spans="1:25" ht="18.75" customHeight="1">
      <c r="A68" s="248"/>
      <c r="B68" s="329"/>
      <c r="C68" s="454"/>
      <c r="D68" s="455"/>
      <c r="E68" s="329"/>
      <c r="F68" s="456"/>
      <c r="G68" s="453"/>
      <c r="H68" s="453"/>
      <c r="I68" s="453"/>
      <c r="J68" s="453"/>
      <c r="K68" s="453"/>
      <c r="L68" s="453"/>
      <c r="M68" s="453"/>
      <c r="N68" s="453"/>
      <c r="O68" s="453"/>
      <c r="P68" s="453"/>
      <c r="Q68" s="453"/>
      <c r="R68" s="6"/>
    </row>
    <row r="69" spans="1:25" ht="18.75" customHeight="1">
      <c r="A69" s="248"/>
      <c r="B69" s="329"/>
      <c r="C69" s="454"/>
      <c r="D69" s="455"/>
      <c r="E69" s="329"/>
      <c r="F69" s="456"/>
      <c r="G69" s="453"/>
      <c r="H69" s="453"/>
      <c r="I69" s="453"/>
      <c r="J69" s="453"/>
      <c r="K69" s="453"/>
      <c r="L69" s="453"/>
      <c r="M69" s="453"/>
      <c r="N69" s="453"/>
      <c r="O69" s="453"/>
      <c r="P69" s="453"/>
      <c r="Q69" s="453"/>
      <c r="R69" s="6"/>
    </row>
    <row r="70" spans="1:25" ht="18.75" customHeight="1">
      <c r="A70" s="248"/>
      <c r="B70" s="330"/>
      <c r="C70" s="455"/>
      <c r="D70" s="455"/>
      <c r="E70" s="330"/>
      <c r="F70" s="453"/>
      <c r="G70" s="453"/>
      <c r="H70" s="453"/>
      <c r="I70" s="453"/>
      <c r="J70" s="453"/>
      <c r="K70" s="453"/>
      <c r="L70" s="453"/>
      <c r="M70" s="453"/>
      <c r="N70" s="453"/>
      <c r="O70" s="453"/>
      <c r="P70" s="453"/>
      <c r="Q70" s="453"/>
      <c r="R70" s="6"/>
    </row>
    <row r="71" spans="1:25" ht="18.75" customHeight="1">
      <c r="A71" s="248"/>
      <c r="B71" s="330"/>
      <c r="C71" s="455"/>
      <c r="D71" s="455"/>
      <c r="E71" s="330"/>
      <c r="F71" s="453"/>
      <c r="G71" s="453"/>
      <c r="H71" s="453"/>
      <c r="I71" s="453"/>
      <c r="J71" s="453"/>
      <c r="K71" s="453"/>
      <c r="L71" s="453"/>
      <c r="M71" s="453"/>
      <c r="N71" s="453"/>
      <c r="O71" s="453"/>
      <c r="P71" s="453"/>
      <c r="Q71" s="453"/>
      <c r="R71" s="6"/>
    </row>
    <row r="72" spans="1:25" ht="18.75" customHeight="1">
      <c r="A72" s="248"/>
      <c r="B72" s="330"/>
      <c r="C72" s="455"/>
      <c r="D72" s="455"/>
      <c r="E72" s="330"/>
      <c r="F72" s="453"/>
      <c r="G72" s="453"/>
      <c r="H72" s="453"/>
      <c r="I72" s="453"/>
      <c r="J72" s="453"/>
      <c r="K72" s="453"/>
      <c r="L72" s="453"/>
      <c r="M72" s="453"/>
      <c r="N72" s="453"/>
      <c r="O72" s="453"/>
      <c r="P72" s="453"/>
      <c r="Q72" s="453"/>
      <c r="R72" s="6"/>
    </row>
    <row r="73" spans="1:25" ht="18.75" customHeight="1">
      <c r="A73" s="248"/>
      <c r="B73" s="330"/>
      <c r="C73" s="455"/>
      <c r="D73" s="455"/>
      <c r="E73" s="330"/>
      <c r="F73" s="453"/>
      <c r="G73" s="453"/>
      <c r="H73" s="453"/>
      <c r="I73" s="453"/>
      <c r="J73" s="453"/>
      <c r="K73" s="453"/>
      <c r="L73" s="453"/>
      <c r="M73" s="453"/>
      <c r="N73" s="453"/>
      <c r="O73" s="453"/>
      <c r="P73" s="453"/>
      <c r="Q73" s="453"/>
      <c r="R73" s="6"/>
    </row>
    <row r="74" spans="1:25" ht="12.75" customHeight="1">
      <c r="A74" s="6"/>
      <c r="B74" s="170"/>
      <c r="C74" s="170"/>
      <c r="D74" s="133"/>
      <c r="E74" s="171"/>
      <c r="F74" s="171"/>
      <c r="G74" s="171"/>
    </row>
    <row r="75" spans="1:25" ht="15.75">
      <c r="A75" s="6"/>
      <c r="B75" s="485" t="s">
        <v>607</v>
      </c>
      <c r="C75" s="485"/>
      <c r="D75" s="485"/>
      <c r="E75" s="485"/>
      <c r="F75" s="485"/>
      <c r="G75" s="485"/>
      <c r="H75" s="485"/>
      <c r="I75" s="485"/>
      <c r="J75" s="485"/>
      <c r="K75" s="485"/>
      <c r="L75" s="485"/>
      <c r="M75" s="485"/>
      <c r="N75" s="485"/>
      <c r="O75" s="485"/>
      <c r="P75" s="485"/>
      <c r="Q75" s="485"/>
      <c r="R75" s="251"/>
    </row>
    <row r="76" spans="1:25" ht="15" customHeight="1">
      <c r="A76" s="6"/>
      <c r="B76" s="249"/>
      <c r="C76"/>
      <c r="D76"/>
      <c r="E76"/>
      <c r="F76"/>
      <c r="G76"/>
      <c r="H76"/>
      <c r="I76"/>
      <c r="J76"/>
      <c r="K76"/>
      <c r="L76"/>
      <c r="M76"/>
      <c r="N76"/>
      <c r="O76"/>
      <c r="P76"/>
      <c r="Q76"/>
      <c r="R76"/>
    </row>
    <row r="77" spans="1:25" ht="15.75" customHeight="1">
      <c r="A77" s="6"/>
      <c r="B77" s="462" t="s">
        <v>599</v>
      </c>
      <c r="C77" s="462" t="s">
        <v>600</v>
      </c>
      <c r="D77" s="462"/>
      <c r="E77" s="462"/>
      <c r="F77" s="462"/>
      <c r="G77" s="462" t="s">
        <v>601</v>
      </c>
      <c r="H77" s="462"/>
      <c r="I77" s="462"/>
      <c r="J77" s="462"/>
      <c r="K77" s="462"/>
      <c r="L77" s="462"/>
      <c r="M77" s="462"/>
      <c r="N77" s="462" t="s">
        <v>602</v>
      </c>
      <c r="O77" s="462"/>
      <c r="P77" s="462"/>
      <c r="Q77" s="462"/>
      <c r="R77" s="6"/>
    </row>
    <row r="78" spans="1:25" ht="51" customHeight="1">
      <c r="A78" s="6"/>
      <c r="B78" s="462"/>
      <c r="C78" s="331" t="s">
        <v>267</v>
      </c>
      <c r="D78" s="331" t="s">
        <v>603</v>
      </c>
      <c r="E78" s="331" t="s">
        <v>604</v>
      </c>
      <c r="F78" s="331" t="s">
        <v>135</v>
      </c>
      <c r="G78" s="462" t="s">
        <v>478</v>
      </c>
      <c r="H78" s="462"/>
      <c r="I78" s="462" t="s">
        <v>605</v>
      </c>
      <c r="J78" s="462"/>
      <c r="K78" s="462"/>
      <c r="L78" s="462"/>
      <c r="M78" s="462"/>
      <c r="N78" s="462"/>
      <c r="O78" s="462"/>
      <c r="P78" s="462"/>
      <c r="Q78" s="462"/>
      <c r="R78" s="6"/>
    </row>
    <row r="79" spans="1:25" ht="16.5" customHeight="1">
      <c r="A79" s="6"/>
      <c r="B79" s="332"/>
      <c r="C79" s="333"/>
      <c r="D79" s="333"/>
      <c r="E79" s="333"/>
      <c r="F79" s="333"/>
      <c r="G79" s="463"/>
      <c r="H79" s="463"/>
      <c r="I79" s="463"/>
      <c r="J79" s="463"/>
      <c r="K79" s="463"/>
      <c r="L79" s="463"/>
      <c r="M79" s="463"/>
      <c r="N79" s="463"/>
      <c r="O79" s="463"/>
      <c r="P79" s="463"/>
      <c r="Q79" s="463"/>
      <c r="R79" s="6"/>
    </row>
    <row r="80" spans="1:25" ht="16.5" customHeight="1">
      <c r="A80" s="6"/>
      <c r="B80" s="332"/>
      <c r="C80" s="333"/>
      <c r="D80" s="333"/>
      <c r="E80" s="333"/>
      <c r="F80" s="333"/>
      <c r="G80" s="463"/>
      <c r="H80" s="463"/>
      <c r="I80" s="463"/>
      <c r="J80" s="463"/>
      <c r="K80" s="463"/>
      <c r="L80" s="463"/>
      <c r="M80" s="463"/>
      <c r="N80" s="463"/>
      <c r="O80" s="463"/>
      <c r="P80" s="463"/>
      <c r="Q80" s="463"/>
      <c r="R80" s="6"/>
    </row>
    <row r="81" spans="1:18" ht="16.5" customHeight="1">
      <c r="A81" s="6"/>
      <c r="B81" s="332"/>
      <c r="C81" s="333"/>
      <c r="D81" s="333"/>
      <c r="E81" s="333"/>
      <c r="F81" s="333"/>
      <c r="G81" s="463"/>
      <c r="H81" s="463"/>
      <c r="I81" s="463"/>
      <c r="J81" s="463"/>
      <c r="K81" s="463"/>
      <c r="L81" s="463"/>
      <c r="M81" s="463"/>
      <c r="N81" s="463"/>
      <c r="O81" s="463"/>
      <c r="P81" s="463"/>
      <c r="Q81" s="463"/>
      <c r="R81" s="6"/>
    </row>
    <row r="82" spans="1:18" ht="15.75">
      <c r="A82" s="6"/>
      <c r="B82" s="332"/>
      <c r="C82" s="333"/>
      <c r="D82" s="333"/>
      <c r="E82" s="333"/>
      <c r="F82" s="333"/>
      <c r="G82" s="463"/>
      <c r="H82" s="452"/>
      <c r="I82" s="463"/>
      <c r="J82" s="452"/>
      <c r="K82" s="452"/>
      <c r="L82" s="452"/>
      <c r="M82" s="452"/>
      <c r="N82" s="463"/>
      <c r="O82" s="452"/>
      <c r="P82" s="452"/>
      <c r="Q82" s="452"/>
      <c r="R82" s="6"/>
    </row>
    <row r="83" spans="1:18" ht="15.75">
      <c r="A83" s="6"/>
      <c r="B83" s="414"/>
      <c r="C83" s="328"/>
      <c r="D83" s="328"/>
      <c r="E83" s="328"/>
      <c r="F83" s="328"/>
      <c r="G83" s="452"/>
      <c r="H83" s="452"/>
      <c r="I83" s="452"/>
      <c r="J83" s="452"/>
      <c r="K83" s="452"/>
      <c r="L83" s="452"/>
      <c r="M83" s="452"/>
      <c r="N83" s="452"/>
      <c r="O83" s="452"/>
      <c r="P83" s="452"/>
      <c r="Q83" s="452"/>
      <c r="R83" s="6"/>
    </row>
    <row r="84" spans="1:18" ht="15.75">
      <c r="A84" s="6"/>
      <c r="B84" s="414"/>
      <c r="C84" s="328"/>
      <c r="D84" s="328"/>
      <c r="E84" s="328"/>
      <c r="F84" s="328"/>
      <c r="G84" s="452"/>
      <c r="H84" s="452"/>
      <c r="I84" s="452"/>
      <c r="J84" s="452"/>
      <c r="K84" s="452"/>
      <c r="L84" s="452"/>
      <c r="M84" s="452"/>
      <c r="N84" s="452"/>
      <c r="O84" s="452"/>
      <c r="P84" s="452"/>
      <c r="Q84" s="452"/>
      <c r="R84" s="6"/>
    </row>
    <row r="85" spans="1:18" ht="15.75">
      <c r="A85" s="6"/>
      <c r="B85" s="414"/>
      <c r="C85" s="328"/>
      <c r="D85" s="328"/>
      <c r="E85" s="328"/>
      <c r="F85" s="328"/>
      <c r="G85" s="452"/>
      <c r="H85" s="452"/>
      <c r="I85" s="452"/>
      <c r="J85" s="452"/>
      <c r="K85" s="452"/>
      <c r="L85" s="452"/>
      <c r="M85" s="452"/>
      <c r="N85" s="452"/>
      <c r="O85" s="452"/>
      <c r="P85" s="452"/>
      <c r="Q85" s="452"/>
      <c r="R85" s="6"/>
    </row>
    <row r="86" spans="1:18" ht="15.75">
      <c r="A86" s="6"/>
      <c r="B86" s="414"/>
      <c r="C86" s="328"/>
      <c r="D86" s="328"/>
      <c r="E86" s="328"/>
      <c r="F86" s="328"/>
      <c r="G86" s="452"/>
      <c r="H86" s="452"/>
      <c r="I86" s="452"/>
      <c r="J86" s="452"/>
      <c r="K86" s="452"/>
      <c r="L86" s="452"/>
      <c r="M86" s="452"/>
      <c r="N86" s="452"/>
      <c r="O86" s="452"/>
      <c r="P86" s="452"/>
      <c r="Q86" s="452"/>
      <c r="R86" s="6"/>
    </row>
    <row r="87" spans="1:18" ht="15.75">
      <c r="A87" s="6"/>
      <c r="B87" s="414"/>
      <c r="C87" s="328"/>
      <c r="D87" s="328"/>
      <c r="E87" s="328"/>
      <c r="F87" s="328"/>
      <c r="G87" s="452"/>
      <c r="H87" s="452"/>
      <c r="I87" s="452"/>
      <c r="J87" s="452"/>
      <c r="K87" s="452"/>
      <c r="L87" s="452"/>
      <c r="M87" s="452"/>
      <c r="N87" s="452"/>
      <c r="O87" s="452"/>
      <c r="P87" s="452"/>
      <c r="Q87" s="452"/>
      <c r="R87" s="6"/>
    </row>
    <row r="88" spans="1:18" ht="15.75">
      <c r="A88" s="6"/>
      <c r="B88" s="328"/>
      <c r="C88" s="328"/>
      <c r="D88" s="328"/>
      <c r="E88" s="328"/>
      <c r="F88" s="328"/>
      <c r="G88" s="452"/>
      <c r="H88" s="452"/>
      <c r="I88" s="452"/>
      <c r="J88" s="452"/>
      <c r="K88" s="452"/>
      <c r="L88" s="452"/>
      <c r="M88" s="452"/>
      <c r="N88" s="452"/>
      <c r="O88" s="452"/>
      <c r="P88" s="452"/>
      <c r="Q88" s="452"/>
      <c r="R88" s="6"/>
    </row>
    <row r="89" spans="1:18" ht="15.75">
      <c r="A89" s="6"/>
      <c r="B89" s="328"/>
      <c r="C89" s="328"/>
      <c r="D89" s="328"/>
      <c r="E89" s="328"/>
      <c r="F89" s="328"/>
      <c r="G89" s="452"/>
      <c r="H89" s="452"/>
      <c r="I89" s="452"/>
      <c r="J89" s="452"/>
      <c r="K89" s="452"/>
      <c r="L89" s="452"/>
      <c r="M89" s="452"/>
      <c r="N89" s="452"/>
      <c r="O89" s="452"/>
      <c r="P89" s="452"/>
      <c r="Q89" s="452"/>
      <c r="R89" s="261"/>
    </row>
    <row r="90" spans="1:18" ht="33" customHeight="1">
      <c r="A90" s="6"/>
      <c r="B90" s="467" t="s">
        <v>606</v>
      </c>
      <c r="C90" s="467"/>
      <c r="D90" s="467"/>
      <c r="E90" s="467"/>
      <c r="F90" s="467"/>
      <c r="G90" s="467"/>
      <c r="H90" s="467"/>
      <c r="I90" s="467"/>
      <c r="J90" s="467"/>
      <c r="K90" s="467"/>
      <c r="L90" s="467"/>
      <c r="M90" s="467"/>
      <c r="N90" s="467"/>
      <c r="O90" s="467"/>
      <c r="P90" s="467"/>
      <c r="Q90" s="467"/>
      <c r="R90" s="467"/>
    </row>
    <row r="91" spans="1:18">
      <c r="A91" s="6"/>
      <c r="B91" s="170"/>
      <c r="C91" s="170"/>
      <c r="D91" s="133"/>
      <c r="E91" s="171"/>
      <c r="F91" s="472" t="s">
        <v>634</v>
      </c>
      <c r="G91" s="472"/>
      <c r="H91" s="472"/>
      <c r="I91" s="472"/>
      <c r="J91" s="472"/>
      <c r="K91" s="472"/>
      <c r="L91" s="472"/>
      <c r="M91" s="472"/>
      <c r="N91" s="472"/>
      <c r="O91" s="472"/>
      <c r="P91" s="472"/>
      <c r="Q91" s="472"/>
    </row>
    <row r="92" spans="1:18" ht="15" customHeight="1">
      <c r="A92" s="6"/>
      <c r="B92" s="469" t="s">
        <v>629</v>
      </c>
      <c r="C92" s="469"/>
      <c r="D92" s="464" t="s">
        <v>632</v>
      </c>
      <c r="E92" s="464"/>
      <c r="F92" s="464"/>
      <c r="G92" s="464"/>
      <c r="H92" s="470" t="s">
        <v>633</v>
      </c>
      <c r="I92" s="470"/>
      <c r="J92" s="470"/>
      <c r="K92" s="470"/>
      <c r="L92" s="470"/>
      <c r="M92" s="470"/>
      <c r="N92" s="470"/>
      <c r="O92" s="470"/>
      <c r="P92" s="470"/>
      <c r="Q92" s="470"/>
      <c r="R92" s="263"/>
    </row>
    <row r="93" spans="1:18" ht="13.5" customHeight="1">
      <c r="A93" s="6"/>
      <c r="B93" s="471" t="s">
        <v>630</v>
      </c>
      <c r="C93" s="471"/>
      <c r="D93" s="461" t="s">
        <v>667</v>
      </c>
      <c r="E93" s="461"/>
      <c r="F93" s="461"/>
      <c r="G93" s="461"/>
      <c r="H93" s="468" t="s">
        <v>637</v>
      </c>
      <c r="I93" s="468"/>
      <c r="J93" s="468"/>
      <c r="K93" s="468"/>
      <c r="L93" s="468"/>
      <c r="M93" s="468"/>
      <c r="N93" s="468"/>
      <c r="O93" s="468"/>
      <c r="P93" s="468"/>
      <c r="Q93" s="468"/>
    </row>
    <row r="94" spans="1:18" ht="13.5" customHeight="1">
      <c r="A94" s="6"/>
      <c r="B94" s="471"/>
      <c r="C94" s="471"/>
      <c r="D94" s="461" t="s">
        <v>667</v>
      </c>
      <c r="E94" s="461"/>
      <c r="F94" s="461"/>
      <c r="G94" s="461"/>
    </row>
    <row r="95" spans="1:18" ht="13.5" customHeight="1">
      <c r="A95" s="6"/>
      <c r="B95" s="465" t="s">
        <v>631</v>
      </c>
      <c r="C95" s="465"/>
      <c r="D95" s="465" t="s">
        <v>631</v>
      </c>
      <c r="E95" s="465"/>
      <c r="F95" s="465"/>
      <c r="G95" s="465"/>
    </row>
    <row r="96" spans="1:18" ht="15" customHeight="1">
      <c r="A96" s="6"/>
      <c r="B96" s="466" t="s">
        <v>635</v>
      </c>
      <c r="C96" s="466"/>
      <c r="D96" s="466" t="s">
        <v>636</v>
      </c>
      <c r="E96" s="466"/>
      <c r="F96" s="466"/>
      <c r="G96" s="466"/>
    </row>
    <row r="97" spans="1:7">
      <c r="A97" s="6"/>
      <c r="D97" s="133"/>
      <c r="E97" s="171"/>
      <c r="F97" s="171"/>
      <c r="G97" s="171"/>
    </row>
    <row r="98" spans="1:7">
      <c r="A98" s="6"/>
      <c r="C98" s="170"/>
      <c r="D98" s="133"/>
      <c r="E98" s="171"/>
      <c r="F98" s="171"/>
      <c r="G98" s="171"/>
    </row>
    <row r="99" spans="1:7">
      <c r="A99" s="6"/>
      <c r="B99" s="170"/>
      <c r="C99" s="170"/>
      <c r="D99" s="133"/>
      <c r="E99" s="171"/>
      <c r="F99" s="171"/>
      <c r="G99" s="171"/>
    </row>
    <row r="100" spans="1:7">
      <c r="A100" s="6"/>
      <c r="B100" s="170"/>
      <c r="C100" s="170"/>
      <c r="D100" s="133"/>
      <c r="E100" s="171"/>
      <c r="F100" s="171"/>
      <c r="G100" s="171"/>
    </row>
    <row r="101" spans="1:7">
      <c r="A101" s="6"/>
      <c r="B101" s="170"/>
      <c r="C101" s="170"/>
      <c r="D101" s="133"/>
      <c r="E101" s="171"/>
      <c r="F101" s="171"/>
      <c r="G101" s="171"/>
    </row>
    <row r="102" spans="1:7">
      <c r="A102" s="6"/>
      <c r="B102" s="170"/>
      <c r="C102" s="170"/>
      <c r="D102" s="133"/>
      <c r="E102" s="171"/>
      <c r="F102" s="171"/>
      <c r="G102" s="171"/>
    </row>
    <row r="103" spans="1:7">
      <c r="A103" s="6"/>
      <c r="B103" s="170"/>
      <c r="C103" s="170"/>
      <c r="D103" s="133"/>
      <c r="E103" s="171"/>
      <c r="F103" s="171"/>
      <c r="G103" s="171"/>
    </row>
    <row r="104" spans="1:7">
      <c r="A104" s="6"/>
      <c r="B104" s="170"/>
      <c r="C104" s="170"/>
      <c r="D104" s="133"/>
      <c r="E104" s="171"/>
      <c r="F104" s="171"/>
      <c r="G104" s="171"/>
    </row>
    <row r="105" spans="1:7">
      <c r="A105" s="6"/>
      <c r="B105" s="170"/>
      <c r="C105" s="170"/>
      <c r="D105" s="133"/>
      <c r="E105" s="171"/>
      <c r="F105" s="171"/>
      <c r="G105" s="171"/>
    </row>
    <row r="106" spans="1:7">
      <c r="A106" s="6"/>
      <c r="B106" s="170"/>
      <c r="C106" s="170"/>
      <c r="D106" s="133"/>
      <c r="E106" s="171"/>
      <c r="F106" s="171"/>
      <c r="G106" s="171"/>
    </row>
    <row r="107" spans="1:7">
      <c r="A107" s="6"/>
      <c r="B107" s="170"/>
      <c r="C107" s="170"/>
      <c r="D107" s="133"/>
      <c r="E107" s="171"/>
      <c r="F107" s="171"/>
      <c r="G107" s="171"/>
    </row>
    <row r="108" spans="1:7">
      <c r="A108" s="6"/>
      <c r="B108" s="170"/>
      <c r="C108" s="170"/>
      <c r="D108" s="133"/>
      <c r="E108" s="171"/>
      <c r="F108" s="171"/>
      <c r="G108" s="171"/>
    </row>
    <row r="109" spans="1:7">
      <c r="A109" s="6"/>
      <c r="B109" s="170"/>
      <c r="C109" s="170"/>
      <c r="D109" s="133"/>
      <c r="E109" s="171"/>
      <c r="F109" s="171"/>
      <c r="G109" s="171"/>
    </row>
    <row r="110" spans="1:7">
      <c r="A110" s="6"/>
      <c r="B110" s="170"/>
      <c r="C110" s="170"/>
      <c r="D110" s="133"/>
      <c r="E110" s="171"/>
      <c r="F110" s="171"/>
      <c r="G110" s="171"/>
    </row>
    <row r="111" spans="1:7">
      <c r="A111" s="6"/>
      <c r="B111" s="170"/>
      <c r="C111" s="170"/>
      <c r="D111" s="133"/>
      <c r="E111" s="171"/>
      <c r="F111" s="171"/>
      <c r="G111" s="171"/>
    </row>
    <row r="112" spans="1:7">
      <c r="A112" s="6"/>
      <c r="B112" s="170"/>
      <c r="C112" s="170"/>
      <c r="D112" s="133"/>
      <c r="E112" s="171"/>
      <c r="F112" s="171"/>
      <c r="G112" s="171"/>
    </row>
    <row r="113" spans="1:7">
      <c r="A113" s="6"/>
      <c r="B113" s="170"/>
      <c r="C113" s="170"/>
      <c r="D113" s="133"/>
      <c r="E113" s="171"/>
      <c r="F113" s="171"/>
      <c r="G113" s="171"/>
    </row>
    <row r="114" spans="1:7">
      <c r="A114" s="6"/>
      <c r="B114" s="170"/>
      <c r="C114" s="170"/>
      <c r="D114" s="133"/>
      <c r="E114" s="171"/>
      <c r="F114" s="171"/>
      <c r="G114" s="171"/>
    </row>
    <row r="115" spans="1:7">
      <c r="A115" s="6"/>
      <c r="B115" s="170"/>
      <c r="C115" s="170"/>
      <c r="D115" s="133"/>
      <c r="E115" s="171"/>
      <c r="F115" s="171"/>
      <c r="G115" s="171"/>
    </row>
    <row r="116" spans="1:7">
      <c r="A116" s="6"/>
      <c r="B116" s="170"/>
      <c r="C116" s="170"/>
      <c r="D116" s="133"/>
      <c r="E116" s="171"/>
      <c r="F116" s="171"/>
      <c r="G116" s="171"/>
    </row>
    <row r="117" spans="1:7">
      <c r="A117" s="6"/>
      <c r="B117" s="170"/>
      <c r="C117" s="170"/>
      <c r="D117" s="133"/>
      <c r="E117" s="171"/>
      <c r="F117" s="171"/>
      <c r="G117" s="171"/>
    </row>
    <row r="118" spans="1:7">
      <c r="A118" s="6"/>
      <c r="B118" s="170"/>
      <c r="C118" s="170"/>
      <c r="D118" s="133"/>
      <c r="E118" s="171"/>
      <c r="F118" s="171"/>
      <c r="G118" s="171"/>
    </row>
    <row r="119" spans="1:7">
      <c r="A119" s="6"/>
      <c r="B119" s="170"/>
      <c r="C119" s="170"/>
      <c r="D119" s="133"/>
      <c r="E119" s="171"/>
      <c r="F119" s="171"/>
      <c r="G119" s="171"/>
    </row>
    <row r="120" spans="1:7">
      <c r="A120" s="6"/>
      <c r="B120" s="170"/>
      <c r="C120" s="170"/>
      <c r="D120" s="133"/>
      <c r="E120" s="171"/>
      <c r="F120" s="171"/>
      <c r="G120" s="171"/>
    </row>
    <row r="121" spans="1:7">
      <c r="A121" s="6"/>
      <c r="B121" s="170"/>
      <c r="C121" s="170"/>
      <c r="D121" s="133"/>
      <c r="E121" s="171"/>
      <c r="F121" s="171"/>
      <c r="G121" s="171"/>
    </row>
    <row r="122" spans="1:7">
      <c r="A122" s="6"/>
      <c r="B122" s="170"/>
      <c r="C122" s="170"/>
      <c r="D122" s="133"/>
      <c r="E122" s="171"/>
      <c r="F122" s="171"/>
      <c r="G122" s="171"/>
    </row>
    <row r="123" spans="1:7">
      <c r="A123" s="6"/>
      <c r="B123" s="170"/>
      <c r="C123" s="170"/>
      <c r="D123" s="133"/>
      <c r="E123" s="171"/>
      <c r="F123" s="171"/>
      <c r="G123" s="171"/>
    </row>
    <row r="124" spans="1:7">
      <c r="A124" s="6"/>
      <c r="B124" s="170"/>
      <c r="C124" s="170"/>
      <c r="D124" s="133"/>
      <c r="E124" s="171"/>
      <c r="F124" s="171"/>
      <c r="G124" s="171"/>
    </row>
    <row r="125" spans="1:7">
      <c r="A125" s="6"/>
      <c r="B125" s="170"/>
      <c r="C125" s="170"/>
      <c r="D125" s="133"/>
      <c r="E125" s="171"/>
      <c r="F125" s="171"/>
      <c r="G125" s="171"/>
    </row>
    <row r="126" spans="1:7">
      <c r="A126" s="6"/>
      <c r="B126" s="170"/>
      <c r="C126" s="170"/>
      <c r="D126" s="133"/>
      <c r="E126" s="171"/>
      <c r="F126" s="171"/>
      <c r="G126" s="171"/>
    </row>
    <row r="127" spans="1:7">
      <c r="A127" s="6"/>
      <c r="B127" s="170"/>
      <c r="C127" s="170"/>
      <c r="D127" s="133"/>
      <c r="E127" s="171"/>
      <c r="F127" s="171"/>
      <c r="G127" s="171"/>
    </row>
    <row r="128" spans="1:7">
      <c r="A128" s="6"/>
      <c r="B128" s="170"/>
      <c r="C128" s="170"/>
      <c r="D128" s="133"/>
      <c r="E128" s="171"/>
      <c r="F128" s="171"/>
      <c r="G128" s="171"/>
    </row>
    <row r="129" spans="1:7">
      <c r="A129" s="6"/>
      <c r="B129" s="170"/>
      <c r="C129" s="170"/>
      <c r="D129" s="133"/>
      <c r="E129" s="171"/>
      <c r="F129" s="171"/>
      <c r="G129" s="171"/>
    </row>
    <row r="130" spans="1:7">
      <c r="A130" s="6"/>
      <c r="B130" s="170"/>
      <c r="C130" s="170"/>
      <c r="D130" s="133"/>
      <c r="E130" s="171"/>
      <c r="F130" s="171"/>
      <c r="G130" s="171"/>
    </row>
    <row r="131" spans="1:7">
      <c r="A131" s="6"/>
      <c r="B131" s="170"/>
      <c r="C131" s="170"/>
      <c r="D131" s="133"/>
      <c r="E131" s="171"/>
      <c r="F131" s="171"/>
      <c r="G131" s="171"/>
    </row>
    <row r="132" spans="1:7">
      <c r="A132" s="6"/>
      <c r="B132" s="170"/>
      <c r="C132" s="170"/>
      <c r="D132" s="133"/>
      <c r="E132" s="171"/>
      <c r="F132" s="171"/>
      <c r="G132" s="171"/>
    </row>
    <row r="133" spans="1:7">
      <c r="A133" s="6"/>
      <c r="B133" s="170"/>
      <c r="C133" s="170"/>
      <c r="D133" s="133"/>
      <c r="E133" s="171"/>
      <c r="F133" s="171"/>
      <c r="G133" s="171"/>
    </row>
    <row r="134" spans="1:7">
      <c r="A134" s="6"/>
      <c r="B134" s="170"/>
      <c r="C134" s="170"/>
      <c r="D134" s="133"/>
      <c r="E134" s="171"/>
      <c r="F134" s="171"/>
      <c r="G134" s="171"/>
    </row>
    <row r="135" spans="1:7">
      <c r="A135" s="6"/>
      <c r="B135" s="170"/>
      <c r="C135" s="170"/>
      <c r="D135" s="133"/>
      <c r="E135" s="171"/>
      <c r="F135" s="171"/>
      <c r="G135" s="171"/>
    </row>
    <row r="136" spans="1:7">
      <c r="A136" s="6"/>
      <c r="B136" s="170"/>
      <c r="C136" s="170"/>
      <c r="D136" s="133"/>
      <c r="E136" s="171"/>
      <c r="F136" s="171"/>
      <c r="G136" s="171"/>
    </row>
    <row r="137" spans="1:7">
      <c r="A137" s="6"/>
      <c r="B137" s="170"/>
      <c r="C137" s="170"/>
      <c r="D137" s="133"/>
      <c r="E137" s="171"/>
      <c r="F137" s="171"/>
      <c r="G137" s="171"/>
    </row>
    <row r="138" spans="1:7">
      <c r="A138" s="6"/>
      <c r="B138" s="170"/>
      <c r="C138" s="170"/>
      <c r="D138" s="133"/>
      <c r="E138" s="171"/>
      <c r="F138" s="171"/>
      <c r="G138" s="171"/>
    </row>
    <row r="139" spans="1:7">
      <c r="A139" s="6"/>
      <c r="B139" s="170"/>
      <c r="C139" s="170"/>
      <c r="D139" s="133"/>
      <c r="E139" s="171"/>
      <c r="F139" s="171"/>
      <c r="G139" s="171"/>
    </row>
    <row r="140" spans="1:7">
      <c r="A140" s="6"/>
      <c r="B140" s="170"/>
      <c r="C140" s="170"/>
      <c r="D140" s="133"/>
      <c r="E140" s="171"/>
      <c r="F140" s="171"/>
      <c r="G140" s="171"/>
    </row>
    <row r="141" spans="1:7">
      <c r="A141" s="6"/>
      <c r="B141" s="170"/>
      <c r="C141" s="170"/>
      <c r="D141" s="133"/>
      <c r="E141" s="171"/>
      <c r="F141" s="171"/>
      <c r="G141" s="171"/>
    </row>
    <row r="142" spans="1:7">
      <c r="A142" s="6"/>
      <c r="B142" s="170"/>
      <c r="C142" s="170"/>
      <c r="D142" s="133"/>
      <c r="E142" s="171"/>
      <c r="F142" s="171"/>
      <c r="G142" s="171"/>
    </row>
    <row r="143" spans="1:7">
      <c r="A143" s="6"/>
      <c r="B143" s="170"/>
      <c r="C143" s="170"/>
      <c r="D143" s="133"/>
      <c r="E143" s="171"/>
      <c r="F143" s="171"/>
      <c r="G143" s="171"/>
    </row>
    <row r="144" spans="1:7">
      <c r="A144" s="6"/>
      <c r="B144" s="170"/>
      <c r="C144" s="170"/>
      <c r="D144" s="133"/>
      <c r="E144" s="171"/>
      <c r="F144" s="171"/>
      <c r="G144" s="171"/>
    </row>
    <row r="145" spans="1:7">
      <c r="A145" s="6"/>
      <c r="B145" s="170"/>
      <c r="C145" s="170"/>
      <c r="D145" s="133"/>
      <c r="E145" s="171"/>
      <c r="F145" s="171"/>
      <c r="G145" s="171"/>
    </row>
    <row r="146" spans="1:7">
      <c r="A146" s="6"/>
      <c r="B146" s="170"/>
      <c r="C146" s="170"/>
      <c r="D146" s="133"/>
      <c r="E146" s="171"/>
      <c r="F146" s="171"/>
      <c r="G146" s="171"/>
    </row>
    <row r="147" spans="1:7">
      <c r="A147" s="6"/>
      <c r="B147" s="170"/>
      <c r="C147" s="170"/>
      <c r="D147" s="133"/>
      <c r="E147" s="171"/>
      <c r="F147" s="171"/>
      <c r="G147" s="171"/>
    </row>
    <row r="148" spans="1:7">
      <c r="A148" s="6"/>
      <c r="B148" s="170"/>
      <c r="C148" s="170"/>
      <c r="D148" s="133"/>
      <c r="E148" s="171"/>
      <c r="F148" s="171"/>
      <c r="G148" s="171"/>
    </row>
    <row r="149" spans="1:7">
      <c r="A149" s="6"/>
      <c r="B149" s="170"/>
      <c r="C149" s="170"/>
      <c r="D149" s="133"/>
      <c r="E149" s="171"/>
      <c r="F149" s="171"/>
      <c r="G149" s="171"/>
    </row>
    <row r="150" spans="1:7">
      <c r="A150" s="6"/>
      <c r="B150" s="170"/>
      <c r="C150" s="170"/>
      <c r="D150" s="133"/>
      <c r="E150" s="171"/>
      <c r="F150" s="171"/>
      <c r="G150" s="171"/>
    </row>
    <row r="151" spans="1:7">
      <c r="A151" s="6"/>
      <c r="B151" s="170"/>
      <c r="C151" s="170"/>
      <c r="D151" s="133"/>
      <c r="E151" s="171"/>
      <c r="F151" s="171"/>
      <c r="G151" s="171"/>
    </row>
    <row r="152" spans="1:7">
      <c r="A152" s="6"/>
      <c r="B152" s="170"/>
      <c r="C152" s="170"/>
      <c r="D152" s="133"/>
      <c r="E152" s="171"/>
      <c r="F152" s="171"/>
      <c r="G152" s="171"/>
    </row>
    <row r="153" spans="1:7">
      <c r="A153" s="6"/>
      <c r="B153" s="170"/>
      <c r="C153" s="170"/>
      <c r="D153" s="133"/>
      <c r="E153" s="171"/>
      <c r="F153" s="171"/>
      <c r="G153" s="171"/>
    </row>
    <row r="154" spans="1:7">
      <c r="A154" s="6"/>
      <c r="B154" s="170"/>
      <c r="C154" s="170"/>
      <c r="D154" s="133"/>
      <c r="E154" s="171"/>
      <c r="F154" s="171"/>
      <c r="G154" s="171"/>
    </row>
    <row r="155" spans="1:7">
      <c r="A155" s="6"/>
      <c r="B155" s="170"/>
      <c r="C155" s="170"/>
      <c r="D155" s="133"/>
      <c r="E155" s="171"/>
      <c r="F155" s="171"/>
      <c r="G155" s="171"/>
    </row>
    <row r="156" spans="1:7">
      <c r="A156" s="6"/>
      <c r="B156" s="170"/>
      <c r="C156" s="170"/>
      <c r="D156" s="133"/>
      <c r="E156" s="171"/>
      <c r="F156" s="171"/>
      <c r="G156" s="171"/>
    </row>
    <row r="157" spans="1:7">
      <c r="A157" s="6"/>
      <c r="B157" s="170"/>
      <c r="C157" s="170"/>
      <c r="D157" s="133"/>
      <c r="E157" s="171"/>
      <c r="F157" s="171"/>
      <c r="G157" s="171"/>
    </row>
    <row r="158" spans="1:7">
      <c r="A158" s="6"/>
      <c r="B158" s="170"/>
      <c r="C158" s="170"/>
      <c r="D158" s="133"/>
      <c r="E158" s="171"/>
      <c r="F158" s="171"/>
      <c r="G158" s="171"/>
    </row>
    <row r="159" spans="1:7">
      <c r="A159" s="6"/>
      <c r="B159" s="170"/>
      <c r="C159" s="170"/>
      <c r="D159" s="133"/>
      <c r="E159" s="171"/>
      <c r="F159" s="171"/>
      <c r="G159" s="171"/>
    </row>
    <row r="160" spans="1:7">
      <c r="A160" s="6"/>
      <c r="B160" s="170"/>
      <c r="C160" s="170"/>
      <c r="D160" s="133"/>
      <c r="E160" s="171"/>
      <c r="F160" s="171"/>
      <c r="G160" s="171"/>
    </row>
    <row r="161" spans="1:7">
      <c r="A161" s="6"/>
      <c r="B161" s="170"/>
      <c r="C161" s="170"/>
      <c r="D161" s="133"/>
      <c r="E161" s="171"/>
      <c r="F161" s="171"/>
      <c r="G161" s="171"/>
    </row>
    <row r="162" spans="1:7">
      <c r="A162" s="6"/>
      <c r="B162" s="170"/>
      <c r="C162" s="170"/>
      <c r="D162" s="133"/>
      <c r="E162" s="171"/>
      <c r="F162" s="171"/>
      <c r="G162" s="171"/>
    </row>
    <row r="163" spans="1:7">
      <c r="A163" s="6"/>
      <c r="B163" s="170"/>
      <c r="C163" s="170"/>
      <c r="D163" s="133"/>
      <c r="E163" s="171"/>
      <c r="F163" s="171"/>
      <c r="G163" s="171"/>
    </row>
    <row r="164" spans="1:7">
      <c r="A164" s="6"/>
      <c r="B164" s="170"/>
      <c r="C164" s="170"/>
      <c r="D164" s="133"/>
      <c r="E164" s="171"/>
      <c r="F164" s="171"/>
      <c r="G164" s="171"/>
    </row>
    <row r="165" spans="1:7">
      <c r="A165" s="6"/>
      <c r="B165" s="170"/>
      <c r="C165" s="170"/>
      <c r="D165" s="133"/>
      <c r="E165" s="171"/>
      <c r="F165" s="171"/>
      <c r="G165" s="171"/>
    </row>
    <row r="166" spans="1:7">
      <c r="A166" s="6"/>
      <c r="B166" s="170"/>
      <c r="C166" s="170"/>
      <c r="D166" s="133"/>
      <c r="E166" s="171"/>
      <c r="F166" s="171"/>
      <c r="G166" s="171"/>
    </row>
    <row r="167" spans="1:7">
      <c r="A167" s="6"/>
      <c r="B167" s="170"/>
      <c r="C167" s="170"/>
      <c r="D167" s="133"/>
      <c r="E167" s="171"/>
      <c r="F167" s="171"/>
      <c r="G167" s="171"/>
    </row>
    <row r="168" spans="1:7">
      <c r="A168" s="6"/>
      <c r="B168" s="170"/>
      <c r="C168" s="170"/>
      <c r="D168" s="133"/>
      <c r="E168" s="171"/>
      <c r="F168" s="171"/>
      <c r="G168" s="171"/>
    </row>
    <row r="169" spans="1:7">
      <c r="A169" s="6"/>
      <c r="B169" s="170"/>
      <c r="C169" s="170"/>
      <c r="D169" s="133"/>
      <c r="E169" s="171"/>
      <c r="F169" s="171"/>
      <c r="G169" s="171"/>
    </row>
    <row r="170" spans="1:7">
      <c r="A170" s="6"/>
      <c r="B170" s="170"/>
      <c r="C170" s="170"/>
      <c r="D170" s="133"/>
      <c r="E170" s="171"/>
      <c r="F170" s="171"/>
      <c r="G170" s="171"/>
    </row>
    <row r="171" spans="1:7">
      <c r="A171" s="6"/>
      <c r="B171" s="170"/>
      <c r="C171" s="170"/>
      <c r="D171" s="133"/>
      <c r="E171" s="171"/>
      <c r="F171" s="171"/>
      <c r="G171" s="171"/>
    </row>
    <row r="172" spans="1:7">
      <c r="A172" s="6"/>
      <c r="B172" s="170"/>
      <c r="C172" s="170"/>
      <c r="D172" s="133"/>
      <c r="E172" s="171"/>
      <c r="F172" s="171"/>
      <c r="G172" s="171"/>
    </row>
    <row r="173" spans="1:7">
      <c r="A173" s="6"/>
      <c r="B173" s="170"/>
      <c r="C173" s="170"/>
      <c r="D173" s="133"/>
      <c r="E173" s="171"/>
      <c r="F173" s="171"/>
      <c r="G173" s="171"/>
    </row>
    <row r="174" spans="1:7">
      <c r="A174" s="6"/>
      <c r="B174" s="170"/>
      <c r="C174" s="170"/>
      <c r="D174" s="133"/>
      <c r="E174" s="171"/>
      <c r="F174" s="171"/>
      <c r="G174" s="171"/>
    </row>
    <row r="175" spans="1:7">
      <c r="A175" s="6"/>
      <c r="B175" s="170"/>
      <c r="C175" s="170"/>
      <c r="D175" s="133"/>
      <c r="E175" s="171"/>
      <c r="F175" s="171"/>
      <c r="G175" s="171"/>
    </row>
    <row r="176" spans="1:7">
      <c r="A176" s="6"/>
      <c r="B176" s="170"/>
      <c r="C176" s="170"/>
      <c r="D176" s="133"/>
      <c r="E176" s="171"/>
      <c r="F176" s="171"/>
      <c r="G176" s="171"/>
    </row>
    <row r="177" spans="1:7">
      <c r="A177" s="6"/>
      <c r="B177" s="170"/>
      <c r="C177" s="170"/>
      <c r="D177" s="133"/>
      <c r="E177" s="171"/>
      <c r="F177" s="171"/>
      <c r="G177" s="171"/>
    </row>
    <row r="178" spans="1:7">
      <c r="A178" s="6"/>
      <c r="B178" s="170"/>
      <c r="C178" s="170"/>
      <c r="D178" s="133"/>
      <c r="E178" s="171"/>
      <c r="F178" s="171"/>
      <c r="G178" s="171"/>
    </row>
    <row r="179" spans="1:7">
      <c r="A179" s="6"/>
      <c r="B179" s="170"/>
      <c r="C179" s="170"/>
      <c r="D179" s="133"/>
      <c r="E179" s="171"/>
      <c r="F179" s="171"/>
      <c r="G179" s="171"/>
    </row>
    <row r="180" spans="1:7">
      <c r="A180" s="6"/>
      <c r="B180" s="170"/>
      <c r="C180" s="170"/>
      <c r="D180" s="133"/>
      <c r="E180" s="171"/>
      <c r="F180" s="171"/>
      <c r="G180" s="171"/>
    </row>
    <row r="181" spans="1:7">
      <c r="A181" s="6"/>
      <c r="B181" s="170"/>
      <c r="C181" s="170"/>
      <c r="D181" s="133"/>
      <c r="E181" s="171"/>
      <c r="F181" s="171"/>
      <c r="G181" s="171"/>
    </row>
    <row r="182" spans="1:7">
      <c r="A182" s="6"/>
      <c r="B182" s="170"/>
      <c r="C182" s="170"/>
      <c r="D182" s="133"/>
      <c r="E182" s="171"/>
      <c r="F182" s="171"/>
      <c r="G182" s="171"/>
    </row>
    <row r="183" spans="1:7">
      <c r="A183" s="6"/>
      <c r="B183" s="170"/>
      <c r="C183" s="170"/>
      <c r="D183" s="133"/>
      <c r="E183" s="171"/>
      <c r="F183" s="171"/>
      <c r="G183" s="171"/>
    </row>
    <row r="184" spans="1:7">
      <c r="A184" s="6"/>
      <c r="B184" s="170"/>
      <c r="C184" s="170"/>
      <c r="D184" s="133"/>
      <c r="E184" s="171"/>
      <c r="F184" s="171"/>
      <c r="G184" s="171"/>
    </row>
    <row r="185" spans="1:7">
      <c r="A185" s="6"/>
      <c r="B185" s="170"/>
      <c r="C185" s="170"/>
      <c r="D185" s="133"/>
      <c r="E185" s="171"/>
      <c r="F185" s="171"/>
      <c r="G185" s="171"/>
    </row>
    <row r="186" spans="1:7">
      <c r="A186" s="6"/>
      <c r="B186" s="170"/>
      <c r="C186" s="170"/>
      <c r="D186" s="133"/>
      <c r="E186" s="171"/>
      <c r="F186" s="171"/>
      <c r="G186" s="171"/>
    </row>
    <row r="187" spans="1:7">
      <c r="A187" s="6"/>
      <c r="B187" s="170"/>
      <c r="C187" s="170"/>
      <c r="D187" s="133"/>
      <c r="E187" s="171"/>
      <c r="F187" s="171"/>
      <c r="G187" s="171"/>
    </row>
    <row r="188" spans="1:7">
      <c r="A188" s="6"/>
      <c r="B188" s="170"/>
      <c r="C188" s="170"/>
      <c r="D188" s="133"/>
      <c r="E188" s="171"/>
      <c r="F188" s="171"/>
      <c r="G188" s="171"/>
    </row>
    <row r="189" spans="1:7">
      <c r="A189" s="6"/>
      <c r="B189" s="170"/>
      <c r="C189" s="170"/>
      <c r="D189" s="133"/>
      <c r="E189" s="171"/>
      <c r="F189" s="171"/>
      <c r="G189" s="171"/>
    </row>
    <row r="190" spans="1:7">
      <c r="A190" s="6"/>
      <c r="B190" s="170"/>
      <c r="C190" s="170"/>
      <c r="D190" s="133"/>
      <c r="E190" s="171"/>
      <c r="F190" s="171"/>
      <c r="G190" s="171"/>
    </row>
    <row r="191" spans="1:7">
      <c r="A191" s="6"/>
      <c r="B191" s="170"/>
      <c r="C191" s="170"/>
      <c r="D191" s="133"/>
      <c r="E191" s="171"/>
      <c r="F191" s="171"/>
      <c r="G191" s="171"/>
    </row>
    <row r="192" spans="1:7">
      <c r="A192" s="6"/>
      <c r="B192" s="170"/>
      <c r="C192" s="170"/>
      <c r="D192" s="133"/>
      <c r="E192" s="171"/>
      <c r="F192" s="171"/>
      <c r="G192" s="171"/>
    </row>
    <row r="193" spans="1:7">
      <c r="A193" s="6"/>
      <c r="B193" s="170"/>
      <c r="C193" s="170"/>
      <c r="D193" s="133"/>
      <c r="E193" s="171"/>
      <c r="F193" s="171"/>
      <c r="G193" s="171"/>
    </row>
    <row r="194" spans="1:7">
      <c r="A194" s="6"/>
      <c r="B194" s="170"/>
      <c r="C194" s="170"/>
      <c r="D194" s="133"/>
      <c r="E194" s="171"/>
      <c r="F194" s="171"/>
      <c r="G194" s="171"/>
    </row>
    <row r="195" spans="1:7">
      <c r="A195" s="6"/>
      <c r="B195" s="170"/>
      <c r="C195" s="170"/>
      <c r="D195" s="133"/>
      <c r="E195" s="171"/>
      <c r="F195" s="171"/>
      <c r="G195" s="171"/>
    </row>
    <row r="196" spans="1:7">
      <c r="A196" s="6"/>
      <c r="B196" s="170"/>
      <c r="C196" s="170"/>
      <c r="D196" s="133"/>
      <c r="E196" s="171"/>
      <c r="F196" s="171"/>
      <c r="G196" s="171"/>
    </row>
    <row r="197" spans="1:7">
      <c r="A197" s="6"/>
      <c r="B197" s="170"/>
      <c r="C197" s="170"/>
      <c r="D197" s="133"/>
      <c r="E197" s="171"/>
      <c r="F197" s="171"/>
      <c r="G197" s="171"/>
    </row>
    <row r="198" spans="1:7">
      <c r="A198" s="6"/>
      <c r="B198" s="170"/>
      <c r="C198" s="170"/>
      <c r="D198" s="133"/>
      <c r="E198" s="171"/>
      <c r="F198" s="171"/>
      <c r="G198" s="171"/>
    </row>
    <row r="199" spans="1:7">
      <c r="A199" s="6"/>
      <c r="B199" s="170"/>
      <c r="C199" s="170"/>
      <c r="D199" s="133"/>
      <c r="E199" s="171"/>
      <c r="F199" s="171"/>
      <c r="G199" s="171"/>
    </row>
    <row r="200" spans="1:7">
      <c r="A200" s="6"/>
      <c r="B200" s="170"/>
      <c r="C200" s="170"/>
      <c r="D200" s="133"/>
      <c r="E200" s="171"/>
      <c r="F200" s="171"/>
      <c r="G200" s="171"/>
    </row>
    <row r="201" spans="1:7">
      <c r="A201" s="6"/>
      <c r="B201" s="170"/>
      <c r="C201" s="170"/>
      <c r="D201" s="133"/>
      <c r="E201" s="171"/>
      <c r="F201" s="171"/>
      <c r="G201" s="171"/>
    </row>
    <row r="202" spans="1:7">
      <c r="A202" s="6"/>
      <c r="B202" s="170"/>
      <c r="C202" s="170"/>
      <c r="D202" s="133"/>
      <c r="E202" s="171"/>
      <c r="F202" s="171"/>
      <c r="G202" s="171"/>
    </row>
    <row r="203" spans="1:7">
      <c r="A203" s="6"/>
      <c r="B203" s="170"/>
      <c r="C203" s="170"/>
      <c r="D203" s="133"/>
      <c r="E203" s="171"/>
      <c r="F203" s="171"/>
      <c r="G203" s="171"/>
    </row>
    <row r="204" spans="1:7">
      <c r="A204" s="6"/>
      <c r="B204" s="170"/>
      <c r="C204" s="170"/>
      <c r="D204" s="133"/>
      <c r="E204" s="171"/>
      <c r="F204" s="171"/>
      <c r="G204" s="171"/>
    </row>
    <row r="205" spans="1:7">
      <c r="A205" s="6"/>
      <c r="B205" s="170"/>
      <c r="C205" s="170"/>
      <c r="D205" s="133"/>
      <c r="E205" s="171"/>
      <c r="F205" s="171"/>
      <c r="G205" s="171"/>
    </row>
    <row r="206" spans="1:7">
      <c r="A206" s="6"/>
      <c r="B206" s="170"/>
      <c r="C206" s="170"/>
      <c r="D206" s="133"/>
      <c r="E206" s="171"/>
      <c r="F206" s="171"/>
      <c r="G206" s="171"/>
    </row>
    <row r="207" spans="1:7">
      <c r="A207" s="6"/>
      <c r="B207" s="170"/>
      <c r="C207" s="170"/>
      <c r="D207" s="133"/>
      <c r="E207" s="171"/>
      <c r="F207" s="171"/>
      <c r="G207" s="171"/>
    </row>
    <row r="208" spans="1:7">
      <c r="A208" s="6"/>
      <c r="B208" s="170"/>
      <c r="C208" s="170"/>
      <c r="D208" s="133"/>
      <c r="E208" s="171"/>
      <c r="F208" s="171"/>
      <c r="G208" s="171"/>
    </row>
    <row r="209" spans="1:7">
      <c r="A209" s="6"/>
      <c r="B209" s="170"/>
      <c r="C209" s="170"/>
      <c r="D209" s="133"/>
      <c r="E209" s="171"/>
      <c r="F209" s="171"/>
      <c r="G209" s="171"/>
    </row>
    <row r="210" spans="1:7">
      <c r="A210" s="6"/>
      <c r="B210" s="170"/>
      <c r="C210" s="170"/>
      <c r="D210" s="133"/>
      <c r="E210" s="171"/>
      <c r="F210" s="171"/>
      <c r="G210" s="171"/>
    </row>
    <row r="211" spans="1:7">
      <c r="A211" s="6"/>
      <c r="B211" s="170"/>
      <c r="C211" s="170"/>
      <c r="D211" s="133"/>
      <c r="E211" s="171"/>
      <c r="F211" s="171"/>
      <c r="G211" s="171"/>
    </row>
    <row r="212" spans="1:7">
      <c r="A212" s="6"/>
      <c r="B212" s="170"/>
      <c r="C212" s="170"/>
      <c r="D212" s="133"/>
      <c r="E212" s="171"/>
      <c r="F212" s="171"/>
      <c r="G212" s="171"/>
    </row>
    <row r="213" spans="1:7">
      <c r="A213" s="6"/>
      <c r="B213" s="170"/>
      <c r="C213" s="170"/>
      <c r="D213" s="133"/>
      <c r="E213" s="171"/>
      <c r="F213" s="171"/>
      <c r="G213" s="171"/>
    </row>
    <row r="214" spans="1:7">
      <c r="A214" s="6"/>
      <c r="B214" s="170"/>
      <c r="C214" s="170"/>
      <c r="D214" s="133"/>
      <c r="E214" s="171"/>
      <c r="F214" s="171"/>
      <c r="G214" s="171"/>
    </row>
    <row r="215" spans="1:7">
      <c r="A215" s="6"/>
      <c r="B215" s="170"/>
      <c r="C215" s="170"/>
      <c r="D215" s="133"/>
      <c r="E215" s="171"/>
      <c r="F215" s="171"/>
      <c r="G215" s="171"/>
    </row>
    <row r="216" spans="1:7">
      <c r="A216" s="6"/>
      <c r="B216" s="170"/>
      <c r="C216" s="170"/>
      <c r="D216" s="133"/>
      <c r="E216" s="171"/>
      <c r="F216" s="171"/>
      <c r="G216" s="171"/>
    </row>
    <row r="217" spans="1:7">
      <c r="A217" s="6"/>
      <c r="B217" s="170"/>
      <c r="C217" s="170"/>
      <c r="D217" s="133"/>
      <c r="E217" s="171"/>
      <c r="F217" s="171"/>
      <c r="G217" s="171"/>
    </row>
    <row r="218" spans="1:7">
      <c r="A218" s="6"/>
      <c r="B218" s="170"/>
      <c r="C218" s="170"/>
      <c r="D218" s="133"/>
      <c r="E218" s="171"/>
      <c r="F218" s="171"/>
      <c r="G218" s="171"/>
    </row>
    <row r="219" spans="1:7">
      <c r="A219" s="6"/>
      <c r="B219" s="170"/>
      <c r="C219" s="170"/>
      <c r="D219" s="133"/>
      <c r="E219" s="171"/>
      <c r="F219" s="171"/>
      <c r="G219" s="171"/>
    </row>
    <row r="220" spans="1:7">
      <c r="A220" s="6"/>
      <c r="B220" s="170"/>
      <c r="C220" s="170"/>
      <c r="D220" s="133"/>
      <c r="E220" s="171"/>
      <c r="F220" s="171"/>
      <c r="G220" s="171"/>
    </row>
    <row r="221" spans="1:7">
      <c r="A221" s="6"/>
      <c r="B221" s="170"/>
      <c r="C221" s="170"/>
      <c r="D221" s="133"/>
      <c r="E221" s="171"/>
      <c r="F221" s="171"/>
      <c r="G221" s="171"/>
    </row>
    <row r="222" spans="1:7">
      <c r="A222" s="6"/>
      <c r="B222" s="170"/>
      <c r="C222" s="170"/>
      <c r="D222" s="133"/>
      <c r="E222" s="171"/>
      <c r="F222" s="171"/>
      <c r="G222" s="171"/>
    </row>
    <row r="223" spans="1:7">
      <c r="A223" s="6"/>
      <c r="B223" s="170"/>
      <c r="C223" s="170"/>
      <c r="D223" s="133"/>
      <c r="E223" s="171"/>
      <c r="F223" s="171"/>
      <c r="G223" s="171"/>
    </row>
    <row r="224" spans="1:7">
      <c r="A224" s="6"/>
      <c r="B224" s="170"/>
      <c r="C224" s="170"/>
      <c r="D224" s="133"/>
      <c r="E224" s="171"/>
      <c r="F224" s="171"/>
      <c r="G224" s="171"/>
    </row>
    <row r="225" spans="1:7">
      <c r="A225" s="6"/>
      <c r="B225" s="170"/>
      <c r="C225" s="170"/>
      <c r="D225" s="133"/>
      <c r="E225" s="171"/>
      <c r="F225" s="171"/>
      <c r="G225" s="171"/>
    </row>
    <row r="226" spans="1:7">
      <c r="A226" s="6"/>
      <c r="B226" s="170"/>
      <c r="C226" s="170"/>
      <c r="D226" s="133"/>
      <c r="E226" s="171"/>
      <c r="F226" s="171"/>
      <c r="G226" s="171"/>
    </row>
    <row r="227" spans="1:7">
      <c r="A227" s="6"/>
      <c r="B227" s="170"/>
      <c r="C227" s="170"/>
      <c r="D227" s="133"/>
      <c r="E227" s="171"/>
      <c r="F227" s="171"/>
      <c r="G227" s="171"/>
    </row>
    <row r="228" spans="1:7">
      <c r="A228" s="6"/>
      <c r="B228" s="170"/>
      <c r="C228" s="170"/>
      <c r="D228" s="133"/>
      <c r="E228" s="171"/>
      <c r="F228" s="171"/>
      <c r="G228" s="171"/>
    </row>
    <row r="229" spans="1:7">
      <c r="A229" s="6"/>
      <c r="B229" s="170"/>
      <c r="C229" s="170"/>
      <c r="D229" s="133"/>
      <c r="E229" s="171"/>
      <c r="F229" s="171"/>
      <c r="G229" s="171"/>
    </row>
    <row r="230" spans="1:7">
      <c r="A230" s="6"/>
      <c r="B230" s="170"/>
      <c r="C230" s="170"/>
      <c r="D230" s="133"/>
      <c r="E230" s="171"/>
      <c r="F230" s="171"/>
      <c r="G230" s="171"/>
    </row>
    <row r="231" spans="1:7">
      <c r="A231" s="6"/>
      <c r="B231" s="170"/>
      <c r="C231" s="170"/>
      <c r="D231" s="133"/>
      <c r="E231" s="171"/>
      <c r="F231" s="171"/>
      <c r="G231" s="171"/>
    </row>
    <row r="232" spans="1:7">
      <c r="A232" s="6"/>
      <c r="B232" s="170"/>
      <c r="C232" s="170"/>
      <c r="D232" s="133"/>
      <c r="E232" s="171"/>
      <c r="F232" s="171"/>
      <c r="G232" s="171"/>
    </row>
    <row r="233" spans="1:7">
      <c r="A233" s="6"/>
      <c r="B233" s="170"/>
      <c r="C233" s="170"/>
      <c r="D233" s="133"/>
      <c r="E233" s="171"/>
      <c r="F233" s="171"/>
      <c r="G233" s="171"/>
    </row>
    <row r="234" spans="1:7">
      <c r="A234" s="6"/>
      <c r="B234" s="170"/>
      <c r="C234" s="170"/>
      <c r="D234" s="133"/>
      <c r="E234" s="171"/>
      <c r="F234" s="171"/>
      <c r="G234" s="171"/>
    </row>
    <row r="235" spans="1:7">
      <c r="A235" s="6"/>
      <c r="B235" s="170"/>
      <c r="C235" s="170"/>
      <c r="D235" s="133"/>
      <c r="E235" s="171"/>
      <c r="F235" s="171"/>
      <c r="G235" s="171"/>
    </row>
    <row r="236" spans="1:7">
      <c r="A236" s="6"/>
      <c r="B236" s="170"/>
      <c r="C236" s="170"/>
      <c r="D236" s="133"/>
      <c r="E236" s="171"/>
      <c r="F236" s="171"/>
      <c r="G236" s="171"/>
    </row>
    <row r="237" spans="1:7">
      <c r="A237" s="6"/>
      <c r="B237" s="170"/>
      <c r="C237" s="170"/>
      <c r="D237" s="133"/>
      <c r="E237" s="171"/>
      <c r="F237" s="171"/>
      <c r="G237" s="171"/>
    </row>
    <row r="238" spans="1:7">
      <c r="A238" s="6"/>
      <c r="B238" s="170"/>
      <c r="C238" s="170"/>
      <c r="D238" s="133"/>
      <c r="E238" s="171"/>
      <c r="F238" s="171"/>
      <c r="G238" s="171"/>
    </row>
    <row r="239" spans="1:7">
      <c r="A239" s="6"/>
      <c r="B239" s="170"/>
      <c r="C239" s="170"/>
      <c r="D239" s="133"/>
      <c r="E239" s="171"/>
      <c r="F239" s="171"/>
      <c r="G239" s="171"/>
    </row>
    <row r="240" spans="1:7">
      <c r="A240" s="6"/>
      <c r="B240" s="170"/>
      <c r="C240" s="170"/>
      <c r="D240" s="133"/>
      <c r="E240" s="171"/>
      <c r="F240" s="171"/>
      <c r="G240" s="171"/>
    </row>
    <row r="241" spans="1:7">
      <c r="A241" s="6"/>
      <c r="B241" s="170"/>
      <c r="C241" s="170"/>
      <c r="D241" s="133"/>
      <c r="E241" s="171"/>
      <c r="F241" s="171"/>
      <c r="G241" s="171"/>
    </row>
    <row r="242" spans="1:7">
      <c r="A242" s="6"/>
      <c r="B242" s="170"/>
      <c r="C242" s="170"/>
      <c r="D242" s="133"/>
      <c r="E242" s="171"/>
      <c r="F242" s="171"/>
      <c r="G242" s="171"/>
    </row>
    <row r="243" spans="1:7">
      <c r="A243" s="6"/>
      <c r="B243" s="170"/>
      <c r="C243" s="170"/>
      <c r="D243" s="133"/>
      <c r="E243" s="171"/>
      <c r="F243" s="171"/>
      <c r="G243" s="171"/>
    </row>
    <row r="244" spans="1:7">
      <c r="A244" s="6"/>
      <c r="B244" s="170"/>
      <c r="C244" s="170"/>
      <c r="D244" s="133"/>
      <c r="E244" s="171"/>
      <c r="F244" s="171"/>
      <c r="G244" s="171"/>
    </row>
    <row r="245" spans="1:7">
      <c r="A245" s="6"/>
      <c r="B245" s="170"/>
      <c r="C245" s="170"/>
      <c r="D245" s="133"/>
      <c r="E245" s="171"/>
      <c r="F245" s="171"/>
      <c r="G245" s="171"/>
    </row>
    <row r="246" spans="1:7">
      <c r="A246" s="6"/>
      <c r="B246" s="170"/>
      <c r="C246" s="170"/>
      <c r="D246" s="133"/>
      <c r="E246" s="171"/>
      <c r="F246" s="171"/>
      <c r="G246" s="171"/>
    </row>
    <row r="247" spans="1:7">
      <c r="A247" s="6"/>
      <c r="B247" s="170"/>
      <c r="C247" s="170"/>
      <c r="D247" s="133"/>
      <c r="E247" s="171"/>
      <c r="F247" s="171"/>
      <c r="G247" s="171"/>
    </row>
    <row r="248" spans="1:7">
      <c r="A248" s="6"/>
      <c r="B248" s="170"/>
      <c r="C248" s="170"/>
      <c r="D248" s="133"/>
      <c r="E248" s="171"/>
      <c r="F248" s="171"/>
      <c r="G248" s="171"/>
    </row>
    <row r="249" spans="1:7">
      <c r="A249" s="6"/>
      <c r="B249" s="170"/>
      <c r="C249" s="170"/>
      <c r="D249" s="133"/>
      <c r="E249" s="171"/>
      <c r="F249" s="171"/>
      <c r="G249" s="171"/>
    </row>
    <row r="250" spans="1:7">
      <c r="A250" s="6"/>
      <c r="B250" s="170"/>
      <c r="C250" s="170"/>
      <c r="D250" s="133"/>
      <c r="E250" s="171"/>
      <c r="F250" s="171"/>
      <c r="G250" s="171"/>
    </row>
    <row r="251" spans="1:7">
      <c r="A251" s="6"/>
      <c r="B251" s="170"/>
      <c r="C251" s="170"/>
      <c r="D251" s="133"/>
      <c r="E251" s="171"/>
      <c r="F251" s="171"/>
      <c r="G251" s="171"/>
    </row>
    <row r="252" spans="1:7">
      <c r="A252" s="6"/>
      <c r="B252" s="170"/>
      <c r="C252" s="170"/>
      <c r="D252" s="133"/>
      <c r="E252" s="171"/>
      <c r="F252" s="171"/>
      <c r="G252" s="171"/>
    </row>
    <row r="253" spans="1:7">
      <c r="A253" s="6"/>
      <c r="B253" s="170"/>
      <c r="C253" s="170"/>
      <c r="D253" s="133"/>
      <c r="E253" s="171"/>
      <c r="F253" s="171"/>
      <c r="G253" s="171"/>
    </row>
    <row r="254" spans="1:7">
      <c r="A254" s="6"/>
      <c r="B254" s="170"/>
      <c r="C254" s="170"/>
      <c r="D254" s="133"/>
      <c r="E254" s="171"/>
      <c r="F254" s="171"/>
      <c r="G254" s="171"/>
    </row>
    <row r="255" spans="1:7">
      <c r="A255" s="6"/>
      <c r="B255" s="170"/>
      <c r="C255" s="170"/>
      <c r="D255" s="133"/>
      <c r="E255" s="171"/>
      <c r="F255" s="171"/>
      <c r="G255" s="171"/>
    </row>
    <row r="256" spans="1:7">
      <c r="A256" s="6"/>
      <c r="B256" s="170"/>
      <c r="C256" s="170"/>
      <c r="D256" s="133"/>
      <c r="E256" s="171"/>
      <c r="F256" s="171"/>
      <c r="G256" s="171"/>
    </row>
    <row r="257" spans="1:7">
      <c r="A257" s="6"/>
      <c r="B257" s="170"/>
      <c r="C257" s="170"/>
      <c r="D257" s="133"/>
      <c r="E257" s="171"/>
      <c r="F257" s="171"/>
      <c r="G257" s="171"/>
    </row>
    <row r="258" spans="1:7">
      <c r="A258" s="6"/>
      <c r="B258" s="170"/>
      <c r="C258" s="170"/>
      <c r="D258" s="133"/>
      <c r="E258" s="171"/>
      <c r="F258" s="171"/>
      <c r="G258" s="171"/>
    </row>
    <row r="259" spans="1:7">
      <c r="A259" s="6"/>
      <c r="B259" s="170"/>
      <c r="C259" s="170"/>
      <c r="D259" s="133"/>
      <c r="E259" s="171"/>
      <c r="F259" s="171"/>
      <c r="G259" s="171"/>
    </row>
    <row r="260" spans="1:7">
      <c r="A260" s="6"/>
      <c r="B260" s="170"/>
      <c r="C260" s="170"/>
      <c r="D260" s="133"/>
      <c r="E260" s="171"/>
      <c r="F260" s="171"/>
      <c r="G260" s="171"/>
    </row>
    <row r="261" spans="1:7">
      <c r="A261" s="6"/>
      <c r="B261" s="170"/>
      <c r="C261" s="170"/>
      <c r="D261" s="133"/>
      <c r="E261" s="171"/>
      <c r="F261" s="171"/>
      <c r="G261" s="171"/>
    </row>
    <row r="262" spans="1:7">
      <c r="A262" s="6"/>
      <c r="B262" s="170"/>
      <c r="C262" s="170"/>
      <c r="D262" s="133"/>
      <c r="E262" s="171"/>
      <c r="F262" s="171"/>
      <c r="G262" s="171"/>
    </row>
    <row r="263" spans="1:7">
      <c r="A263" s="6"/>
      <c r="B263" s="170"/>
      <c r="C263" s="170"/>
      <c r="D263" s="133"/>
      <c r="E263" s="171"/>
      <c r="F263" s="171"/>
      <c r="G263" s="171"/>
    </row>
    <row r="264" spans="1:7">
      <c r="A264" s="6"/>
      <c r="B264" s="170"/>
      <c r="C264" s="170"/>
      <c r="D264" s="133"/>
      <c r="E264" s="171"/>
      <c r="F264" s="171"/>
      <c r="G264" s="171"/>
    </row>
    <row r="265" spans="1:7">
      <c r="A265" s="6"/>
      <c r="B265" s="170"/>
      <c r="C265" s="170"/>
      <c r="D265" s="133"/>
      <c r="E265" s="171"/>
      <c r="F265" s="171"/>
      <c r="G265" s="171"/>
    </row>
    <row r="266" spans="1:7">
      <c r="A266" s="6"/>
      <c r="B266" s="170"/>
      <c r="C266" s="170"/>
      <c r="D266" s="133"/>
      <c r="E266" s="171"/>
      <c r="F266" s="171"/>
      <c r="G266" s="171"/>
    </row>
    <row r="267" spans="1:7">
      <c r="A267" s="6"/>
      <c r="B267" s="170"/>
      <c r="C267" s="170"/>
      <c r="D267" s="133"/>
      <c r="E267" s="171"/>
      <c r="F267" s="171"/>
      <c r="G267" s="171"/>
    </row>
    <row r="268" spans="1:7">
      <c r="A268" s="6"/>
      <c r="B268" s="170"/>
      <c r="C268" s="170"/>
      <c r="D268" s="133"/>
      <c r="E268" s="171"/>
      <c r="F268" s="171"/>
      <c r="G268" s="171"/>
    </row>
    <row r="269" spans="1:7">
      <c r="A269" s="6"/>
      <c r="B269" s="170"/>
      <c r="C269" s="170"/>
      <c r="D269" s="133"/>
      <c r="E269" s="171"/>
      <c r="F269" s="171"/>
      <c r="G269" s="171"/>
    </row>
    <row r="270" spans="1:7">
      <c r="A270" s="6"/>
      <c r="B270" s="170"/>
      <c r="C270" s="170"/>
      <c r="D270" s="133"/>
      <c r="E270" s="171"/>
      <c r="F270" s="171"/>
      <c r="G270" s="171"/>
    </row>
    <row r="271" spans="1:7">
      <c r="A271" s="6"/>
      <c r="B271" s="170"/>
      <c r="C271" s="170"/>
      <c r="D271" s="133"/>
      <c r="E271" s="171"/>
      <c r="F271" s="171"/>
      <c r="G271" s="171"/>
    </row>
    <row r="272" spans="1:7">
      <c r="A272" s="6"/>
      <c r="B272" s="170"/>
      <c r="C272" s="170"/>
      <c r="D272" s="133"/>
      <c r="E272" s="171"/>
      <c r="F272" s="171"/>
      <c r="G272" s="171"/>
    </row>
    <row r="273" spans="1:7">
      <c r="A273" s="6"/>
      <c r="B273" s="170"/>
      <c r="C273" s="170"/>
      <c r="D273" s="133"/>
      <c r="E273" s="171"/>
      <c r="F273" s="171"/>
      <c r="G273" s="171"/>
    </row>
    <row r="274" spans="1:7">
      <c r="A274" s="6"/>
      <c r="B274" s="170"/>
      <c r="C274" s="170"/>
      <c r="D274" s="133"/>
      <c r="E274" s="171"/>
      <c r="F274" s="171"/>
      <c r="G274" s="171"/>
    </row>
    <row r="275" spans="1:7">
      <c r="A275" s="6"/>
      <c r="B275" s="170"/>
      <c r="C275" s="170"/>
      <c r="D275" s="133"/>
      <c r="E275" s="171"/>
      <c r="F275" s="171"/>
      <c r="G275" s="171"/>
    </row>
    <row r="276" spans="1:7">
      <c r="A276" s="6"/>
      <c r="B276" s="170"/>
      <c r="C276" s="170"/>
      <c r="D276" s="133"/>
      <c r="E276" s="171"/>
      <c r="F276" s="171"/>
      <c r="G276" s="171"/>
    </row>
    <row r="277" spans="1:7">
      <c r="A277" s="6"/>
      <c r="B277" s="170"/>
      <c r="C277" s="170"/>
      <c r="D277" s="133"/>
      <c r="E277" s="171"/>
      <c r="F277" s="171"/>
      <c r="G277" s="171"/>
    </row>
    <row r="278" spans="1:7">
      <c r="A278" s="6"/>
      <c r="B278" s="170"/>
      <c r="C278" s="170"/>
      <c r="D278" s="133"/>
      <c r="E278" s="171"/>
      <c r="F278" s="171"/>
      <c r="G278" s="171"/>
    </row>
    <row r="279" spans="1:7">
      <c r="A279" s="6"/>
      <c r="B279" s="170"/>
      <c r="C279" s="170"/>
      <c r="D279" s="133"/>
      <c r="E279" s="171"/>
      <c r="F279" s="171"/>
      <c r="G279" s="171"/>
    </row>
    <row r="280" spans="1:7">
      <c r="A280" s="6"/>
      <c r="B280" s="170"/>
      <c r="C280" s="170"/>
      <c r="D280" s="133"/>
      <c r="E280" s="171"/>
      <c r="F280" s="171"/>
      <c r="G280" s="171"/>
    </row>
    <row r="281" spans="1:7">
      <c r="A281" s="6"/>
      <c r="B281" s="170"/>
      <c r="C281" s="170"/>
      <c r="D281" s="133"/>
      <c r="E281" s="171"/>
      <c r="F281" s="171"/>
      <c r="G281" s="171"/>
    </row>
    <row r="282" spans="1:7">
      <c r="A282" s="6"/>
      <c r="B282" s="170"/>
      <c r="C282" s="170"/>
      <c r="D282" s="133"/>
      <c r="E282" s="171"/>
      <c r="F282" s="171"/>
      <c r="G282" s="171"/>
    </row>
    <row r="283" spans="1:7">
      <c r="A283" s="6"/>
      <c r="B283" s="170"/>
      <c r="C283" s="170"/>
      <c r="D283" s="133"/>
      <c r="E283" s="171"/>
      <c r="F283" s="171"/>
      <c r="G283" s="171"/>
    </row>
    <row r="284" spans="1:7">
      <c r="A284" s="6"/>
      <c r="B284" s="170"/>
      <c r="C284" s="170"/>
      <c r="D284" s="133"/>
      <c r="E284" s="171"/>
      <c r="F284" s="171"/>
      <c r="G284" s="171"/>
    </row>
    <row r="285" spans="1:7">
      <c r="A285" s="6"/>
      <c r="B285" s="170"/>
      <c r="C285" s="170"/>
      <c r="D285" s="133"/>
      <c r="E285" s="171"/>
      <c r="F285" s="171"/>
      <c r="G285" s="171"/>
    </row>
    <row r="286" spans="1:7">
      <c r="A286" s="6"/>
      <c r="B286" s="170"/>
      <c r="C286" s="170"/>
      <c r="D286" s="133"/>
      <c r="E286" s="171"/>
      <c r="F286" s="171"/>
      <c r="G286" s="171"/>
    </row>
    <row r="287" spans="1:7">
      <c r="A287" s="6"/>
      <c r="B287" s="170"/>
      <c r="C287" s="170"/>
      <c r="D287" s="133"/>
      <c r="E287" s="171"/>
      <c r="F287" s="171"/>
      <c r="G287" s="171"/>
    </row>
    <row r="288" spans="1:7">
      <c r="A288" s="6"/>
      <c r="B288" s="170"/>
      <c r="C288" s="170"/>
      <c r="D288" s="133"/>
      <c r="E288" s="171"/>
      <c r="F288" s="171"/>
      <c r="G288" s="171"/>
    </row>
    <row r="289" spans="1:7">
      <c r="A289" s="6"/>
      <c r="B289" s="170"/>
      <c r="C289" s="170"/>
      <c r="D289" s="133"/>
      <c r="E289" s="171"/>
      <c r="F289" s="171"/>
      <c r="G289" s="171"/>
    </row>
    <row r="290" spans="1:7">
      <c r="A290" s="6"/>
      <c r="B290" s="170"/>
      <c r="C290" s="170"/>
      <c r="D290" s="133"/>
      <c r="E290" s="171"/>
      <c r="F290" s="171"/>
      <c r="G290" s="171"/>
    </row>
    <row r="291" spans="1:7">
      <c r="A291" s="6"/>
      <c r="B291" s="170"/>
      <c r="C291" s="170"/>
      <c r="D291" s="133"/>
      <c r="E291" s="171"/>
      <c r="F291" s="171"/>
      <c r="G291" s="171"/>
    </row>
    <row r="292" spans="1:7">
      <c r="A292" s="6"/>
      <c r="B292" s="170"/>
      <c r="C292" s="170"/>
      <c r="D292" s="133"/>
      <c r="E292" s="171"/>
      <c r="F292" s="171"/>
      <c r="G292" s="171"/>
    </row>
    <row r="293" spans="1:7">
      <c r="A293" s="6"/>
      <c r="B293" s="170"/>
      <c r="C293" s="170"/>
      <c r="D293" s="133"/>
      <c r="E293" s="171"/>
      <c r="F293" s="171"/>
      <c r="G293" s="171"/>
    </row>
    <row r="294" spans="1:7">
      <c r="A294" s="6"/>
      <c r="B294" s="170"/>
      <c r="C294" s="170"/>
      <c r="D294" s="133"/>
      <c r="E294" s="171"/>
      <c r="F294" s="171"/>
      <c r="G294" s="171"/>
    </row>
    <row r="295" spans="1:7">
      <c r="A295" s="6"/>
      <c r="B295" s="170"/>
      <c r="C295" s="170"/>
      <c r="D295" s="133"/>
      <c r="E295" s="171"/>
      <c r="F295" s="171"/>
      <c r="G295" s="171"/>
    </row>
    <row r="296" spans="1:7">
      <c r="A296" s="6"/>
      <c r="B296" s="170"/>
      <c r="C296" s="170"/>
      <c r="D296" s="133"/>
      <c r="E296" s="171"/>
      <c r="F296" s="171"/>
      <c r="G296" s="171"/>
    </row>
    <row r="297" spans="1:7">
      <c r="A297" s="6"/>
      <c r="B297" s="170"/>
      <c r="C297" s="170"/>
      <c r="D297" s="133"/>
      <c r="E297" s="171"/>
      <c r="F297" s="171"/>
      <c r="G297" s="171"/>
    </row>
    <row r="298" spans="1:7" ht="22.5" customHeight="1">
      <c r="B298" s="142"/>
      <c r="C298" s="142"/>
      <c r="D298" s="65"/>
      <c r="E298" s="166"/>
      <c r="F298" s="166"/>
      <c r="G298" s="171"/>
    </row>
    <row r="299" spans="1:7" ht="21" customHeight="1">
      <c r="B299" s="142"/>
      <c r="C299" s="142"/>
      <c r="D299" s="65"/>
      <c r="E299" s="166"/>
      <c r="F299" s="166"/>
      <c r="G299" s="171"/>
    </row>
    <row r="300" spans="1:7" ht="15.75">
      <c r="B300" s="142"/>
      <c r="C300" s="142"/>
      <c r="D300" s="65"/>
      <c r="E300" s="166"/>
      <c r="F300" s="166"/>
      <c r="G300" s="171"/>
    </row>
    <row r="301" spans="1:7" ht="15.75">
      <c r="B301" s="142"/>
      <c r="C301" s="142"/>
      <c r="D301" s="65"/>
      <c r="E301" s="166"/>
      <c r="F301" s="166"/>
      <c r="G301" s="171"/>
    </row>
    <row r="302" spans="1:7" ht="15.75">
      <c r="B302" s="142"/>
      <c r="C302" s="142"/>
      <c r="D302" s="65"/>
      <c r="E302" s="166"/>
      <c r="F302" s="166"/>
      <c r="G302" s="171"/>
    </row>
    <row r="303" spans="1:7" ht="15.75">
      <c r="B303" s="142"/>
      <c r="C303" s="142"/>
      <c r="D303" s="65"/>
      <c r="E303" s="166"/>
      <c r="F303" s="166"/>
      <c r="G303" s="171"/>
    </row>
    <row r="304" spans="1:7">
      <c r="B304" s="170"/>
      <c r="C304" s="170"/>
      <c r="D304" s="133"/>
      <c r="E304" s="171"/>
      <c r="F304" s="171"/>
      <c r="G304" s="171"/>
    </row>
    <row r="305" spans="2:7">
      <c r="B305" s="170"/>
      <c r="C305" s="170"/>
      <c r="D305" s="133"/>
      <c r="E305" s="171"/>
      <c r="F305" s="171"/>
      <c r="G305" s="171"/>
    </row>
    <row r="306" spans="2:7">
      <c r="B306" s="170"/>
      <c r="C306" s="170"/>
      <c r="D306" s="133"/>
      <c r="E306" s="171"/>
      <c r="F306" s="171"/>
      <c r="G306" s="171"/>
    </row>
    <row r="307" spans="2:7">
      <c r="B307" s="170"/>
      <c r="C307" s="170"/>
      <c r="D307" s="133"/>
      <c r="E307" s="171"/>
      <c r="F307" s="171"/>
      <c r="G307" s="171"/>
    </row>
    <row r="308" spans="2:7">
      <c r="B308" s="170"/>
      <c r="C308" s="170"/>
      <c r="D308" s="133"/>
      <c r="E308" s="171"/>
      <c r="F308" s="171"/>
      <c r="G308" s="171"/>
    </row>
    <row r="309" spans="2:7">
      <c r="B309" s="170"/>
      <c r="C309" s="170"/>
      <c r="D309" s="133"/>
      <c r="E309" s="171"/>
      <c r="F309" s="171"/>
      <c r="G309" s="171"/>
    </row>
    <row r="310" spans="2:7">
      <c r="B310" s="170"/>
      <c r="C310" s="170"/>
      <c r="D310" s="133"/>
      <c r="E310" s="171"/>
      <c r="F310" s="171"/>
      <c r="G310" s="171"/>
    </row>
    <row r="311" spans="2:7">
      <c r="B311" s="170"/>
      <c r="C311" s="170"/>
      <c r="D311" s="133"/>
      <c r="E311" s="171"/>
      <c r="F311" s="171"/>
      <c r="G311" s="171"/>
    </row>
    <row r="312" spans="2:7">
      <c r="B312" s="170"/>
      <c r="C312" s="170"/>
      <c r="D312" s="133"/>
      <c r="E312" s="171"/>
      <c r="F312" s="171"/>
      <c r="G312" s="171"/>
    </row>
    <row r="313" spans="2:7">
      <c r="B313" s="170"/>
      <c r="C313" s="170"/>
      <c r="D313" s="133"/>
      <c r="E313" s="171"/>
      <c r="F313" s="171"/>
      <c r="G313" s="171"/>
    </row>
    <row r="314" spans="2:7">
      <c r="B314" s="170"/>
      <c r="C314" s="170"/>
      <c r="D314" s="133"/>
      <c r="E314" s="171"/>
      <c r="F314" s="171"/>
      <c r="G314" s="171"/>
    </row>
    <row r="315" spans="2:7">
      <c r="B315" s="170"/>
      <c r="C315" s="170"/>
      <c r="D315" s="133"/>
      <c r="E315" s="171"/>
      <c r="F315" s="171"/>
      <c r="G315" s="171"/>
    </row>
    <row r="316" spans="2:7">
      <c r="B316" s="170"/>
      <c r="C316" s="170"/>
      <c r="D316" s="133"/>
      <c r="E316" s="171"/>
      <c r="F316" s="171"/>
      <c r="G316" s="171"/>
    </row>
    <row r="317" spans="2:7">
      <c r="B317" s="170"/>
      <c r="C317" s="170"/>
      <c r="D317" s="133"/>
      <c r="E317" s="171"/>
      <c r="F317" s="171"/>
      <c r="G317" s="171"/>
    </row>
    <row r="318" spans="2:7">
      <c r="B318" s="170"/>
      <c r="C318" s="170"/>
      <c r="D318" s="133"/>
      <c r="E318" s="171"/>
      <c r="F318" s="171"/>
      <c r="G318" s="171"/>
    </row>
    <row r="319" spans="2:7">
      <c r="B319" s="170"/>
      <c r="C319" s="170"/>
      <c r="D319" s="133"/>
      <c r="E319" s="171"/>
      <c r="F319" s="171"/>
      <c r="G319" s="171"/>
    </row>
    <row r="320" spans="2:7">
      <c r="B320" s="170"/>
      <c r="C320" s="170"/>
      <c r="D320" s="133"/>
      <c r="E320" s="171"/>
      <c r="F320" s="171"/>
      <c r="G320" s="171"/>
    </row>
    <row r="321" spans="2:7">
      <c r="B321" s="170"/>
      <c r="C321" s="170"/>
      <c r="D321" s="133"/>
      <c r="E321" s="171"/>
      <c r="F321" s="171"/>
      <c r="G321" s="171"/>
    </row>
    <row r="322" spans="2:7">
      <c r="B322" s="170"/>
      <c r="C322" s="170"/>
      <c r="D322" s="133"/>
      <c r="E322" s="171"/>
      <c r="F322" s="171"/>
      <c r="G322" s="171"/>
    </row>
    <row r="323" spans="2:7">
      <c r="B323" s="170"/>
      <c r="C323" s="170"/>
      <c r="D323" s="133"/>
      <c r="E323" s="171"/>
      <c r="F323" s="171"/>
      <c r="G323" s="171"/>
    </row>
    <row r="324" spans="2:7">
      <c r="B324" s="170"/>
      <c r="C324" s="170"/>
      <c r="D324" s="133"/>
      <c r="E324" s="171"/>
      <c r="F324" s="171"/>
      <c r="G324" s="171"/>
    </row>
    <row r="325" spans="2:7">
      <c r="B325" s="170"/>
      <c r="C325" s="170"/>
      <c r="D325" s="133"/>
      <c r="E325" s="171"/>
      <c r="F325" s="171"/>
      <c r="G325" s="171"/>
    </row>
    <row r="326" spans="2:7">
      <c r="B326" s="170"/>
      <c r="C326" s="170"/>
      <c r="D326" s="133"/>
      <c r="E326" s="171"/>
      <c r="F326" s="171"/>
      <c r="G326" s="171"/>
    </row>
    <row r="327" spans="2:7">
      <c r="B327" s="170"/>
      <c r="C327" s="170"/>
      <c r="D327" s="133"/>
      <c r="E327" s="171"/>
      <c r="F327" s="171"/>
      <c r="G327" s="171"/>
    </row>
    <row r="328" spans="2:7">
      <c r="B328" s="170"/>
      <c r="C328" s="170"/>
      <c r="D328" s="133"/>
      <c r="E328" s="171"/>
      <c r="F328" s="171"/>
      <c r="G328" s="171"/>
    </row>
    <row r="329" spans="2:7">
      <c r="B329" s="170"/>
      <c r="C329" s="170"/>
      <c r="D329" s="133"/>
      <c r="E329" s="171"/>
      <c r="F329" s="171"/>
      <c r="G329" s="171"/>
    </row>
    <row r="330" spans="2:7">
      <c r="B330" s="170"/>
      <c r="C330" s="170"/>
      <c r="D330" s="133"/>
      <c r="E330" s="171"/>
      <c r="F330" s="171"/>
      <c r="G330" s="171"/>
    </row>
    <row r="331" spans="2:7">
      <c r="B331" s="170"/>
      <c r="C331" s="170"/>
      <c r="D331" s="133"/>
      <c r="E331" s="171"/>
      <c r="F331" s="171"/>
      <c r="G331" s="171"/>
    </row>
    <row r="332" spans="2:7">
      <c r="B332" s="170"/>
      <c r="C332" s="170"/>
      <c r="D332" s="133"/>
      <c r="E332" s="171"/>
      <c r="F332" s="171"/>
      <c r="G332" s="171"/>
    </row>
    <row r="333" spans="2:7">
      <c r="B333" s="170"/>
      <c r="C333" s="170"/>
      <c r="D333" s="133"/>
      <c r="E333" s="171"/>
      <c r="F333" s="171"/>
      <c r="G333" s="171"/>
    </row>
    <row r="334" spans="2:7">
      <c r="B334" s="170"/>
      <c r="C334" s="170"/>
      <c r="D334" s="133"/>
      <c r="E334" s="171"/>
      <c r="F334" s="171"/>
      <c r="G334" s="171"/>
    </row>
    <row r="335" spans="2:7">
      <c r="B335" s="170"/>
      <c r="C335" s="170"/>
      <c r="D335" s="133"/>
      <c r="E335" s="171"/>
      <c r="F335" s="171"/>
      <c r="G335" s="171"/>
    </row>
    <row r="336" spans="2:7">
      <c r="B336" s="170"/>
      <c r="C336" s="170"/>
      <c r="D336" s="133"/>
      <c r="E336" s="171"/>
      <c r="F336" s="171"/>
      <c r="G336" s="171"/>
    </row>
    <row r="337" spans="2:7">
      <c r="B337" s="170"/>
      <c r="C337" s="170"/>
      <c r="D337" s="133"/>
      <c r="E337" s="171"/>
      <c r="F337" s="171"/>
      <c r="G337" s="171"/>
    </row>
    <row r="338" spans="2:7">
      <c r="B338" s="170"/>
      <c r="C338" s="170"/>
      <c r="D338" s="133"/>
      <c r="E338" s="171"/>
      <c r="F338" s="171"/>
      <c r="G338" s="171"/>
    </row>
    <row r="339" spans="2:7">
      <c r="B339" s="170"/>
      <c r="C339" s="170"/>
      <c r="D339" s="133"/>
      <c r="E339" s="171"/>
      <c r="F339" s="171"/>
      <c r="G339" s="171"/>
    </row>
    <row r="340" spans="2:7">
      <c r="B340" s="170"/>
      <c r="C340" s="170"/>
      <c r="D340" s="133"/>
      <c r="E340" s="171"/>
      <c r="F340" s="171"/>
      <c r="G340" s="171"/>
    </row>
    <row r="341" spans="2:7">
      <c r="B341" s="170"/>
      <c r="C341" s="170"/>
      <c r="D341" s="133"/>
      <c r="E341" s="171"/>
      <c r="F341" s="171"/>
      <c r="G341" s="171"/>
    </row>
    <row r="342" spans="2:7">
      <c r="B342" s="170"/>
      <c r="C342" s="170"/>
      <c r="D342" s="133"/>
      <c r="E342" s="171"/>
      <c r="F342" s="171"/>
      <c r="G342" s="171"/>
    </row>
    <row r="343" spans="2:7">
      <c r="B343" s="170"/>
      <c r="C343" s="170"/>
      <c r="D343" s="133"/>
      <c r="E343" s="171"/>
      <c r="F343" s="171"/>
      <c r="G343" s="171"/>
    </row>
    <row r="344" spans="2:7">
      <c r="B344" s="170"/>
      <c r="C344" s="170"/>
      <c r="D344" s="133"/>
      <c r="E344" s="171"/>
      <c r="F344" s="171"/>
      <c r="G344" s="171"/>
    </row>
    <row r="345" spans="2:7">
      <c r="B345" s="170"/>
      <c r="C345" s="170"/>
      <c r="D345" s="133"/>
      <c r="E345" s="171"/>
      <c r="F345" s="171"/>
      <c r="G345" s="171"/>
    </row>
    <row r="346" spans="2:7">
      <c r="B346" s="170"/>
      <c r="C346" s="170"/>
      <c r="D346" s="133"/>
      <c r="E346" s="171"/>
      <c r="F346" s="171"/>
      <c r="G346" s="171"/>
    </row>
    <row r="347" spans="2:7">
      <c r="B347" s="170"/>
      <c r="C347" s="170"/>
      <c r="D347" s="133"/>
      <c r="E347" s="171"/>
      <c r="F347" s="171"/>
      <c r="G347" s="171"/>
    </row>
    <row r="348" spans="2:7">
      <c r="B348" s="170"/>
      <c r="C348" s="170"/>
      <c r="D348" s="133"/>
      <c r="E348" s="171"/>
      <c r="F348" s="171"/>
      <c r="G348" s="171"/>
    </row>
    <row r="349" spans="2:7">
      <c r="B349" s="170"/>
      <c r="C349" s="170"/>
      <c r="D349" s="133"/>
      <c r="E349" s="171"/>
      <c r="F349" s="171"/>
      <c r="G349" s="171"/>
    </row>
    <row r="350" spans="2:7">
      <c r="B350" s="170"/>
      <c r="C350" s="170"/>
      <c r="D350" s="133"/>
      <c r="E350" s="171"/>
      <c r="F350" s="171"/>
      <c r="G350" s="171"/>
    </row>
    <row r="351" spans="2:7">
      <c r="B351" s="170"/>
      <c r="C351" s="170"/>
      <c r="D351" s="133"/>
      <c r="E351" s="171"/>
      <c r="F351" s="171"/>
      <c r="G351" s="171"/>
    </row>
    <row r="352" spans="2:7">
      <c r="B352" s="170"/>
      <c r="C352" s="170"/>
      <c r="D352" s="133"/>
      <c r="E352" s="171"/>
      <c r="F352" s="171"/>
      <c r="G352" s="171"/>
    </row>
    <row r="353" spans="2:7">
      <c r="B353" s="170"/>
      <c r="C353" s="170"/>
      <c r="D353" s="133"/>
      <c r="E353" s="171"/>
      <c r="F353" s="171"/>
      <c r="G353" s="171"/>
    </row>
    <row r="354" spans="2:7">
      <c r="B354" s="170"/>
      <c r="C354" s="170"/>
      <c r="D354" s="133"/>
      <c r="E354" s="171"/>
      <c r="F354" s="171"/>
      <c r="G354" s="171"/>
    </row>
    <row r="355" spans="2:7">
      <c r="B355" s="170"/>
      <c r="C355" s="170"/>
      <c r="D355" s="133"/>
      <c r="E355" s="171"/>
      <c r="F355" s="171"/>
      <c r="G355" s="171"/>
    </row>
    <row r="356" spans="2:7">
      <c r="B356" s="170"/>
      <c r="C356" s="170"/>
      <c r="D356" s="133"/>
      <c r="E356" s="171"/>
      <c r="F356" s="171"/>
      <c r="G356" s="171"/>
    </row>
    <row r="357" spans="2:7">
      <c r="B357" s="170"/>
      <c r="C357" s="170"/>
      <c r="D357" s="133"/>
      <c r="E357" s="171"/>
      <c r="F357" s="171"/>
      <c r="G357" s="171"/>
    </row>
    <row r="358" spans="2:7">
      <c r="B358" s="170"/>
      <c r="C358" s="170"/>
      <c r="D358" s="133"/>
      <c r="E358" s="171"/>
      <c r="F358" s="171"/>
      <c r="G358" s="171"/>
    </row>
    <row r="359" spans="2:7">
      <c r="B359" s="170"/>
      <c r="C359" s="170"/>
      <c r="D359" s="133"/>
      <c r="E359" s="171"/>
      <c r="F359" s="171"/>
      <c r="G359" s="171"/>
    </row>
    <row r="360" spans="2:7">
      <c r="B360" s="170"/>
      <c r="C360" s="170"/>
      <c r="D360" s="133"/>
      <c r="E360" s="171"/>
      <c r="F360" s="171"/>
      <c r="G360" s="171"/>
    </row>
    <row r="361" spans="2:7">
      <c r="B361" s="170"/>
      <c r="C361" s="170"/>
      <c r="D361" s="133"/>
      <c r="E361" s="171"/>
      <c r="F361" s="171"/>
      <c r="G361" s="171"/>
    </row>
    <row r="362" spans="2:7">
      <c r="B362" s="170"/>
      <c r="C362" s="170"/>
      <c r="D362" s="133"/>
      <c r="E362" s="171"/>
      <c r="F362" s="171"/>
      <c r="G362" s="171"/>
    </row>
    <row r="363" spans="2:7">
      <c r="B363" s="170"/>
      <c r="C363" s="170"/>
      <c r="D363" s="133"/>
      <c r="E363" s="171"/>
      <c r="F363" s="171"/>
      <c r="G363" s="171"/>
    </row>
    <row r="364" spans="2:7">
      <c r="B364" s="170"/>
      <c r="C364" s="170"/>
      <c r="D364" s="133"/>
      <c r="E364" s="171"/>
      <c r="F364" s="171"/>
      <c r="G364" s="171"/>
    </row>
    <row r="365" spans="2:7">
      <c r="B365" s="170"/>
      <c r="C365" s="170"/>
      <c r="D365" s="133"/>
      <c r="E365" s="171"/>
      <c r="F365" s="171"/>
      <c r="G365" s="171"/>
    </row>
    <row r="366" spans="2:7">
      <c r="B366" s="170"/>
      <c r="C366" s="170"/>
      <c r="D366" s="133"/>
      <c r="E366" s="171"/>
      <c r="F366" s="171"/>
      <c r="G366" s="171"/>
    </row>
    <row r="367" spans="2:7">
      <c r="B367" s="170"/>
      <c r="C367" s="170"/>
      <c r="D367" s="133"/>
      <c r="E367" s="171"/>
      <c r="F367" s="171"/>
      <c r="G367" s="171"/>
    </row>
    <row r="368" spans="2:7">
      <c r="B368" s="170"/>
      <c r="C368" s="170"/>
      <c r="D368" s="133"/>
      <c r="E368" s="171"/>
      <c r="F368" s="171"/>
      <c r="G368" s="171"/>
    </row>
    <row r="369" spans="2:7">
      <c r="B369" s="170"/>
      <c r="C369" s="170"/>
      <c r="D369" s="133"/>
      <c r="E369" s="171"/>
      <c r="F369" s="171"/>
      <c r="G369" s="171"/>
    </row>
    <row r="370" spans="2:7">
      <c r="B370" s="170"/>
      <c r="C370" s="170"/>
      <c r="D370" s="133"/>
      <c r="E370" s="171"/>
      <c r="F370" s="171"/>
      <c r="G370" s="171"/>
    </row>
    <row r="371" spans="2:7">
      <c r="B371" s="170"/>
      <c r="C371" s="170"/>
      <c r="D371" s="133"/>
      <c r="E371" s="171"/>
      <c r="F371" s="171"/>
      <c r="G371" s="171"/>
    </row>
    <row r="372" spans="2:7">
      <c r="B372" s="170"/>
      <c r="C372" s="170"/>
      <c r="D372" s="133"/>
      <c r="E372" s="171"/>
      <c r="F372" s="171"/>
      <c r="G372" s="171"/>
    </row>
    <row r="373" spans="2:7">
      <c r="B373" s="170"/>
      <c r="C373" s="170"/>
      <c r="D373" s="133"/>
      <c r="E373" s="171"/>
      <c r="F373" s="171"/>
      <c r="G373" s="171"/>
    </row>
    <row r="374" spans="2:7">
      <c r="B374" s="170"/>
      <c r="C374" s="170"/>
      <c r="D374" s="133"/>
      <c r="E374" s="171"/>
      <c r="F374" s="171"/>
      <c r="G374" s="171"/>
    </row>
    <row r="375" spans="2:7">
      <c r="B375" s="170"/>
      <c r="C375" s="170"/>
      <c r="D375" s="133"/>
      <c r="E375" s="171"/>
      <c r="F375" s="171"/>
      <c r="G375" s="171"/>
    </row>
    <row r="376" spans="2:7">
      <c r="B376" s="170"/>
      <c r="C376" s="170"/>
      <c r="D376" s="133"/>
      <c r="E376" s="171"/>
      <c r="F376" s="171"/>
      <c r="G376" s="171"/>
    </row>
    <row r="377" spans="2:7">
      <c r="B377" s="170"/>
      <c r="C377" s="170"/>
      <c r="D377" s="133"/>
      <c r="E377" s="171"/>
      <c r="F377" s="171"/>
      <c r="G377" s="171"/>
    </row>
    <row r="378" spans="2:7">
      <c r="B378" s="170"/>
      <c r="C378" s="170"/>
      <c r="D378" s="133"/>
      <c r="E378" s="171"/>
      <c r="F378" s="171"/>
      <c r="G378" s="171"/>
    </row>
    <row r="379" spans="2:7">
      <c r="B379" s="170"/>
      <c r="C379" s="170"/>
      <c r="D379" s="133"/>
      <c r="E379" s="171"/>
      <c r="F379" s="171"/>
      <c r="G379" s="171"/>
    </row>
    <row r="380" spans="2:7">
      <c r="B380" s="170"/>
      <c r="C380" s="170"/>
      <c r="D380" s="133"/>
      <c r="E380" s="171"/>
      <c r="F380" s="171"/>
      <c r="G380" s="171"/>
    </row>
    <row r="381" spans="2:7">
      <c r="B381" s="170"/>
      <c r="C381" s="170"/>
      <c r="D381" s="133"/>
      <c r="E381" s="171"/>
      <c r="F381" s="171"/>
      <c r="G381" s="171"/>
    </row>
    <row r="382" spans="2:7">
      <c r="B382" s="170"/>
      <c r="C382" s="170"/>
      <c r="D382" s="133"/>
      <c r="E382" s="171"/>
      <c r="F382" s="171"/>
      <c r="G382" s="171"/>
    </row>
    <row r="383" spans="2:7">
      <c r="B383" s="170"/>
      <c r="C383" s="170"/>
      <c r="D383" s="133"/>
      <c r="E383" s="171"/>
      <c r="F383" s="171"/>
      <c r="G383" s="171"/>
    </row>
    <row r="384" spans="2:7">
      <c r="B384" s="170"/>
      <c r="C384" s="170"/>
      <c r="D384" s="133"/>
      <c r="E384" s="171"/>
      <c r="F384" s="171"/>
      <c r="G384" s="171"/>
    </row>
    <row r="385" spans="2:7">
      <c r="B385" s="170"/>
      <c r="C385" s="170"/>
      <c r="D385" s="133"/>
      <c r="E385" s="171"/>
      <c r="F385" s="171"/>
      <c r="G385" s="171"/>
    </row>
    <row r="386" spans="2:7">
      <c r="B386" s="170"/>
      <c r="C386" s="170"/>
      <c r="D386" s="133"/>
      <c r="E386" s="171"/>
      <c r="F386" s="171"/>
      <c r="G386" s="171"/>
    </row>
    <row r="387" spans="2:7">
      <c r="B387" s="170"/>
      <c r="C387" s="170"/>
      <c r="D387" s="133"/>
      <c r="E387" s="171"/>
      <c r="F387" s="171"/>
      <c r="G387" s="171"/>
    </row>
    <row r="388" spans="2:7">
      <c r="B388" s="170"/>
      <c r="C388" s="170"/>
      <c r="D388" s="133"/>
      <c r="E388" s="171"/>
      <c r="F388" s="171"/>
      <c r="G388" s="171"/>
    </row>
    <row r="389" spans="2:7">
      <c r="B389" s="170"/>
      <c r="C389" s="170"/>
      <c r="D389" s="133"/>
      <c r="E389" s="171"/>
      <c r="F389" s="171"/>
      <c r="G389" s="171"/>
    </row>
    <row r="390" spans="2:7">
      <c r="B390" s="170"/>
      <c r="C390" s="170"/>
      <c r="D390" s="133"/>
      <c r="E390" s="171"/>
      <c r="F390" s="171"/>
      <c r="G390" s="171"/>
    </row>
    <row r="391" spans="2:7">
      <c r="B391" s="170"/>
      <c r="C391" s="170"/>
      <c r="D391" s="133"/>
      <c r="E391" s="171"/>
      <c r="F391" s="171"/>
      <c r="G391" s="171"/>
    </row>
    <row r="392" spans="2:7">
      <c r="B392" s="170"/>
      <c r="C392" s="170"/>
      <c r="D392" s="133"/>
      <c r="E392" s="171"/>
      <c r="F392" s="171"/>
      <c r="G392" s="171"/>
    </row>
    <row r="393" spans="2:7">
      <c r="B393" s="170"/>
      <c r="C393" s="170"/>
      <c r="D393" s="133"/>
      <c r="E393" s="171"/>
      <c r="F393" s="171"/>
      <c r="G393" s="171"/>
    </row>
    <row r="394" spans="2:7">
      <c r="B394" s="170"/>
      <c r="C394" s="170"/>
      <c r="D394" s="133"/>
      <c r="E394" s="171"/>
      <c r="F394" s="171"/>
      <c r="G394" s="171"/>
    </row>
    <row r="395" spans="2:7">
      <c r="B395" s="170"/>
      <c r="C395" s="170"/>
      <c r="D395" s="133"/>
      <c r="E395" s="171"/>
      <c r="F395" s="171"/>
      <c r="G395" s="171"/>
    </row>
    <row r="396" spans="2:7">
      <c r="B396" s="170"/>
      <c r="C396" s="170"/>
      <c r="D396" s="133"/>
      <c r="E396" s="171"/>
      <c r="F396" s="171"/>
      <c r="G396" s="171"/>
    </row>
    <row r="397" spans="2:7">
      <c r="B397" s="170"/>
      <c r="C397" s="170"/>
      <c r="D397" s="133"/>
      <c r="E397" s="171"/>
      <c r="F397" s="171"/>
      <c r="G397" s="171"/>
    </row>
    <row r="398" spans="2:7">
      <c r="B398" s="170"/>
      <c r="C398" s="170"/>
      <c r="D398" s="133"/>
      <c r="E398" s="171"/>
      <c r="F398" s="171"/>
      <c r="G398" s="171"/>
    </row>
    <row r="399" spans="2:7">
      <c r="B399" s="170"/>
      <c r="C399" s="170"/>
      <c r="D399" s="133"/>
      <c r="E399" s="171"/>
      <c r="F399" s="171"/>
      <c r="G399" s="171"/>
    </row>
    <row r="400" spans="2:7">
      <c r="B400" s="170"/>
      <c r="C400" s="170"/>
      <c r="D400" s="133"/>
      <c r="E400" s="171"/>
      <c r="F400" s="171"/>
      <c r="G400" s="171"/>
    </row>
    <row r="401" spans="2:7">
      <c r="B401" s="170"/>
      <c r="C401" s="170"/>
      <c r="D401" s="133"/>
      <c r="E401" s="171"/>
      <c r="F401" s="171"/>
      <c r="G401" s="171"/>
    </row>
    <row r="402" spans="2:7">
      <c r="B402" s="170"/>
      <c r="C402" s="170"/>
      <c r="D402" s="133"/>
      <c r="E402" s="171"/>
      <c r="F402" s="171"/>
      <c r="G402" s="171"/>
    </row>
    <row r="403" spans="2:7">
      <c r="B403" s="170"/>
      <c r="C403" s="170"/>
      <c r="D403" s="133"/>
      <c r="E403" s="171"/>
      <c r="F403" s="171"/>
      <c r="G403" s="171"/>
    </row>
    <row r="404" spans="2:7">
      <c r="B404" s="170"/>
      <c r="C404" s="170"/>
      <c r="D404" s="133"/>
      <c r="E404" s="171"/>
      <c r="F404" s="171"/>
      <c r="G404" s="171"/>
    </row>
    <row r="405" spans="2:7">
      <c r="B405" s="170"/>
      <c r="C405" s="170"/>
      <c r="D405" s="133"/>
      <c r="E405" s="171"/>
      <c r="F405" s="171"/>
      <c r="G405" s="171"/>
    </row>
    <row r="406" spans="2:7">
      <c r="B406" s="170"/>
      <c r="C406" s="170"/>
      <c r="D406" s="133"/>
      <c r="E406" s="171"/>
      <c r="F406" s="171"/>
      <c r="G406" s="171"/>
    </row>
    <row r="407" spans="2:7">
      <c r="B407" s="170"/>
      <c r="C407" s="170"/>
      <c r="D407" s="133"/>
      <c r="E407" s="171"/>
      <c r="F407" s="171"/>
      <c r="G407" s="171"/>
    </row>
    <row r="408" spans="2:7">
      <c r="B408" s="170"/>
      <c r="C408" s="170"/>
      <c r="D408" s="133"/>
      <c r="E408" s="171"/>
      <c r="F408" s="171"/>
      <c r="G408" s="171"/>
    </row>
    <row r="409" spans="2:7">
      <c r="B409" s="170"/>
      <c r="C409" s="170"/>
      <c r="D409" s="133"/>
      <c r="E409" s="171"/>
      <c r="F409" s="171"/>
      <c r="G409" s="171"/>
    </row>
    <row r="410" spans="2:7">
      <c r="B410" s="170"/>
      <c r="C410" s="170"/>
      <c r="D410" s="133"/>
      <c r="E410" s="171"/>
      <c r="F410" s="171"/>
      <c r="G410" s="171"/>
    </row>
    <row r="411" spans="2:7">
      <c r="B411" s="170"/>
      <c r="C411" s="170"/>
      <c r="D411" s="133"/>
      <c r="E411" s="171"/>
      <c r="F411" s="171"/>
      <c r="G411" s="171"/>
    </row>
    <row r="412" spans="2:7">
      <c r="B412" s="170"/>
      <c r="C412" s="170"/>
      <c r="D412" s="133"/>
      <c r="E412" s="171"/>
      <c r="F412" s="171"/>
      <c r="G412" s="171"/>
    </row>
    <row r="413" spans="2:7">
      <c r="B413" s="170"/>
      <c r="C413" s="170"/>
      <c r="D413" s="133"/>
      <c r="E413" s="171"/>
      <c r="F413" s="171"/>
      <c r="G413" s="171"/>
    </row>
    <row r="414" spans="2:7">
      <c r="B414" s="170"/>
      <c r="C414" s="170"/>
      <c r="D414" s="133"/>
      <c r="E414" s="171"/>
      <c r="F414" s="171"/>
      <c r="G414" s="171"/>
    </row>
    <row r="415" spans="2:7">
      <c r="B415" s="170"/>
      <c r="C415" s="170"/>
      <c r="D415" s="133"/>
      <c r="E415" s="171"/>
      <c r="F415" s="171"/>
      <c r="G415" s="171"/>
    </row>
    <row r="416" spans="2:7">
      <c r="B416" s="170"/>
      <c r="C416" s="170"/>
      <c r="D416" s="133"/>
      <c r="E416" s="171"/>
      <c r="F416" s="171"/>
      <c r="G416" s="171"/>
    </row>
    <row r="417" spans="2:7">
      <c r="B417" s="170"/>
      <c r="C417" s="170"/>
      <c r="D417" s="133"/>
      <c r="E417" s="171"/>
      <c r="F417" s="171"/>
      <c r="G417" s="171"/>
    </row>
    <row r="418" spans="2:7">
      <c r="B418" s="170"/>
      <c r="C418" s="170"/>
      <c r="D418" s="133"/>
      <c r="E418" s="171"/>
      <c r="F418" s="171"/>
      <c r="G418" s="171"/>
    </row>
    <row r="419" spans="2:7">
      <c r="B419" s="170"/>
      <c r="C419" s="170"/>
      <c r="D419" s="133"/>
      <c r="E419" s="171"/>
      <c r="F419" s="171"/>
      <c r="G419" s="171"/>
    </row>
    <row r="420" spans="2:7">
      <c r="B420" s="170"/>
      <c r="C420" s="170"/>
      <c r="D420" s="133"/>
      <c r="E420" s="171"/>
      <c r="F420" s="171"/>
      <c r="G420" s="171"/>
    </row>
    <row r="421" spans="2:7">
      <c r="B421" s="170"/>
      <c r="C421" s="170"/>
      <c r="D421" s="133"/>
      <c r="E421" s="171"/>
      <c r="F421" s="171"/>
      <c r="G421" s="171"/>
    </row>
    <row r="422" spans="2:7">
      <c r="B422" s="170"/>
      <c r="C422" s="170"/>
      <c r="D422" s="133"/>
      <c r="E422" s="171"/>
      <c r="F422" s="171"/>
      <c r="G422" s="171"/>
    </row>
    <row r="423" spans="2:7">
      <c r="B423" s="170"/>
      <c r="C423" s="170"/>
      <c r="D423" s="133"/>
      <c r="E423" s="171"/>
      <c r="F423" s="171"/>
      <c r="G423" s="171"/>
    </row>
    <row r="424" spans="2:7">
      <c r="B424" s="170"/>
      <c r="C424" s="170"/>
      <c r="D424" s="133"/>
      <c r="E424" s="171"/>
      <c r="F424" s="171"/>
      <c r="G424" s="171"/>
    </row>
    <row r="425" spans="2:7">
      <c r="B425" s="170"/>
      <c r="C425" s="170"/>
      <c r="D425" s="133"/>
      <c r="E425" s="171"/>
      <c r="F425" s="171"/>
      <c r="G425" s="171"/>
    </row>
    <row r="426" spans="2:7">
      <c r="B426" s="170"/>
      <c r="C426" s="170"/>
      <c r="D426" s="133"/>
      <c r="E426" s="171"/>
      <c r="F426" s="171"/>
      <c r="G426" s="171"/>
    </row>
    <row r="427" spans="2:7">
      <c r="B427" s="170"/>
      <c r="C427" s="170"/>
      <c r="D427" s="133"/>
      <c r="E427" s="171"/>
      <c r="F427" s="171"/>
      <c r="G427" s="171"/>
    </row>
    <row r="428" spans="2:7">
      <c r="B428" s="170"/>
      <c r="C428" s="170"/>
      <c r="D428" s="133"/>
      <c r="E428" s="171"/>
      <c r="F428" s="171"/>
      <c r="G428" s="171"/>
    </row>
    <row r="429" spans="2:7">
      <c r="B429" s="170"/>
      <c r="C429" s="170"/>
      <c r="D429" s="133"/>
      <c r="E429" s="171"/>
      <c r="F429" s="171"/>
      <c r="G429" s="171"/>
    </row>
    <row r="430" spans="2:7">
      <c r="B430" s="170"/>
      <c r="C430" s="170"/>
      <c r="D430" s="133"/>
      <c r="E430" s="171"/>
      <c r="F430" s="171"/>
      <c r="G430" s="171"/>
    </row>
    <row r="431" spans="2:7">
      <c r="B431" s="170"/>
      <c r="C431" s="170"/>
      <c r="D431" s="133"/>
      <c r="E431" s="171"/>
      <c r="F431" s="171"/>
      <c r="G431" s="171"/>
    </row>
    <row r="432" spans="2:7">
      <c r="B432" s="170"/>
      <c r="C432" s="170"/>
      <c r="D432" s="133"/>
      <c r="E432" s="171"/>
      <c r="F432" s="171"/>
      <c r="G432" s="171"/>
    </row>
    <row r="433" spans="2:7">
      <c r="B433" s="170"/>
      <c r="C433" s="170"/>
      <c r="D433" s="133"/>
      <c r="E433" s="171"/>
      <c r="F433" s="171"/>
      <c r="G433" s="171"/>
    </row>
    <row r="434" spans="2:7">
      <c r="B434" s="170"/>
      <c r="C434" s="170"/>
      <c r="D434" s="133"/>
      <c r="E434" s="171"/>
      <c r="F434" s="171"/>
      <c r="G434" s="171"/>
    </row>
    <row r="435" spans="2:7">
      <c r="B435" s="170"/>
      <c r="C435" s="170"/>
      <c r="D435" s="133"/>
      <c r="E435" s="171"/>
      <c r="F435" s="171"/>
      <c r="G435" s="171"/>
    </row>
    <row r="436" spans="2:7">
      <c r="B436" s="170"/>
      <c r="C436" s="170"/>
      <c r="D436" s="133"/>
      <c r="E436" s="171"/>
      <c r="F436" s="171"/>
      <c r="G436" s="171"/>
    </row>
    <row r="437" spans="2:7">
      <c r="B437" s="170"/>
      <c r="C437" s="170"/>
      <c r="D437" s="133"/>
      <c r="E437" s="171"/>
      <c r="F437" s="171"/>
      <c r="G437" s="171"/>
    </row>
    <row r="438" spans="2:7">
      <c r="B438" s="170"/>
      <c r="C438" s="170"/>
      <c r="D438" s="133"/>
      <c r="E438" s="171"/>
      <c r="F438" s="171"/>
      <c r="G438" s="171"/>
    </row>
    <row r="439" spans="2:7">
      <c r="B439" s="170"/>
      <c r="C439" s="170"/>
      <c r="D439" s="133"/>
      <c r="E439" s="171"/>
      <c r="F439" s="171"/>
      <c r="G439" s="171"/>
    </row>
    <row r="440" spans="2:7">
      <c r="B440" s="170"/>
      <c r="C440" s="170"/>
      <c r="D440" s="133"/>
      <c r="E440" s="171"/>
      <c r="F440" s="171"/>
      <c r="G440" s="171"/>
    </row>
    <row r="441" spans="2:7">
      <c r="B441" s="170"/>
      <c r="C441" s="170"/>
      <c r="D441" s="133"/>
      <c r="E441" s="171"/>
      <c r="F441" s="171"/>
      <c r="G441" s="171"/>
    </row>
    <row r="442" spans="2:7">
      <c r="B442" s="170"/>
      <c r="C442" s="170"/>
      <c r="D442" s="133"/>
      <c r="E442" s="171"/>
      <c r="F442" s="171"/>
      <c r="G442" s="171"/>
    </row>
    <row r="443" spans="2:7">
      <c r="B443" s="170"/>
      <c r="C443" s="170"/>
      <c r="D443" s="133"/>
      <c r="E443" s="171"/>
      <c r="F443" s="171"/>
      <c r="G443" s="171"/>
    </row>
    <row r="444" spans="2:7">
      <c r="B444" s="170"/>
      <c r="C444" s="170"/>
      <c r="D444" s="133"/>
      <c r="E444" s="171"/>
      <c r="F444" s="171"/>
      <c r="G444" s="171"/>
    </row>
    <row r="445" spans="2:7">
      <c r="B445" s="170"/>
      <c r="C445" s="170"/>
      <c r="D445" s="133"/>
      <c r="E445" s="171"/>
      <c r="F445" s="171"/>
      <c r="G445" s="171"/>
    </row>
    <row r="446" spans="2:7">
      <c r="B446" s="170"/>
      <c r="C446" s="170"/>
      <c r="D446" s="133"/>
      <c r="E446" s="171"/>
      <c r="F446" s="171"/>
      <c r="G446" s="171"/>
    </row>
    <row r="447" spans="2:7">
      <c r="B447" s="170"/>
      <c r="C447" s="170"/>
      <c r="D447" s="133"/>
      <c r="E447" s="171"/>
      <c r="F447" s="171"/>
      <c r="G447" s="171"/>
    </row>
    <row r="448" spans="2:7">
      <c r="B448" s="170"/>
      <c r="C448" s="170"/>
      <c r="D448" s="133"/>
      <c r="E448" s="171"/>
      <c r="F448" s="171"/>
      <c r="G448" s="171"/>
    </row>
    <row r="449" spans="2:7">
      <c r="B449" s="170"/>
      <c r="C449" s="170"/>
      <c r="D449" s="133"/>
      <c r="E449" s="171"/>
      <c r="F449" s="171"/>
      <c r="G449" s="171"/>
    </row>
    <row r="450" spans="2:7">
      <c r="B450" s="170"/>
      <c r="C450" s="170"/>
      <c r="D450" s="133"/>
      <c r="E450" s="171"/>
      <c r="F450" s="171"/>
      <c r="G450" s="171"/>
    </row>
    <row r="451" spans="2:7">
      <c r="B451" s="170"/>
      <c r="C451" s="170"/>
      <c r="D451" s="133"/>
      <c r="E451" s="171"/>
      <c r="F451" s="171"/>
      <c r="G451" s="171"/>
    </row>
    <row r="452" spans="2:7">
      <c r="B452" s="170"/>
      <c r="C452" s="170"/>
      <c r="D452" s="133"/>
      <c r="E452" s="171"/>
      <c r="F452" s="171"/>
      <c r="G452" s="171"/>
    </row>
    <row r="453" spans="2:7">
      <c r="B453" s="170"/>
      <c r="C453" s="170"/>
      <c r="D453" s="133"/>
      <c r="E453" s="171"/>
      <c r="F453" s="171"/>
      <c r="G453" s="171"/>
    </row>
    <row r="454" spans="2:7">
      <c r="B454" s="170"/>
      <c r="C454" s="170"/>
      <c r="D454" s="133"/>
      <c r="E454" s="171"/>
      <c r="F454" s="171"/>
      <c r="G454" s="171"/>
    </row>
    <row r="455" spans="2:7">
      <c r="B455" s="170"/>
      <c r="C455" s="170"/>
      <c r="D455" s="133"/>
      <c r="E455" s="171"/>
      <c r="F455" s="171"/>
      <c r="G455" s="171"/>
    </row>
    <row r="456" spans="2:7">
      <c r="B456" s="170"/>
      <c r="C456" s="170"/>
      <c r="D456" s="133"/>
      <c r="E456" s="171"/>
      <c r="F456" s="171"/>
      <c r="G456" s="171"/>
    </row>
    <row r="457" spans="2:7">
      <c r="B457" s="170"/>
      <c r="C457" s="170"/>
      <c r="D457" s="133"/>
      <c r="E457" s="171"/>
      <c r="F457" s="171"/>
      <c r="G457" s="171"/>
    </row>
    <row r="458" spans="2:7">
      <c r="B458" s="170"/>
      <c r="C458" s="170"/>
      <c r="D458" s="133"/>
      <c r="E458" s="171"/>
      <c r="F458" s="171"/>
      <c r="G458" s="171"/>
    </row>
    <row r="459" spans="2:7">
      <c r="B459" s="170"/>
      <c r="C459" s="170"/>
      <c r="D459" s="133"/>
      <c r="E459" s="171"/>
      <c r="F459" s="171"/>
      <c r="G459" s="171"/>
    </row>
    <row r="460" spans="2:7">
      <c r="B460" s="170"/>
      <c r="C460" s="170"/>
      <c r="D460" s="133"/>
      <c r="E460" s="171"/>
      <c r="F460" s="171"/>
      <c r="G460" s="171"/>
    </row>
    <row r="461" spans="2:7">
      <c r="B461" s="170"/>
      <c r="C461" s="170"/>
      <c r="D461" s="133"/>
      <c r="E461" s="171"/>
      <c r="F461" s="171"/>
      <c r="G461" s="171"/>
    </row>
    <row r="462" spans="2:7">
      <c r="B462" s="170"/>
      <c r="C462" s="170"/>
      <c r="D462" s="133"/>
      <c r="E462" s="171"/>
      <c r="F462" s="171"/>
      <c r="G462" s="171"/>
    </row>
    <row r="463" spans="2:7">
      <c r="B463" s="170"/>
      <c r="C463" s="170"/>
      <c r="D463" s="133"/>
      <c r="E463" s="171"/>
      <c r="F463" s="171"/>
      <c r="G463" s="171"/>
    </row>
    <row r="464" spans="2:7">
      <c r="B464" s="170"/>
      <c r="C464" s="170"/>
      <c r="D464" s="133"/>
      <c r="E464" s="171"/>
      <c r="F464" s="171"/>
      <c r="G464" s="171"/>
    </row>
    <row r="465" spans="2:7">
      <c r="B465" s="170"/>
      <c r="C465" s="170"/>
      <c r="D465" s="133"/>
      <c r="E465" s="171"/>
      <c r="F465" s="171"/>
      <c r="G465" s="171"/>
    </row>
    <row r="466" spans="2:7">
      <c r="B466" s="170"/>
      <c r="C466" s="170"/>
      <c r="D466" s="133"/>
      <c r="E466" s="171"/>
      <c r="F466" s="171"/>
      <c r="G466" s="171"/>
    </row>
    <row r="467" spans="2:7">
      <c r="B467" s="170"/>
      <c r="C467" s="170"/>
      <c r="D467" s="133"/>
      <c r="E467" s="171"/>
      <c r="F467" s="171"/>
      <c r="G467" s="171"/>
    </row>
    <row r="468" spans="2:7">
      <c r="B468" s="170"/>
      <c r="C468" s="170"/>
      <c r="D468" s="133"/>
      <c r="E468" s="171"/>
      <c r="F468" s="171"/>
      <c r="G468" s="171"/>
    </row>
    <row r="469" spans="2:7">
      <c r="B469" s="170"/>
      <c r="C469" s="170"/>
      <c r="D469" s="133"/>
      <c r="E469" s="171"/>
      <c r="F469" s="171"/>
      <c r="G469" s="171"/>
    </row>
    <row r="470" spans="2:7">
      <c r="B470" s="170"/>
      <c r="C470" s="170"/>
      <c r="D470" s="133"/>
      <c r="E470" s="171"/>
      <c r="F470" s="171"/>
      <c r="G470" s="171"/>
    </row>
    <row r="471" spans="2:7">
      <c r="B471" s="170"/>
      <c r="C471" s="170"/>
      <c r="D471" s="133"/>
      <c r="E471" s="171"/>
      <c r="F471" s="171"/>
      <c r="G471" s="171"/>
    </row>
    <row r="472" spans="2:7">
      <c r="B472" s="170"/>
      <c r="C472" s="170"/>
      <c r="D472" s="133"/>
      <c r="E472" s="171"/>
      <c r="F472" s="171"/>
      <c r="G472" s="171"/>
    </row>
    <row r="473" spans="2:7">
      <c r="B473" s="170"/>
      <c r="C473" s="170"/>
      <c r="D473" s="133"/>
      <c r="E473" s="171"/>
      <c r="F473" s="171"/>
      <c r="G473" s="171"/>
    </row>
    <row r="474" spans="2:7">
      <c r="B474" s="170"/>
      <c r="C474" s="170"/>
      <c r="D474" s="133"/>
      <c r="E474" s="171"/>
      <c r="F474" s="171"/>
      <c r="G474" s="171"/>
    </row>
    <row r="475" spans="2:7">
      <c r="B475" s="170"/>
      <c r="C475" s="170"/>
      <c r="D475" s="133"/>
      <c r="E475" s="171"/>
      <c r="F475" s="171"/>
      <c r="G475" s="171"/>
    </row>
    <row r="476" spans="2:7">
      <c r="B476" s="170"/>
      <c r="C476" s="170"/>
      <c r="D476" s="133"/>
      <c r="E476" s="171"/>
      <c r="F476" s="171"/>
      <c r="G476" s="171"/>
    </row>
    <row r="477" spans="2:7">
      <c r="B477" s="170"/>
      <c r="C477" s="170"/>
      <c r="D477" s="133"/>
      <c r="E477" s="171"/>
      <c r="F477" s="171"/>
      <c r="G477" s="171"/>
    </row>
    <row r="478" spans="2:7">
      <c r="B478" s="170"/>
      <c r="C478" s="170"/>
      <c r="D478" s="133"/>
      <c r="E478" s="171"/>
      <c r="F478" s="171"/>
      <c r="G478" s="171"/>
    </row>
    <row r="479" spans="2:7">
      <c r="B479" s="170"/>
      <c r="C479" s="170"/>
      <c r="D479" s="133"/>
      <c r="E479" s="171"/>
      <c r="F479" s="171"/>
      <c r="G479" s="171"/>
    </row>
    <row r="480" spans="2:7">
      <c r="B480" s="170"/>
      <c r="C480" s="170"/>
      <c r="D480" s="133"/>
      <c r="E480" s="171"/>
      <c r="F480" s="171"/>
      <c r="G480" s="171"/>
    </row>
    <row r="481" spans="2:7">
      <c r="B481" s="170"/>
      <c r="C481" s="170"/>
      <c r="D481" s="133"/>
      <c r="E481" s="171"/>
      <c r="F481" s="171"/>
      <c r="G481" s="171"/>
    </row>
    <row r="482" spans="2:7">
      <c r="B482" s="170"/>
      <c r="C482" s="170"/>
      <c r="D482" s="133"/>
      <c r="E482" s="171"/>
      <c r="F482" s="171"/>
      <c r="G482" s="171"/>
    </row>
    <row r="483" spans="2:7">
      <c r="B483" s="170"/>
      <c r="C483" s="170"/>
      <c r="D483" s="133"/>
      <c r="E483" s="171"/>
      <c r="F483" s="171"/>
      <c r="G483" s="171"/>
    </row>
    <row r="484" spans="2:7">
      <c r="B484" s="170"/>
      <c r="C484" s="170"/>
      <c r="D484" s="133"/>
      <c r="E484" s="171"/>
      <c r="F484" s="171"/>
      <c r="G484" s="171"/>
    </row>
    <row r="485" spans="2:7">
      <c r="B485" s="170"/>
      <c r="C485" s="170"/>
      <c r="D485" s="133"/>
      <c r="E485" s="171"/>
      <c r="F485" s="171"/>
      <c r="G485" s="171"/>
    </row>
    <row r="486" spans="2:7">
      <c r="B486" s="170"/>
      <c r="C486" s="170"/>
      <c r="D486" s="133"/>
      <c r="E486" s="171"/>
      <c r="F486" s="171"/>
      <c r="G486" s="171"/>
    </row>
    <row r="487" spans="2:7">
      <c r="B487" s="170"/>
      <c r="C487" s="170"/>
      <c r="D487" s="133"/>
      <c r="E487" s="171"/>
      <c r="F487" s="171"/>
      <c r="G487" s="171"/>
    </row>
    <row r="488" spans="2:7">
      <c r="B488" s="170"/>
      <c r="C488" s="170"/>
      <c r="D488" s="133"/>
      <c r="E488" s="171"/>
      <c r="F488" s="171"/>
      <c r="G488" s="171"/>
    </row>
    <row r="489" spans="2:7">
      <c r="B489" s="170"/>
      <c r="C489" s="170"/>
      <c r="D489" s="133"/>
      <c r="E489" s="171"/>
      <c r="F489" s="171"/>
      <c r="G489" s="171"/>
    </row>
    <row r="490" spans="2:7">
      <c r="B490" s="170"/>
      <c r="C490" s="170"/>
      <c r="D490" s="133"/>
      <c r="E490" s="171"/>
      <c r="F490" s="171"/>
      <c r="G490" s="171"/>
    </row>
    <row r="491" spans="2:7">
      <c r="B491" s="170"/>
      <c r="C491" s="170"/>
      <c r="D491" s="133"/>
      <c r="E491" s="171"/>
      <c r="F491" s="171"/>
      <c r="G491" s="171"/>
    </row>
    <row r="492" spans="2:7">
      <c r="B492" s="170"/>
      <c r="C492" s="170"/>
      <c r="D492" s="133"/>
      <c r="E492" s="171"/>
      <c r="F492" s="171"/>
      <c r="G492" s="171"/>
    </row>
    <row r="493" spans="2:7">
      <c r="B493" s="170"/>
      <c r="C493" s="170"/>
      <c r="D493" s="133"/>
      <c r="E493" s="171"/>
      <c r="F493" s="171"/>
      <c r="G493" s="171"/>
    </row>
    <row r="494" spans="2:7">
      <c r="B494" s="170"/>
      <c r="C494" s="170"/>
      <c r="D494" s="133"/>
      <c r="E494" s="171"/>
      <c r="F494" s="171"/>
      <c r="G494" s="171"/>
    </row>
    <row r="495" spans="2:7">
      <c r="B495" s="170"/>
      <c r="C495" s="170"/>
      <c r="D495" s="133"/>
      <c r="E495" s="171"/>
      <c r="F495" s="171"/>
      <c r="G495" s="171"/>
    </row>
    <row r="496" spans="2:7">
      <c r="B496" s="170"/>
      <c r="C496" s="170"/>
      <c r="D496" s="133"/>
      <c r="E496" s="171"/>
      <c r="F496" s="171"/>
      <c r="G496" s="171"/>
    </row>
    <row r="497" spans="2:7">
      <c r="B497" s="170"/>
      <c r="C497" s="170"/>
      <c r="D497" s="133"/>
      <c r="E497" s="171"/>
      <c r="F497" s="171"/>
      <c r="G497" s="171"/>
    </row>
    <row r="498" spans="2:7">
      <c r="B498" s="170"/>
      <c r="C498" s="170"/>
      <c r="D498" s="133"/>
      <c r="E498" s="171"/>
      <c r="F498" s="171"/>
      <c r="G498" s="171"/>
    </row>
    <row r="499" spans="2:7">
      <c r="B499" s="170"/>
      <c r="C499" s="170"/>
      <c r="D499" s="133"/>
      <c r="E499" s="171"/>
      <c r="F499" s="171"/>
      <c r="G499" s="171"/>
    </row>
    <row r="500" spans="2:7">
      <c r="B500" s="170"/>
      <c r="C500" s="170"/>
      <c r="D500" s="133"/>
      <c r="E500" s="171"/>
      <c r="F500" s="171"/>
      <c r="G500" s="171"/>
    </row>
    <row r="501" spans="2:7">
      <c r="B501" s="170"/>
      <c r="C501" s="170"/>
      <c r="D501" s="133"/>
      <c r="E501" s="171"/>
      <c r="F501" s="171"/>
      <c r="G501" s="171"/>
    </row>
    <row r="502" spans="2:7">
      <c r="B502" s="170"/>
      <c r="C502" s="170"/>
      <c r="D502" s="133"/>
      <c r="E502" s="171"/>
      <c r="F502" s="171"/>
      <c r="G502" s="171"/>
    </row>
    <row r="503" spans="2:7">
      <c r="B503" s="170"/>
      <c r="C503" s="170"/>
      <c r="D503" s="133"/>
      <c r="E503" s="171"/>
      <c r="F503" s="171"/>
      <c r="G503" s="171"/>
    </row>
    <row r="504" spans="2:7">
      <c r="B504" s="170"/>
      <c r="C504" s="170"/>
      <c r="D504" s="133"/>
      <c r="E504" s="171"/>
      <c r="F504" s="171"/>
      <c r="G504" s="171"/>
    </row>
    <row r="505" spans="2:7">
      <c r="B505" s="170"/>
      <c r="C505" s="170"/>
      <c r="D505" s="133"/>
      <c r="E505" s="171"/>
      <c r="F505" s="171"/>
      <c r="G505" s="171"/>
    </row>
    <row r="506" spans="2:7">
      <c r="B506" s="170"/>
      <c r="C506" s="170"/>
      <c r="D506" s="133"/>
      <c r="E506" s="171"/>
      <c r="F506" s="171"/>
      <c r="G506" s="171"/>
    </row>
    <row r="507" spans="2:7">
      <c r="B507" s="170"/>
      <c r="C507" s="170"/>
      <c r="D507" s="133"/>
      <c r="E507" s="171"/>
      <c r="F507" s="171"/>
      <c r="G507" s="171"/>
    </row>
    <row r="508" spans="2:7">
      <c r="B508" s="170"/>
      <c r="C508" s="170"/>
      <c r="D508" s="133"/>
      <c r="E508" s="171"/>
      <c r="F508" s="171"/>
      <c r="G508" s="171"/>
    </row>
    <row r="509" spans="2:7">
      <c r="B509" s="170"/>
      <c r="C509" s="170"/>
      <c r="D509" s="133"/>
      <c r="E509" s="171"/>
      <c r="F509" s="171"/>
      <c r="G509" s="171"/>
    </row>
    <row r="510" spans="2:7">
      <c r="B510" s="170"/>
      <c r="C510" s="170"/>
      <c r="D510" s="133"/>
      <c r="E510" s="171"/>
      <c r="F510" s="171"/>
      <c r="G510" s="171"/>
    </row>
    <row r="511" spans="2:7">
      <c r="B511" s="170"/>
      <c r="C511" s="170"/>
      <c r="D511" s="133"/>
      <c r="E511" s="171"/>
      <c r="F511" s="171"/>
      <c r="G511" s="171"/>
    </row>
    <row r="512" spans="2:7">
      <c r="B512" s="170"/>
      <c r="C512" s="170"/>
      <c r="D512" s="133"/>
      <c r="E512" s="171"/>
      <c r="F512" s="171"/>
      <c r="G512" s="171"/>
    </row>
    <row r="513" spans="2:7">
      <c r="B513" s="170"/>
      <c r="C513" s="170"/>
      <c r="D513" s="133"/>
      <c r="E513" s="171"/>
      <c r="F513" s="171"/>
      <c r="G513" s="171"/>
    </row>
    <row r="514" spans="2:7">
      <c r="B514" s="170"/>
      <c r="C514" s="170"/>
      <c r="D514" s="133"/>
      <c r="E514" s="171"/>
      <c r="F514" s="171"/>
      <c r="G514" s="171"/>
    </row>
    <row r="515" spans="2:7">
      <c r="B515" s="170"/>
      <c r="C515" s="170"/>
      <c r="D515" s="133"/>
      <c r="E515" s="171"/>
      <c r="F515" s="171"/>
      <c r="G515" s="171"/>
    </row>
    <row r="516" spans="2:7">
      <c r="B516" s="170"/>
      <c r="C516" s="170"/>
      <c r="D516" s="133"/>
      <c r="E516" s="171"/>
      <c r="F516" s="171"/>
      <c r="G516" s="171"/>
    </row>
    <row r="517" spans="2:7">
      <c r="B517" s="170"/>
      <c r="C517" s="170"/>
      <c r="D517" s="133"/>
      <c r="E517" s="171"/>
      <c r="F517" s="171"/>
      <c r="G517" s="171"/>
    </row>
    <row r="518" spans="2:7">
      <c r="B518" s="170"/>
      <c r="C518" s="170"/>
      <c r="D518" s="133"/>
      <c r="E518" s="171"/>
      <c r="F518" s="171"/>
      <c r="G518" s="171"/>
    </row>
    <row r="519" spans="2:7">
      <c r="B519" s="170"/>
      <c r="C519" s="170"/>
      <c r="D519" s="133"/>
      <c r="E519" s="171"/>
      <c r="F519" s="171"/>
      <c r="G519" s="171"/>
    </row>
    <row r="520" spans="2:7">
      <c r="B520" s="170"/>
      <c r="C520" s="170"/>
      <c r="D520" s="133"/>
      <c r="E520" s="171"/>
      <c r="F520" s="171"/>
      <c r="G520" s="171"/>
    </row>
    <row r="521" spans="2:7">
      <c r="B521" s="170"/>
      <c r="C521" s="170"/>
      <c r="D521" s="133"/>
      <c r="E521" s="171"/>
      <c r="F521" s="171"/>
      <c r="G521" s="171"/>
    </row>
    <row r="522" spans="2:7">
      <c r="B522" s="170"/>
      <c r="C522" s="170"/>
      <c r="D522" s="133"/>
      <c r="E522" s="171"/>
      <c r="F522" s="171"/>
      <c r="G522" s="171"/>
    </row>
    <row r="523" spans="2:7">
      <c r="B523" s="170"/>
      <c r="C523" s="170"/>
      <c r="D523" s="133"/>
      <c r="E523" s="171"/>
      <c r="F523" s="171"/>
      <c r="G523" s="171"/>
    </row>
    <row r="524" spans="2:7">
      <c r="B524" s="170"/>
      <c r="C524" s="170"/>
      <c r="D524" s="133"/>
      <c r="E524" s="171"/>
      <c r="F524" s="171"/>
      <c r="G524" s="171"/>
    </row>
    <row r="525" spans="2:7">
      <c r="B525" s="170"/>
      <c r="C525" s="170"/>
      <c r="D525" s="133"/>
      <c r="E525" s="171"/>
      <c r="F525" s="171"/>
      <c r="G525" s="171"/>
    </row>
    <row r="526" spans="2:7">
      <c r="B526" s="170"/>
      <c r="C526" s="170"/>
      <c r="D526" s="133"/>
      <c r="E526" s="171"/>
      <c r="F526" s="171"/>
      <c r="G526" s="171"/>
    </row>
    <row r="527" spans="2:7">
      <c r="B527" s="170"/>
      <c r="C527" s="170"/>
      <c r="D527" s="133"/>
      <c r="E527" s="171"/>
      <c r="F527" s="171"/>
      <c r="G527" s="171"/>
    </row>
    <row r="528" spans="2:7">
      <c r="B528" s="170"/>
      <c r="C528" s="170"/>
      <c r="D528" s="133"/>
      <c r="E528" s="171"/>
      <c r="F528" s="171"/>
      <c r="G528" s="171"/>
    </row>
    <row r="529" spans="2:7">
      <c r="B529" s="170"/>
      <c r="C529" s="170"/>
      <c r="D529" s="133"/>
      <c r="E529" s="171"/>
      <c r="F529" s="171"/>
      <c r="G529" s="171"/>
    </row>
    <row r="530" spans="2:7">
      <c r="B530" s="170"/>
      <c r="C530" s="170"/>
      <c r="D530" s="133"/>
      <c r="E530" s="171"/>
      <c r="F530" s="171"/>
      <c r="G530" s="171"/>
    </row>
    <row r="531" spans="2:7">
      <c r="B531" s="170"/>
      <c r="C531" s="170"/>
      <c r="D531" s="133"/>
      <c r="E531" s="171"/>
      <c r="F531" s="171"/>
      <c r="G531" s="171"/>
    </row>
    <row r="532" spans="2:7">
      <c r="B532" s="170"/>
      <c r="C532" s="170"/>
      <c r="D532" s="133"/>
      <c r="E532" s="171"/>
      <c r="F532" s="171"/>
      <c r="G532" s="171"/>
    </row>
    <row r="533" spans="2:7">
      <c r="B533" s="170"/>
      <c r="C533" s="170"/>
      <c r="D533" s="133"/>
      <c r="E533" s="171"/>
      <c r="F533" s="171"/>
      <c r="G533" s="171"/>
    </row>
    <row r="534" spans="2:7">
      <c r="B534" s="170"/>
      <c r="C534" s="170"/>
      <c r="D534" s="133"/>
      <c r="E534" s="171"/>
      <c r="F534" s="171"/>
      <c r="G534" s="171"/>
    </row>
    <row r="535" spans="2:7">
      <c r="B535" s="170"/>
      <c r="C535" s="170"/>
      <c r="D535" s="133"/>
      <c r="E535" s="171"/>
      <c r="F535" s="171"/>
      <c r="G535" s="171"/>
    </row>
    <row r="536" spans="2:7">
      <c r="B536" s="170"/>
      <c r="C536" s="170"/>
      <c r="D536" s="133"/>
      <c r="E536" s="171"/>
      <c r="F536" s="171"/>
      <c r="G536" s="171"/>
    </row>
    <row r="537" spans="2:7">
      <c r="B537" s="170"/>
      <c r="C537" s="170"/>
      <c r="D537" s="133"/>
      <c r="E537" s="171"/>
      <c r="F537" s="171"/>
      <c r="G537" s="171"/>
    </row>
    <row r="538" spans="2:7">
      <c r="B538" s="170"/>
      <c r="C538" s="170"/>
      <c r="D538" s="133"/>
      <c r="E538" s="171"/>
      <c r="F538" s="171"/>
      <c r="G538" s="171"/>
    </row>
    <row r="539" spans="2:7">
      <c r="B539" s="170"/>
      <c r="C539" s="170"/>
      <c r="D539" s="133"/>
      <c r="E539" s="171"/>
      <c r="F539" s="171"/>
      <c r="G539" s="171"/>
    </row>
    <row r="540" spans="2:7">
      <c r="B540" s="170"/>
      <c r="C540" s="170"/>
      <c r="D540" s="133"/>
      <c r="E540" s="171"/>
      <c r="F540" s="171"/>
      <c r="G540" s="171"/>
    </row>
    <row r="541" spans="2:7">
      <c r="B541" s="170"/>
      <c r="C541" s="170"/>
      <c r="D541" s="133"/>
      <c r="E541" s="171"/>
      <c r="F541" s="171"/>
      <c r="G541" s="171"/>
    </row>
    <row r="542" spans="2:7">
      <c r="B542" s="170"/>
      <c r="C542" s="170"/>
      <c r="D542" s="133"/>
      <c r="E542" s="171"/>
      <c r="F542" s="171"/>
      <c r="G542" s="171"/>
    </row>
    <row r="543" spans="2:7">
      <c r="B543" s="170"/>
      <c r="C543" s="170"/>
      <c r="D543" s="133"/>
      <c r="E543" s="171"/>
      <c r="F543" s="171"/>
      <c r="G543" s="171"/>
    </row>
    <row r="544" spans="2:7">
      <c r="B544" s="170"/>
      <c r="C544" s="170"/>
      <c r="D544" s="133"/>
      <c r="E544" s="171"/>
      <c r="F544" s="171"/>
      <c r="G544" s="171"/>
    </row>
    <row r="545" spans="2:7">
      <c r="B545" s="170"/>
      <c r="C545" s="170"/>
      <c r="D545" s="133"/>
      <c r="E545" s="171"/>
      <c r="F545" s="171"/>
      <c r="G545" s="171"/>
    </row>
    <row r="546" spans="2:7">
      <c r="B546" s="170"/>
      <c r="C546" s="170"/>
      <c r="D546" s="133"/>
      <c r="E546" s="171"/>
      <c r="F546" s="171"/>
      <c r="G546" s="171"/>
    </row>
    <row r="547" spans="2:7">
      <c r="B547" s="170"/>
      <c r="C547" s="170"/>
      <c r="D547" s="133"/>
      <c r="E547" s="171"/>
      <c r="F547" s="171"/>
      <c r="G547" s="171"/>
    </row>
    <row r="548" spans="2:7">
      <c r="B548" s="170"/>
      <c r="C548" s="170"/>
      <c r="D548" s="133"/>
      <c r="E548" s="171"/>
      <c r="F548" s="171"/>
      <c r="G548" s="171"/>
    </row>
    <row r="549" spans="2:7">
      <c r="B549" s="170"/>
      <c r="C549" s="170"/>
      <c r="D549" s="133"/>
      <c r="E549" s="171"/>
      <c r="F549" s="171"/>
      <c r="G549" s="171"/>
    </row>
    <row r="550" spans="2:7">
      <c r="B550" s="170"/>
      <c r="C550" s="170"/>
      <c r="D550" s="133"/>
      <c r="E550" s="171"/>
      <c r="F550" s="171"/>
      <c r="G550" s="171"/>
    </row>
    <row r="551" spans="2:7">
      <c r="B551" s="170"/>
      <c r="C551" s="170"/>
      <c r="D551" s="133"/>
      <c r="E551" s="171"/>
      <c r="F551" s="171"/>
      <c r="G551" s="171"/>
    </row>
    <row r="552" spans="2:7">
      <c r="B552" s="170"/>
      <c r="C552" s="170"/>
      <c r="D552" s="133"/>
      <c r="E552" s="171"/>
      <c r="F552" s="171"/>
      <c r="G552" s="171"/>
    </row>
    <row r="553" spans="2:7">
      <c r="B553" s="170"/>
      <c r="C553" s="170"/>
      <c r="D553" s="133"/>
      <c r="E553" s="171"/>
      <c r="F553" s="171"/>
      <c r="G553" s="171"/>
    </row>
    <row r="554" spans="2:7">
      <c r="B554" s="170"/>
      <c r="C554" s="170"/>
      <c r="D554" s="133"/>
      <c r="E554" s="171"/>
      <c r="F554" s="171"/>
      <c r="G554" s="171"/>
    </row>
    <row r="555" spans="2:7">
      <c r="B555" s="170"/>
      <c r="C555" s="170"/>
      <c r="D555" s="133"/>
      <c r="E555" s="171"/>
      <c r="F555" s="171"/>
      <c r="G555" s="171"/>
    </row>
    <row r="556" spans="2:7">
      <c r="B556" s="170"/>
      <c r="C556" s="170"/>
      <c r="D556" s="133"/>
      <c r="E556" s="171"/>
      <c r="F556" s="171"/>
      <c r="G556" s="171"/>
    </row>
    <row r="557" spans="2:7">
      <c r="B557" s="170"/>
      <c r="C557" s="170"/>
      <c r="D557" s="133"/>
      <c r="E557" s="171"/>
      <c r="F557" s="171"/>
      <c r="G557" s="171"/>
    </row>
    <row r="558" spans="2:7">
      <c r="B558" s="170"/>
      <c r="C558" s="170"/>
      <c r="D558" s="133"/>
      <c r="E558" s="171"/>
      <c r="F558" s="171"/>
      <c r="G558" s="171"/>
    </row>
    <row r="559" spans="2:7">
      <c r="B559" s="170"/>
      <c r="C559" s="170"/>
      <c r="D559" s="133"/>
      <c r="E559" s="171"/>
      <c r="F559" s="171"/>
      <c r="G559" s="171"/>
    </row>
    <row r="560" spans="2:7">
      <c r="B560" s="170"/>
      <c r="C560" s="170"/>
      <c r="D560" s="133"/>
      <c r="E560" s="171"/>
      <c r="F560" s="171"/>
      <c r="G560" s="171"/>
    </row>
    <row r="561" spans="2:7">
      <c r="B561" s="170"/>
      <c r="C561" s="170"/>
      <c r="D561" s="133"/>
      <c r="E561" s="171"/>
      <c r="F561" s="171"/>
      <c r="G561" s="171"/>
    </row>
    <row r="562" spans="2:7">
      <c r="B562" s="170"/>
      <c r="C562" s="170"/>
      <c r="D562" s="133"/>
      <c r="E562" s="171"/>
      <c r="F562" s="171"/>
      <c r="G562" s="171"/>
    </row>
    <row r="563" spans="2:7">
      <c r="B563" s="170"/>
      <c r="C563" s="170"/>
      <c r="D563" s="133"/>
      <c r="E563" s="171"/>
      <c r="F563" s="171"/>
      <c r="G563" s="171"/>
    </row>
    <row r="564" spans="2:7">
      <c r="B564" s="170"/>
      <c r="C564" s="170"/>
      <c r="D564" s="133"/>
      <c r="E564" s="171"/>
      <c r="F564" s="171"/>
      <c r="G564" s="171"/>
    </row>
    <row r="565" spans="2:7">
      <c r="B565" s="170"/>
      <c r="C565" s="170"/>
      <c r="D565" s="133"/>
      <c r="E565" s="171"/>
      <c r="F565" s="171"/>
      <c r="G565" s="171"/>
    </row>
    <row r="566" spans="2:7">
      <c r="B566" s="170"/>
      <c r="C566" s="170"/>
      <c r="D566" s="133"/>
      <c r="E566" s="171"/>
      <c r="F566" s="171"/>
      <c r="G566" s="171"/>
    </row>
    <row r="567" spans="2:7">
      <c r="B567" s="170"/>
      <c r="C567" s="170"/>
      <c r="D567" s="133"/>
      <c r="E567" s="171"/>
      <c r="F567" s="171"/>
      <c r="G567" s="171"/>
    </row>
    <row r="568" spans="2:7">
      <c r="B568" s="170"/>
      <c r="C568" s="170"/>
      <c r="D568" s="133"/>
      <c r="E568" s="171"/>
      <c r="F568" s="171"/>
      <c r="G568" s="171"/>
    </row>
    <row r="569" spans="2:7">
      <c r="B569" s="170"/>
      <c r="C569" s="170"/>
      <c r="D569" s="133"/>
      <c r="E569" s="171"/>
      <c r="F569" s="171"/>
      <c r="G569" s="171"/>
    </row>
    <row r="570" spans="2:7">
      <c r="B570" s="170"/>
      <c r="C570" s="170"/>
      <c r="D570" s="133"/>
      <c r="E570" s="171"/>
      <c r="F570" s="171"/>
      <c r="G570" s="171"/>
    </row>
    <row r="571" spans="2:7">
      <c r="B571" s="170"/>
      <c r="C571" s="170"/>
      <c r="D571" s="133"/>
      <c r="E571" s="171"/>
      <c r="F571" s="171"/>
      <c r="G571" s="171"/>
    </row>
    <row r="572" spans="2:7">
      <c r="B572" s="170"/>
      <c r="C572" s="170"/>
      <c r="D572" s="133"/>
      <c r="E572" s="171"/>
      <c r="F572" s="171"/>
      <c r="G572" s="171"/>
    </row>
    <row r="573" spans="2:7">
      <c r="B573" s="170"/>
      <c r="C573" s="170"/>
      <c r="D573" s="133"/>
      <c r="E573" s="171"/>
      <c r="F573" s="171"/>
      <c r="G573" s="171"/>
    </row>
    <row r="574" spans="2:7">
      <c r="B574" s="170"/>
      <c r="C574" s="170"/>
      <c r="D574" s="133"/>
      <c r="E574" s="171"/>
      <c r="F574" s="171"/>
      <c r="G574" s="171"/>
    </row>
    <row r="575" spans="2:7">
      <c r="B575" s="170"/>
      <c r="C575" s="170"/>
      <c r="D575" s="133"/>
      <c r="E575" s="171"/>
      <c r="F575" s="171"/>
      <c r="G575" s="171"/>
    </row>
    <row r="576" spans="2:7">
      <c r="B576" s="170"/>
      <c r="C576" s="170"/>
      <c r="D576" s="133"/>
      <c r="E576" s="171"/>
      <c r="F576" s="171"/>
      <c r="G576" s="171"/>
    </row>
    <row r="577" spans="2:7">
      <c r="B577" s="170"/>
      <c r="C577" s="170"/>
      <c r="D577" s="133"/>
      <c r="E577" s="171"/>
      <c r="F577" s="171"/>
      <c r="G577" s="171"/>
    </row>
    <row r="578" spans="2:7">
      <c r="B578" s="170"/>
      <c r="C578" s="170"/>
      <c r="D578" s="133"/>
      <c r="E578" s="171"/>
      <c r="F578" s="171"/>
      <c r="G578" s="171"/>
    </row>
    <row r="579" spans="2:7">
      <c r="B579" s="170"/>
      <c r="C579" s="170"/>
      <c r="D579" s="133"/>
      <c r="E579" s="171"/>
      <c r="F579" s="171"/>
      <c r="G579" s="171"/>
    </row>
    <row r="580" spans="2:7">
      <c r="B580" s="170"/>
      <c r="C580" s="170"/>
      <c r="D580" s="133"/>
      <c r="E580" s="171"/>
      <c r="F580" s="171"/>
      <c r="G580" s="171"/>
    </row>
    <row r="581" spans="2:7">
      <c r="B581" s="170"/>
      <c r="C581" s="170"/>
      <c r="D581" s="133"/>
      <c r="E581" s="171"/>
      <c r="F581" s="171"/>
      <c r="G581" s="171"/>
    </row>
    <row r="582" spans="2:7">
      <c r="B582" s="170"/>
      <c r="C582" s="170"/>
      <c r="D582" s="133"/>
      <c r="E582" s="171"/>
      <c r="F582" s="171"/>
      <c r="G582" s="171"/>
    </row>
    <row r="583" spans="2:7">
      <c r="B583" s="170"/>
      <c r="C583" s="170"/>
      <c r="D583" s="133"/>
      <c r="E583" s="171"/>
      <c r="F583" s="171"/>
      <c r="G583" s="171"/>
    </row>
    <row r="584" spans="2:7">
      <c r="B584" s="170"/>
      <c r="C584" s="170"/>
      <c r="D584" s="133"/>
      <c r="E584" s="171"/>
      <c r="F584" s="171"/>
      <c r="G584" s="171"/>
    </row>
    <row r="585" spans="2:7">
      <c r="B585" s="170"/>
      <c r="C585" s="170"/>
      <c r="D585" s="133"/>
      <c r="E585" s="171"/>
      <c r="F585" s="171"/>
      <c r="G585" s="171"/>
    </row>
    <row r="586" spans="2:7">
      <c r="B586" s="170"/>
      <c r="C586" s="170"/>
      <c r="D586" s="133"/>
      <c r="E586" s="171"/>
      <c r="F586" s="171"/>
      <c r="G586" s="171"/>
    </row>
    <row r="587" spans="2:7">
      <c r="B587" s="170"/>
      <c r="C587" s="170"/>
      <c r="D587" s="133"/>
      <c r="E587" s="171"/>
      <c r="F587" s="171"/>
      <c r="G587" s="171"/>
    </row>
    <row r="588" spans="2:7">
      <c r="B588" s="170"/>
      <c r="C588" s="170"/>
      <c r="D588" s="133"/>
      <c r="E588" s="171"/>
      <c r="F588" s="171"/>
      <c r="G588" s="171"/>
    </row>
    <row r="589" spans="2:7">
      <c r="B589" s="170"/>
      <c r="C589" s="170"/>
      <c r="D589" s="133"/>
      <c r="E589" s="171"/>
      <c r="F589" s="171"/>
      <c r="G589" s="171"/>
    </row>
    <row r="590" spans="2:7">
      <c r="B590" s="170"/>
      <c r="C590" s="170"/>
      <c r="D590" s="133"/>
      <c r="E590" s="171"/>
      <c r="F590" s="171"/>
      <c r="G590" s="171"/>
    </row>
    <row r="591" spans="2:7">
      <c r="B591" s="170"/>
      <c r="C591" s="170"/>
      <c r="D591" s="133"/>
      <c r="E591" s="171"/>
      <c r="F591" s="171"/>
      <c r="G591" s="171"/>
    </row>
    <row r="592" spans="2:7">
      <c r="B592" s="170"/>
      <c r="C592" s="170"/>
      <c r="D592" s="133"/>
      <c r="E592" s="171"/>
      <c r="F592" s="171"/>
      <c r="G592" s="171"/>
    </row>
    <row r="593" spans="2:7">
      <c r="B593" s="170"/>
      <c r="C593" s="170"/>
      <c r="D593" s="133"/>
      <c r="E593" s="171"/>
      <c r="F593" s="171"/>
      <c r="G593" s="171"/>
    </row>
    <row r="594" spans="2:7">
      <c r="B594" s="170"/>
      <c r="C594" s="170"/>
      <c r="D594" s="133"/>
      <c r="E594" s="171"/>
      <c r="F594" s="171"/>
      <c r="G594" s="171"/>
    </row>
    <row r="595" spans="2:7">
      <c r="B595" s="170"/>
      <c r="C595" s="170"/>
      <c r="D595" s="133"/>
      <c r="E595" s="171"/>
      <c r="F595" s="171"/>
      <c r="G595" s="171"/>
    </row>
    <row r="596" spans="2:7">
      <c r="B596" s="170"/>
      <c r="C596" s="170"/>
      <c r="D596" s="133"/>
      <c r="E596" s="171"/>
      <c r="F596" s="171"/>
      <c r="G596" s="171"/>
    </row>
    <row r="597" spans="2:7">
      <c r="B597" s="170"/>
      <c r="C597" s="170"/>
      <c r="D597" s="133"/>
      <c r="E597" s="171"/>
      <c r="F597" s="171"/>
      <c r="G597" s="171"/>
    </row>
    <row r="598" spans="2:7">
      <c r="B598" s="170"/>
      <c r="C598" s="170"/>
      <c r="D598" s="133"/>
      <c r="E598" s="171"/>
      <c r="F598" s="171"/>
      <c r="G598" s="171"/>
    </row>
    <row r="599" spans="2:7">
      <c r="B599" s="172"/>
      <c r="C599" s="173"/>
      <c r="D599" s="133"/>
      <c r="E599" s="171"/>
      <c r="F599" s="171"/>
      <c r="G599" s="171"/>
    </row>
    <row r="600" spans="2:7">
      <c r="B600" s="172"/>
      <c r="C600" s="173"/>
      <c r="D600" s="133"/>
      <c r="E600" s="171"/>
      <c r="F600" s="171"/>
      <c r="G600" s="171"/>
    </row>
    <row r="601" spans="2:7">
      <c r="B601" s="172"/>
      <c r="C601" s="173"/>
      <c r="D601" s="133"/>
      <c r="E601" s="171"/>
      <c r="F601" s="171"/>
      <c r="G601" s="171"/>
    </row>
    <row r="602" spans="2:7">
      <c r="B602" s="172"/>
      <c r="C602" s="173"/>
      <c r="D602" s="133"/>
      <c r="E602" s="171"/>
      <c r="F602" s="171"/>
      <c r="G602" s="171"/>
    </row>
    <row r="603" spans="2:7">
      <c r="B603" s="172"/>
      <c r="C603" s="173"/>
      <c r="D603" s="133"/>
      <c r="E603" s="171"/>
      <c r="F603" s="171"/>
      <c r="G603" s="171"/>
    </row>
    <row r="604" spans="2:7">
      <c r="B604" s="172"/>
      <c r="C604" s="173"/>
      <c r="D604" s="133"/>
      <c r="E604" s="171"/>
      <c r="F604" s="171"/>
      <c r="G604" s="171"/>
    </row>
    <row r="605" spans="2:7">
      <c r="B605" s="172"/>
      <c r="C605" s="173"/>
      <c r="D605" s="133"/>
      <c r="E605" s="171"/>
      <c r="F605" s="171"/>
      <c r="G605" s="171"/>
    </row>
    <row r="606" spans="2:7">
      <c r="B606" s="172"/>
      <c r="C606" s="173"/>
      <c r="D606" s="133"/>
      <c r="E606" s="171"/>
      <c r="F606" s="171"/>
      <c r="G606" s="171"/>
    </row>
    <row r="607" spans="2:7">
      <c r="B607" s="172"/>
      <c r="C607" s="173"/>
      <c r="D607" s="133"/>
      <c r="E607" s="171"/>
      <c r="F607" s="171"/>
      <c r="G607" s="171"/>
    </row>
    <row r="608" spans="2:7">
      <c r="B608" s="172"/>
      <c r="C608" s="173"/>
      <c r="D608" s="133"/>
      <c r="E608" s="171"/>
      <c r="F608" s="171"/>
      <c r="G608" s="171"/>
    </row>
    <row r="609" spans="2:7">
      <c r="B609" s="172"/>
      <c r="C609" s="173"/>
      <c r="D609" s="133"/>
      <c r="E609" s="171"/>
      <c r="F609" s="171"/>
      <c r="G609" s="171"/>
    </row>
    <row r="610" spans="2:7">
      <c r="B610" s="172"/>
      <c r="C610" s="173"/>
      <c r="D610" s="133"/>
      <c r="E610" s="171"/>
      <c r="F610" s="171"/>
      <c r="G610" s="171"/>
    </row>
    <row r="611" spans="2:7">
      <c r="B611" s="172"/>
      <c r="C611" s="173"/>
      <c r="D611" s="133"/>
      <c r="E611" s="171"/>
      <c r="F611" s="171"/>
      <c r="G611" s="171"/>
    </row>
    <row r="612" spans="2:7">
      <c r="B612" s="172"/>
      <c r="C612" s="173"/>
      <c r="D612" s="133"/>
      <c r="E612" s="171"/>
      <c r="F612" s="171"/>
      <c r="G612" s="171"/>
    </row>
    <row r="613" spans="2:7">
      <c r="B613" s="172"/>
      <c r="C613" s="173"/>
      <c r="D613" s="133"/>
      <c r="E613" s="171"/>
      <c r="F613" s="171"/>
      <c r="G613" s="171"/>
    </row>
    <row r="614" spans="2:7">
      <c r="B614" s="172"/>
      <c r="C614" s="173"/>
      <c r="D614" s="133"/>
      <c r="E614" s="171"/>
      <c r="F614" s="171"/>
      <c r="G614" s="171"/>
    </row>
    <row r="615" spans="2:7">
      <c r="B615" s="172"/>
      <c r="C615" s="173"/>
      <c r="D615" s="133"/>
      <c r="E615" s="171"/>
      <c r="F615" s="171"/>
      <c r="G615" s="171"/>
    </row>
    <row r="616" spans="2:7">
      <c r="B616" s="172"/>
      <c r="C616" s="173"/>
      <c r="D616" s="133"/>
      <c r="E616" s="171"/>
      <c r="F616" s="171"/>
      <c r="G616" s="171"/>
    </row>
    <row r="617" spans="2:7">
      <c r="B617" s="172"/>
      <c r="C617" s="173"/>
      <c r="D617" s="133"/>
      <c r="E617" s="171"/>
      <c r="F617" s="171"/>
      <c r="G617" s="171"/>
    </row>
    <row r="618" spans="2:7">
      <c r="B618" s="172"/>
      <c r="C618" s="173"/>
      <c r="D618" s="133"/>
      <c r="E618" s="171"/>
      <c r="F618" s="171"/>
      <c r="G618" s="171"/>
    </row>
    <row r="619" spans="2:7">
      <c r="B619" s="172"/>
      <c r="C619" s="173"/>
      <c r="D619" s="133"/>
      <c r="E619" s="171"/>
      <c r="F619" s="171"/>
      <c r="G619" s="171"/>
    </row>
    <row r="620" spans="2:7">
      <c r="B620" s="172"/>
      <c r="C620" s="173"/>
      <c r="D620" s="133"/>
      <c r="E620" s="171"/>
      <c r="F620" s="171"/>
      <c r="G620" s="171"/>
    </row>
    <row r="621" spans="2:7">
      <c r="B621" s="172"/>
      <c r="C621" s="173"/>
      <c r="D621" s="133"/>
      <c r="E621" s="171"/>
      <c r="F621" s="171"/>
      <c r="G621" s="171"/>
    </row>
    <row r="622" spans="2:7">
      <c r="B622" s="172"/>
      <c r="C622" s="173"/>
      <c r="D622" s="133"/>
      <c r="E622" s="171"/>
      <c r="F622" s="171"/>
      <c r="G622" s="171"/>
    </row>
    <row r="623" spans="2:7">
      <c r="B623" s="172"/>
      <c r="C623" s="173"/>
      <c r="D623" s="133"/>
      <c r="E623" s="171"/>
      <c r="F623" s="171"/>
      <c r="G623" s="171"/>
    </row>
    <row r="624" spans="2:7">
      <c r="B624" s="172"/>
      <c r="C624" s="173"/>
      <c r="D624" s="133"/>
      <c r="E624" s="171"/>
      <c r="F624" s="171"/>
      <c r="G624" s="171"/>
    </row>
    <row r="625" spans="2:7">
      <c r="B625" s="172"/>
      <c r="C625" s="173"/>
      <c r="D625" s="133"/>
      <c r="E625" s="171"/>
      <c r="F625" s="171"/>
      <c r="G625" s="171"/>
    </row>
    <row r="626" spans="2:7">
      <c r="B626" s="172"/>
      <c r="C626" s="173"/>
      <c r="D626" s="133"/>
      <c r="E626" s="171"/>
      <c r="F626" s="171"/>
      <c r="G626" s="171"/>
    </row>
    <row r="627" spans="2:7">
      <c r="B627" s="172"/>
      <c r="C627" s="173"/>
      <c r="D627" s="133"/>
      <c r="E627" s="171"/>
      <c r="F627" s="171"/>
      <c r="G627" s="171"/>
    </row>
    <row r="628" spans="2:7">
      <c r="B628" s="172"/>
      <c r="C628" s="173"/>
      <c r="D628" s="133"/>
      <c r="E628" s="171"/>
      <c r="F628" s="171"/>
      <c r="G628" s="171"/>
    </row>
    <row r="629" spans="2:7">
      <c r="B629" s="172"/>
      <c r="C629" s="173"/>
      <c r="D629" s="133"/>
      <c r="E629" s="171"/>
      <c r="F629" s="171"/>
      <c r="G629" s="171"/>
    </row>
    <row r="630" spans="2:7">
      <c r="B630" s="172"/>
      <c r="C630" s="173"/>
      <c r="D630" s="133"/>
      <c r="E630" s="171"/>
      <c r="F630" s="171"/>
      <c r="G630" s="171"/>
    </row>
    <row r="631" spans="2:7">
      <c r="B631" s="172"/>
      <c r="C631" s="173"/>
      <c r="D631" s="133"/>
      <c r="E631" s="171"/>
      <c r="F631" s="171"/>
      <c r="G631" s="171"/>
    </row>
    <row r="632" spans="2:7">
      <c r="B632" s="172"/>
      <c r="C632" s="173"/>
      <c r="D632" s="133"/>
      <c r="E632" s="171"/>
      <c r="F632" s="171"/>
      <c r="G632" s="171"/>
    </row>
    <row r="633" spans="2:7">
      <c r="B633" s="172"/>
      <c r="C633" s="173"/>
      <c r="D633" s="133"/>
      <c r="E633" s="171"/>
      <c r="F633" s="171"/>
      <c r="G633" s="171"/>
    </row>
    <row r="634" spans="2:7">
      <c r="B634" s="172"/>
      <c r="C634" s="173"/>
      <c r="D634" s="133"/>
      <c r="E634" s="171"/>
      <c r="F634" s="171"/>
      <c r="G634" s="171"/>
    </row>
    <row r="635" spans="2:7">
      <c r="B635" s="172"/>
      <c r="C635" s="173"/>
      <c r="D635" s="133"/>
      <c r="E635" s="171"/>
      <c r="F635" s="171"/>
      <c r="G635" s="171"/>
    </row>
    <row r="636" spans="2:7">
      <c r="B636" s="172"/>
      <c r="C636" s="173"/>
      <c r="D636" s="133"/>
      <c r="E636" s="171"/>
      <c r="F636" s="171"/>
      <c r="G636" s="171"/>
    </row>
    <row r="637" spans="2:7">
      <c r="B637" s="172"/>
      <c r="C637" s="173"/>
      <c r="D637" s="133"/>
      <c r="E637" s="171"/>
      <c r="F637" s="171"/>
      <c r="G637" s="171"/>
    </row>
    <row r="638" spans="2:7">
      <c r="B638" s="172"/>
      <c r="C638" s="173"/>
      <c r="D638" s="133"/>
      <c r="E638" s="171"/>
      <c r="F638" s="171"/>
      <c r="G638" s="171"/>
    </row>
    <row r="639" spans="2:7">
      <c r="B639" s="172"/>
      <c r="C639" s="173"/>
      <c r="D639" s="133"/>
      <c r="E639" s="171"/>
      <c r="F639" s="171"/>
      <c r="G639" s="171"/>
    </row>
    <row r="640" spans="2:7">
      <c r="B640" s="172"/>
      <c r="C640" s="173"/>
      <c r="D640" s="133"/>
      <c r="E640" s="171"/>
      <c r="F640" s="171"/>
      <c r="G640" s="171"/>
    </row>
    <row r="641" spans="2:7">
      <c r="B641" s="172"/>
      <c r="C641" s="173"/>
      <c r="D641" s="133"/>
      <c r="E641" s="171"/>
      <c r="F641" s="171"/>
      <c r="G641" s="171"/>
    </row>
    <row r="642" spans="2:7">
      <c r="B642" s="172"/>
      <c r="C642" s="173"/>
      <c r="D642" s="133"/>
      <c r="E642" s="171"/>
      <c r="F642" s="171"/>
      <c r="G642" s="171"/>
    </row>
    <row r="643" spans="2:7">
      <c r="B643" s="172"/>
      <c r="C643" s="173"/>
      <c r="D643" s="133"/>
      <c r="E643" s="171"/>
      <c r="F643" s="171"/>
      <c r="G643" s="171"/>
    </row>
    <row r="644" spans="2:7">
      <c r="B644" s="172"/>
      <c r="C644" s="173"/>
      <c r="D644" s="133"/>
      <c r="E644" s="171"/>
      <c r="F644" s="171"/>
      <c r="G644" s="171"/>
    </row>
    <row r="645" spans="2:7">
      <c r="B645" s="172"/>
      <c r="C645" s="173"/>
      <c r="D645" s="133"/>
      <c r="E645" s="171"/>
      <c r="F645" s="171"/>
      <c r="G645" s="171"/>
    </row>
    <row r="646" spans="2:7">
      <c r="B646" s="172"/>
      <c r="C646" s="173"/>
      <c r="D646" s="133"/>
      <c r="E646" s="171"/>
      <c r="F646" s="171"/>
      <c r="G646" s="171"/>
    </row>
    <row r="647" spans="2:7">
      <c r="B647" s="172"/>
      <c r="C647" s="173"/>
      <c r="D647" s="133"/>
      <c r="E647" s="171"/>
      <c r="F647" s="171"/>
      <c r="G647" s="171"/>
    </row>
    <row r="648" spans="2:7">
      <c r="B648" s="172"/>
      <c r="C648" s="173"/>
      <c r="D648" s="133"/>
      <c r="E648" s="171"/>
      <c r="F648" s="171"/>
      <c r="G648" s="171"/>
    </row>
    <row r="649" spans="2:7">
      <c r="B649" s="172"/>
      <c r="C649" s="173"/>
      <c r="D649" s="133"/>
      <c r="E649" s="171"/>
      <c r="F649" s="171"/>
      <c r="G649" s="171"/>
    </row>
    <row r="650" spans="2:7">
      <c r="B650" s="172"/>
      <c r="C650" s="173"/>
      <c r="D650" s="133"/>
      <c r="E650" s="171"/>
      <c r="F650" s="171"/>
      <c r="G650" s="171"/>
    </row>
    <row r="651" spans="2:7">
      <c r="B651" s="172"/>
      <c r="C651" s="173"/>
      <c r="D651" s="133"/>
      <c r="E651" s="171"/>
      <c r="F651" s="171"/>
      <c r="G651" s="171"/>
    </row>
    <row r="652" spans="2:7">
      <c r="B652" s="172"/>
      <c r="C652" s="173"/>
      <c r="D652" s="133"/>
      <c r="E652" s="171"/>
      <c r="F652" s="171"/>
      <c r="G652" s="171"/>
    </row>
    <row r="653" spans="2:7">
      <c r="B653" s="172"/>
      <c r="C653" s="173"/>
      <c r="D653" s="133"/>
      <c r="E653" s="171"/>
      <c r="F653" s="171"/>
      <c r="G653" s="171"/>
    </row>
    <row r="654" spans="2:7">
      <c r="B654" s="172"/>
      <c r="C654" s="173"/>
      <c r="D654" s="133"/>
      <c r="E654" s="171"/>
      <c r="F654" s="171"/>
      <c r="G654" s="171"/>
    </row>
    <row r="655" spans="2:7">
      <c r="B655" s="172"/>
      <c r="C655" s="173"/>
      <c r="D655" s="133"/>
      <c r="E655" s="171"/>
      <c r="F655" s="171"/>
      <c r="G655" s="171"/>
    </row>
    <row r="656" spans="2:7">
      <c r="B656" s="172"/>
      <c r="C656" s="173"/>
      <c r="D656" s="133"/>
      <c r="E656" s="171"/>
      <c r="F656" s="171"/>
      <c r="G656" s="171"/>
    </row>
    <row r="657" spans="2:7">
      <c r="B657" s="172"/>
      <c r="C657" s="173"/>
      <c r="D657" s="133"/>
      <c r="E657" s="171"/>
      <c r="F657" s="171"/>
      <c r="G657" s="171"/>
    </row>
    <row r="658" spans="2:7">
      <c r="B658" s="172"/>
      <c r="C658" s="173"/>
      <c r="D658" s="133"/>
      <c r="E658" s="171"/>
      <c r="F658" s="171"/>
      <c r="G658" s="171"/>
    </row>
    <row r="659" spans="2:7">
      <c r="B659" s="172"/>
      <c r="C659" s="173"/>
      <c r="D659" s="133"/>
      <c r="E659" s="171"/>
      <c r="F659" s="171"/>
      <c r="G659" s="171"/>
    </row>
    <row r="660" spans="2:7">
      <c r="B660" s="172"/>
      <c r="C660" s="173"/>
      <c r="D660" s="133"/>
      <c r="E660" s="171"/>
      <c r="F660" s="171"/>
      <c r="G660" s="171"/>
    </row>
    <row r="661" spans="2:7">
      <c r="B661" s="172"/>
      <c r="C661" s="173"/>
      <c r="D661" s="133"/>
      <c r="E661" s="171"/>
      <c r="F661" s="171"/>
      <c r="G661" s="171"/>
    </row>
    <row r="662" spans="2:7">
      <c r="B662" s="172"/>
      <c r="C662" s="173"/>
      <c r="D662" s="133"/>
      <c r="E662" s="171"/>
      <c r="F662" s="171"/>
      <c r="G662" s="171"/>
    </row>
    <row r="663" spans="2:7">
      <c r="B663" s="172"/>
      <c r="C663" s="173"/>
      <c r="D663" s="133"/>
      <c r="E663" s="171"/>
      <c r="F663" s="171"/>
      <c r="G663" s="171"/>
    </row>
    <row r="664" spans="2:7">
      <c r="B664" s="172"/>
      <c r="C664" s="173"/>
      <c r="D664" s="133"/>
      <c r="E664" s="171"/>
      <c r="F664" s="171"/>
      <c r="G664" s="171"/>
    </row>
    <row r="665" spans="2:7">
      <c r="B665" s="172"/>
      <c r="C665" s="173"/>
      <c r="D665" s="133"/>
      <c r="E665" s="171"/>
      <c r="F665" s="171"/>
      <c r="G665" s="171"/>
    </row>
    <row r="666" spans="2:7">
      <c r="B666" s="172"/>
      <c r="C666" s="173"/>
      <c r="D666" s="133"/>
      <c r="E666" s="171"/>
      <c r="F666" s="171"/>
      <c r="G666" s="171"/>
    </row>
    <row r="667" spans="2:7">
      <c r="B667" s="172"/>
      <c r="C667" s="173"/>
      <c r="D667" s="133"/>
      <c r="E667" s="171"/>
      <c r="F667" s="171"/>
      <c r="G667" s="171"/>
    </row>
    <row r="668" spans="2:7">
      <c r="B668" s="172"/>
      <c r="C668" s="173"/>
      <c r="D668" s="133"/>
      <c r="E668" s="171"/>
      <c r="F668" s="171"/>
      <c r="G668" s="171"/>
    </row>
    <row r="669" spans="2:7">
      <c r="B669" s="172"/>
      <c r="C669" s="173"/>
      <c r="D669" s="133"/>
      <c r="E669" s="171"/>
      <c r="F669" s="171"/>
      <c r="G669" s="171"/>
    </row>
    <row r="670" spans="2:7">
      <c r="B670" s="172"/>
      <c r="C670" s="173"/>
      <c r="D670" s="133"/>
      <c r="E670" s="171"/>
      <c r="F670" s="171"/>
      <c r="G670" s="171"/>
    </row>
    <row r="671" spans="2:7">
      <c r="B671" s="172"/>
      <c r="C671" s="173"/>
      <c r="D671" s="133"/>
      <c r="E671" s="171"/>
      <c r="F671" s="171"/>
      <c r="G671" s="171"/>
    </row>
    <row r="672" spans="2:7">
      <c r="B672" s="172"/>
      <c r="C672" s="173"/>
      <c r="D672" s="133"/>
      <c r="E672" s="171"/>
      <c r="F672" s="171"/>
      <c r="G672" s="171"/>
    </row>
    <row r="673" spans="2:7">
      <c r="B673" s="172"/>
      <c r="C673" s="173"/>
      <c r="D673" s="133"/>
      <c r="E673" s="171"/>
      <c r="F673" s="171"/>
      <c r="G673" s="171"/>
    </row>
    <row r="674" spans="2:7">
      <c r="B674" s="172"/>
      <c r="C674" s="173"/>
      <c r="D674" s="133"/>
      <c r="E674" s="171"/>
      <c r="F674" s="171"/>
      <c r="G674" s="171"/>
    </row>
    <row r="675" spans="2:7">
      <c r="B675" s="172"/>
      <c r="C675" s="173"/>
      <c r="D675" s="133"/>
      <c r="E675" s="171"/>
      <c r="F675" s="171"/>
      <c r="G675" s="171"/>
    </row>
    <row r="676" spans="2:7">
      <c r="B676" s="172"/>
      <c r="C676" s="173"/>
      <c r="D676" s="133"/>
      <c r="E676" s="171"/>
      <c r="F676" s="171"/>
      <c r="G676" s="171"/>
    </row>
    <row r="677" spans="2:7">
      <c r="B677" s="172"/>
      <c r="C677" s="173"/>
      <c r="D677" s="133"/>
      <c r="E677" s="171"/>
      <c r="F677" s="171"/>
      <c r="G677" s="171"/>
    </row>
    <row r="678" spans="2:7">
      <c r="B678" s="172"/>
      <c r="C678" s="173"/>
      <c r="D678" s="133"/>
      <c r="E678" s="171"/>
      <c r="F678" s="171"/>
      <c r="G678" s="171"/>
    </row>
    <row r="679" spans="2:7">
      <c r="B679" s="172"/>
      <c r="C679" s="173"/>
      <c r="D679" s="133"/>
      <c r="E679" s="171"/>
      <c r="F679" s="171"/>
      <c r="G679" s="171"/>
    </row>
    <row r="680" spans="2:7">
      <c r="B680" s="172"/>
      <c r="C680" s="173"/>
      <c r="D680" s="133"/>
      <c r="E680" s="171"/>
      <c r="F680" s="171"/>
      <c r="G680" s="171"/>
    </row>
    <row r="681" spans="2:7">
      <c r="B681" s="172"/>
      <c r="C681" s="173"/>
      <c r="D681" s="133"/>
      <c r="E681" s="171"/>
      <c r="F681" s="171"/>
      <c r="G681" s="171"/>
    </row>
    <row r="682" spans="2:7">
      <c r="B682" s="172"/>
      <c r="C682" s="173"/>
      <c r="D682" s="133"/>
      <c r="E682" s="171"/>
      <c r="F682" s="171"/>
      <c r="G682" s="171"/>
    </row>
    <row r="683" spans="2:7">
      <c r="B683" s="172"/>
      <c r="C683" s="173"/>
      <c r="D683" s="133"/>
      <c r="E683" s="171"/>
      <c r="F683" s="171"/>
      <c r="G683" s="171"/>
    </row>
    <row r="684" spans="2:7">
      <c r="B684" s="172"/>
      <c r="C684" s="173"/>
      <c r="D684" s="133"/>
      <c r="E684" s="171"/>
      <c r="F684" s="171"/>
      <c r="G684" s="171"/>
    </row>
    <row r="685" spans="2:7">
      <c r="B685" s="172"/>
      <c r="C685" s="173"/>
      <c r="D685" s="133"/>
      <c r="E685" s="171"/>
      <c r="F685" s="171"/>
      <c r="G685" s="171"/>
    </row>
    <row r="686" spans="2:7">
      <c r="B686" s="172"/>
      <c r="C686" s="173"/>
      <c r="D686" s="133"/>
      <c r="E686" s="171"/>
      <c r="F686" s="171"/>
      <c r="G686" s="171"/>
    </row>
    <row r="687" spans="2:7">
      <c r="B687" s="172"/>
      <c r="C687" s="173"/>
      <c r="D687" s="133"/>
      <c r="E687" s="171"/>
      <c r="F687" s="171"/>
      <c r="G687" s="171"/>
    </row>
    <row r="688" spans="2:7">
      <c r="B688" s="172"/>
      <c r="C688" s="173"/>
      <c r="D688" s="133"/>
      <c r="E688" s="171"/>
      <c r="F688" s="171"/>
      <c r="G688" s="171"/>
    </row>
    <row r="689" spans="2:7">
      <c r="B689" s="172"/>
      <c r="C689" s="173"/>
      <c r="D689" s="133"/>
      <c r="E689" s="171"/>
      <c r="F689" s="171"/>
      <c r="G689" s="171"/>
    </row>
    <row r="690" spans="2:7">
      <c r="B690" s="172"/>
      <c r="C690" s="173"/>
      <c r="D690" s="133"/>
      <c r="E690" s="171"/>
      <c r="F690" s="171"/>
      <c r="G690" s="171"/>
    </row>
    <row r="691" spans="2:7">
      <c r="B691" s="172"/>
      <c r="C691" s="173"/>
      <c r="D691" s="133"/>
      <c r="E691" s="171"/>
      <c r="F691" s="171"/>
      <c r="G691" s="171"/>
    </row>
    <row r="692" spans="2:7">
      <c r="B692" s="172"/>
      <c r="C692" s="173"/>
      <c r="D692" s="133"/>
      <c r="E692" s="171"/>
      <c r="F692" s="171"/>
      <c r="G692" s="171"/>
    </row>
    <row r="693" spans="2:7">
      <c r="B693" s="172"/>
      <c r="C693" s="173"/>
      <c r="D693" s="133"/>
      <c r="E693" s="171"/>
      <c r="F693" s="171"/>
      <c r="G693" s="171"/>
    </row>
    <row r="694" spans="2:7">
      <c r="B694" s="172"/>
      <c r="C694" s="173"/>
      <c r="D694" s="133"/>
      <c r="E694" s="171"/>
      <c r="F694" s="171"/>
      <c r="G694" s="171"/>
    </row>
    <row r="695" spans="2:7">
      <c r="B695" s="172"/>
      <c r="C695" s="173"/>
      <c r="D695" s="133"/>
      <c r="E695" s="171"/>
      <c r="F695" s="171"/>
      <c r="G695" s="171"/>
    </row>
    <row r="696" spans="2:7">
      <c r="B696" s="172"/>
      <c r="C696" s="173"/>
      <c r="D696" s="133"/>
      <c r="E696" s="171"/>
      <c r="F696" s="171"/>
      <c r="G696" s="171"/>
    </row>
    <row r="697" spans="2:7">
      <c r="B697" s="172"/>
      <c r="C697" s="173"/>
      <c r="D697" s="133"/>
      <c r="E697" s="171"/>
      <c r="F697" s="171"/>
      <c r="G697" s="171"/>
    </row>
    <row r="698" spans="2:7">
      <c r="B698" s="172"/>
      <c r="C698" s="173"/>
      <c r="D698" s="133"/>
      <c r="E698" s="171"/>
      <c r="F698" s="171"/>
      <c r="G698" s="171"/>
    </row>
    <row r="699" spans="2:7">
      <c r="B699" s="172"/>
      <c r="C699" s="173"/>
      <c r="D699" s="133"/>
      <c r="E699" s="171"/>
      <c r="F699" s="171"/>
      <c r="G699" s="171"/>
    </row>
    <row r="700" spans="2:7">
      <c r="B700" s="172"/>
      <c r="C700" s="173"/>
      <c r="D700" s="133"/>
      <c r="E700" s="171"/>
      <c r="F700" s="171"/>
      <c r="G700" s="171"/>
    </row>
    <row r="701" spans="2:7">
      <c r="B701" s="172"/>
      <c r="C701" s="173"/>
      <c r="D701" s="133"/>
      <c r="E701" s="171"/>
      <c r="F701" s="171"/>
      <c r="G701" s="171"/>
    </row>
    <row r="702" spans="2:7">
      <c r="B702" s="172"/>
      <c r="C702" s="173"/>
      <c r="D702" s="133"/>
      <c r="E702" s="171"/>
      <c r="F702" s="171"/>
      <c r="G702" s="171"/>
    </row>
    <row r="703" spans="2:7">
      <c r="B703" s="172"/>
      <c r="C703" s="173"/>
      <c r="D703" s="133"/>
      <c r="E703" s="171"/>
      <c r="F703" s="171"/>
      <c r="G703" s="171"/>
    </row>
    <row r="704" spans="2:7">
      <c r="B704" s="172"/>
      <c r="C704" s="173"/>
      <c r="D704" s="133"/>
      <c r="E704" s="171"/>
      <c r="F704" s="171"/>
      <c r="G704" s="171"/>
    </row>
    <row r="705" spans="2:7">
      <c r="B705" s="172"/>
      <c r="C705" s="173"/>
      <c r="D705" s="133"/>
      <c r="E705" s="171"/>
      <c r="F705" s="171"/>
      <c r="G705" s="171"/>
    </row>
    <row r="706" spans="2:7">
      <c r="B706" s="172"/>
      <c r="C706" s="173"/>
      <c r="D706" s="133"/>
      <c r="E706" s="171"/>
      <c r="F706" s="171"/>
      <c r="G706" s="171"/>
    </row>
    <row r="707" spans="2:7">
      <c r="B707" s="172"/>
      <c r="C707" s="173"/>
      <c r="D707" s="133"/>
      <c r="E707" s="171"/>
      <c r="F707" s="171"/>
      <c r="G707" s="171"/>
    </row>
    <row r="708" spans="2:7">
      <c r="B708" s="172"/>
      <c r="C708" s="173"/>
      <c r="D708" s="133"/>
      <c r="E708" s="171"/>
      <c r="F708" s="171"/>
      <c r="G708" s="171"/>
    </row>
    <row r="709" spans="2:7">
      <c r="B709" s="172"/>
      <c r="C709" s="173"/>
      <c r="D709" s="133"/>
      <c r="E709" s="171"/>
      <c r="F709" s="171"/>
      <c r="G709" s="171"/>
    </row>
    <row r="710" spans="2:7">
      <c r="B710" s="172"/>
      <c r="C710" s="173"/>
      <c r="D710" s="133"/>
      <c r="E710" s="171"/>
      <c r="F710" s="171"/>
      <c r="G710" s="171"/>
    </row>
    <row r="711" spans="2:7">
      <c r="B711" s="172"/>
      <c r="C711" s="173"/>
      <c r="D711" s="133"/>
      <c r="E711" s="171"/>
      <c r="F711" s="171"/>
      <c r="G711" s="171"/>
    </row>
    <row r="712" spans="2:7">
      <c r="B712" s="172"/>
      <c r="C712" s="173"/>
      <c r="D712" s="133"/>
      <c r="E712" s="171"/>
      <c r="F712" s="171"/>
      <c r="G712" s="171"/>
    </row>
    <row r="713" spans="2:7">
      <c r="B713" s="172"/>
      <c r="C713" s="173"/>
      <c r="D713" s="133"/>
      <c r="E713" s="171"/>
      <c r="F713" s="171"/>
      <c r="G713" s="171"/>
    </row>
    <row r="714" spans="2:7">
      <c r="B714" s="172"/>
      <c r="C714" s="173"/>
      <c r="D714" s="133"/>
      <c r="E714" s="171"/>
      <c r="F714" s="171"/>
      <c r="G714" s="171"/>
    </row>
    <row r="715" spans="2:7">
      <c r="B715" s="172"/>
      <c r="C715" s="173"/>
      <c r="D715" s="133"/>
      <c r="E715" s="171"/>
      <c r="F715" s="171"/>
      <c r="G715" s="171"/>
    </row>
    <row r="716" spans="2:7">
      <c r="B716" s="172"/>
      <c r="C716" s="173"/>
      <c r="D716" s="133"/>
      <c r="E716" s="171"/>
      <c r="F716" s="171"/>
      <c r="G716" s="171"/>
    </row>
    <row r="717" spans="2:7">
      <c r="B717" s="172"/>
      <c r="C717" s="173"/>
      <c r="D717" s="133"/>
      <c r="E717" s="171"/>
      <c r="F717" s="171"/>
      <c r="G717" s="171"/>
    </row>
    <row r="718" spans="2:7">
      <c r="B718" s="172"/>
      <c r="C718" s="173"/>
      <c r="D718" s="133"/>
      <c r="E718" s="171"/>
      <c r="F718" s="171"/>
      <c r="G718" s="171"/>
    </row>
    <row r="719" spans="2:7">
      <c r="B719" s="172"/>
      <c r="C719" s="173"/>
      <c r="D719" s="133"/>
      <c r="E719" s="171"/>
      <c r="F719" s="171"/>
      <c r="G719" s="171"/>
    </row>
    <row r="720" spans="2:7">
      <c r="B720" s="172"/>
      <c r="C720" s="173"/>
      <c r="D720" s="133"/>
      <c r="E720" s="171"/>
      <c r="F720" s="171"/>
      <c r="G720" s="171"/>
    </row>
    <row r="721" spans="2:7">
      <c r="B721" s="172"/>
      <c r="C721" s="173"/>
      <c r="D721" s="133"/>
      <c r="E721" s="171"/>
      <c r="F721" s="171"/>
      <c r="G721" s="171"/>
    </row>
    <row r="722" spans="2:7">
      <c r="B722" s="172"/>
      <c r="C722" s="173"/>
      <c r="D722" s="133"/>
      <c r="E722" s="171"/>
      <c r="F722" s="171"/>
      <c r="G722" s="171"/>
    </row>
    <row r="723" spans="2:7">
      <c r="B723" s="172"/>
      <c r="C723" s="173"/>
      <c r="D723" s="133"/>
      <c r="E723" s="171"/>
      <c r="F723" s="171"/>
      <c r="G723" s="171"/>
    </row>
    <row r="724" spans="2:7">
      <c r="B724" s="172"/>
      <c r="C724" s="173"/>
      <c r="D724" s="133"/>
      <c r="E724" s="171"/>
      <c r="F724" s="171"/>
      <c r="G724" s="171"/>
    </row>
    <row r="725" spans="2:7">
      <c r="B725" s="172"/>
      <c r="C725" s="173"/>
      <c r="D725" s="133"/>
      <c r="E725" s="171"/>
      <c r="F725" s="171"/>
      <c r="G725" s="171"/>
    </row>
    <row r="726" spans="2:7">
      <c r="B726" s="172"/>
      <c r="C726" s="173"/>
      <c r="D726" s="133"/>
      <c r="E726" s="171"/>
      <c r="F726" s="171"/>
      <c r="G726" s="171"/>
    </row>
    <row r="727" spans="2:7">
      <c r="B727" s="172"/>
      <c r="C727" s="173"/>
      <c r="D727" s="133"/>
      <c r="E727" s="171"/>
      <c r="F727" s="171"/>
      <c r="G727" s="171"/>
    </row>
    <row r="728" spans="2:7">
      <c r="B728" s="172"/>
      <c r="C728" s="173"/>
      <c r="D728" s="133"/>
      <c r="E728" s="171"/>
      <c r="F728" s="171"/>
      <c r="G728" s="171"/>
    </row>
    <row r="729" spans="2:7">
      <c r="B729" s="172"/>
      <c r="C729" s="173"/>
      <c r="D729" s="133"/>
      <c r="E729" s="171"/>
      <c r="F729" s="171"/>
      <c r="G729" s="171"/>
    </row>
    <row r="730" spans="2:7">
      <c r="B730" s="172"/>
      <c r="C730" s="173"/>
      <c r="D730" s="133"/>
      <c r="E730" s="171"/>
      <c r="F730" s="171"/>
      <c r="G730" s="171"/>
    </row>
    <row r="731" spans="2:7">
      <c r="B731" s="172"/>
      <c r="C731" s="173"/>
      <c r="D731" s="133"/>
      <c r="E731" s="171"/>
      <c r="F731" s="171"/>
      <c r="G731" s="171"/>
    </row>
    <row r="732" spans="2:7">
      <c r="B732" s="172"/>
      <c r="C732" s="173"/>
      <c r="D732" s="133"/>
      <c r="E732" s="171"/>
      <c r="F732" s="171"/>
      <c r="G732" s="171"/>
    </row>
    <row r="733" spans="2:7">
      <c r="B733" s="172"/>
      <c r="C733" s="173"/>
      <c r="D733" s="133"/>
      <c r="E733" s="171"/>
      <c r="F733" s="171"/>
      <c r="G733" s="171"/>
    </row>
    <row r="734" spans="2:7">
      <c r="B734" s="172"/>
      <c r="C734" s="173"/>
      <c r="D734" s="133"/>
      <c r="E734" s="171"/>
      <c r="F734" s="171"/>
      <c r="G734" s="171"/>
    </row>
    <row r="735" spans="2:7">
      <c r="B735" s="172"/>
      <c r="C735" s="173"/>
      <c r="D735" s="133"/>
      <c r="E735" s="171"/>
      <c r="F735" s="171"/>
      <c r="G735" s="171"/>
    </row>
    <row r="736" spans="2:7">
      <c r="B736" s="172"/>
      <c r="C736" s="173"/>
      <c r="D736" s="133"/>
      <c r="E736" s="171"/>
      <c r="F736" s="171"/>
      <c r="G736" s="171"/>
    </row>
    <row r="737" spans="2:7">
      <c r="B737" s="172"/>
      <c r="C737" s="173"/>
      <c r="D737" s="133"/>
      <c r="E737" s="171"/>
      <c r="F737" s="171"/>
      <c r="G737" s="171"/>
    </row>
    <row r="738" spans="2:7">
      <c r="B738" s="172"/>
      <c r="C738" s="173"/>
      <c r="D738" s="133"/>
      <c r="E738" s="171"/>
      <c r="F738" s="171"/>
      <c r="G738" s="171"/>
    </row>
    <row r="739" spans="2:7">
      <c r="B739" s="172"/>
      <c r="C739" s="173"/>
      <c r="D739" s="133"/>
      <c r="E739" s="171"/>
      <c r="F739" s="171"/>
      <c r="G739" s="171"/>
    </row>
    <row r="740" spans="2:7">
      <c r="B740" s="172"/>
      <c r="C740" s="173"/>
      <c r="D740" s="133"/>
      <c r="E740" s="171"/>
      <c r="F740" s="171"/>
      <c r="G740" s="171"/>
    </row>
    <row r="741" spans="2:7">
      <c r="B741" s="172"/>
      <c r="C741" s="173"/>
      <c r="D741" s="133"/>
      <c r="E741" s="171"/>
      <c r="F741" s="171"/>
      <c r="G741" s="171"/>
    </row>
    <row r="742" spans="2:7">
      <c r="B742" s="172"/>
      <c r="C742" s="173"/>
      <c r="D742" s="133"/>
      <c r="E742" s="171"/>
      <c r="F742" s="171"/>
      <c r="G742" s="171"/>
    </row>
    <row r="743" spans="2:7">
      <c r="B743" s="172"/>
      <c r="C743" s="173"/>
      <c r="D743" s="133"/>
      <c r="E743" s="171"/>
      <c r="F743" s="171"/>
      <c r="G743" s="171"/>
    </row>
    <row r="744" spans="2:7">
      <c r="B744" s="172"/>
      <c r="C744" s="173"/>
      <c r="D744" s="133"/>
      <c r="E744" s="171"/>
      <c r="F744" s="171"/>
      <c r="G744" s="171"/>
    </row>
    <row r="745" spans="2:7">
      <c r="B745" s="172"/>
      <c r="C745" s="173"/>
      <c r="D745" s="133"/>
      <c r="E745" s="171"/>
      <c r="F745" s="171"/>
      <c r="G745" s="171"/>
    </row>
    <row r="746" spans="2:7">
      <c r="B746" s="172"/>
      <c r="C746" s="173"/>
      <c r="D746" s="133"/>
      <c r="E746" s="171"/>
      <c r="F746" s="171"/>
      <c r="G746" s="171"/>
    </row>
    <row r="747" spans="2:7">
      <c r="B747" s="172"/>
      <c r="C747" s="173"/>
      <c r="D747" s="133"/>
      <c r="E747" s="171"/>
      <c r="F747" s="171"/>
      <c r="G747" s="171"/>
    </row>
    <row r="748" spans="2:7">
      <c r="B748" s="172"/>
      <c r="C748" s="173"/>
      <c r="D748" s="133"/>
      <c r="E748" s="171"/>
      <c r="F748" s="171"/>
      <c r="G748" s="171"/>
    </row>
    <row r="749" spans="2:7">
      <c r="B749" s="172"/>
      <c r="C749" s="173"/>
      <c r="D749" s="133"/>
      <c r="E749" s="171"/>
      <c r="F749" s="171"/>
      <c r="G749" s="171"/>
    </row>
    <row r="750" spans="2:7">
      <c r="B750" s="172"/>
      <c r="C750" s="173"/>
      <c r="D750" s="133"/>
      <c r="E750" s="171"/>
      <c r="F750" s="171"/>
      <c r="G750" s="171"/>
    </row>
    <row r="751" spans="2:7">
      <c r="B751" s="172"/>
      <c r="C751" s="173"/>
      <c r="D751" s="133"/>
      <c r="E751" s="171"/>
      <c r="F751" s="171"/>
      <c r="G751" s="171"/>
    </row>
    <row r="752" spans="2:7">
      <c r="B752" s="172"/>
      <c r="C752" s="173"/>
      <c r="D752" s="133"/>
      <c r="E752" s="171"/>
      <c r="F752" s="171"/>
      <c r="G752" s="171"/>
    </row>
    <row r="753" spans="2:7">
      <c r="B753" s="172"/>
      <c r="C753" s="173"/>
      <c r="D753" s="133"/>
      <c r="E753" s="171"/>
      <c r="F753" s="171"/>
      <c r="G753" s="171"/>
    </row>
    <row r="754" spans="2:7">
      <c r="B754" s="172"/>
      <c r="C754" s="173"/>
      <c r="D754" s="133"/>
      <c r="E754" s="171"/>
      <c r="F754" s="171"/>
      <c r="G754" s="171"/>
    </row>
    <row r="755" spans="2:7">
      <c r="B755" s="172"/>
      <c r="C755" s="173"/>
      <c r="D755" s="133"/>
      <c r="E755" s="171"/>
      <c r="F755" s="171"/>
      <c r="G755" s="171"/>
    </row>
    <row r="756" spans="2:7">
      <c r="B756" s="172"/>
      <c r="C756" s="173"/>
      <c r="D756" s="133"/>
      <c r="E756" s="171"/>
      <c r="F756" s="171"/>
      <c r="G756" s="171"/>
    </row>
    <row r="757" spans="2:7">
      <c r="B757" s="172"/>
      <c r="C757" s="173"/>
      <c r="D757" s="133"/>
      <c r="E757" s="171"/>
      <c r="F757" s="171"/>
      <c r="G757" s="171"/>
    </row>
    <row r="758" spans="2:7">
      <c r="B758" s="172"/>
      <c r="C758" s="173"/>
      <c r="D758" s="133"/>
      <c r="E758" s="171"/>
      <c r="F758" s="171"/>
      <c r="G758" s="171"/>
    </row>
    <row r="759" spans="2:7">
      <c r="B759" s="172"/>
      <c r="C759" s="173"/>
      <c r="D759" s="133"/>
      <c r="E759" s="171"/>
      <c r="F759" s="171"/>
      <c r="G759" s="171"/>
    </row>
    <row r="760" spans="2:7">
      <c r="B760" s="172"/>
      <c r="C760" s="173"/>
      <c r="D760" s="133"/>
      <c r="E760" s="171"/>
      <c r="F760" s="171"/>
      <c r="G760" s="171"/>
    </row>
    <row r="761" spans="2:7">
      <c r="B761" s="172"/>
      <c r="C761" s="173"/>
      <c r="D761" s="133"/>
      <c r="E761" s="171"/>
      <c r="F761" s="171"/>
      <c r="G761" s="171"/>
    </row>
    <row r="762" spans="2:7">
      <c r="B762" s="172"/>
      <c r="C762" s="173"/>
      <c r="D762" s="133"/>
      <c r="E762" s="171"/>
      <c r="F762" s="171"/>
      <c r="G762" s="171"/>
    </row>
    <row r="763" spans="2:7">
      <c r="B763" s="172"/>
      <c r="C763" s="173"/>
      <c r="D763" s="133"/>
      <c r="E763" s="171"/>
      <c r="F763" s="171"/>
      <c r="G763" s="171"/>
    </row>
    <row r="764" spans="2:7">
      <c r="B764" s="172"/>
      <c r="C764" s="173"/>
      <c r="D764" s="133"/>
      <c r="E764" s="171"/>
      <c r="F764" s="171"/>
      <c r="G764" s="171"/>
    </row>
    <row r="765" spans="2:7">
      <c r="B765" s="172"/>
      <c r="C765" s="173"/>
      <c r="D765" s="133"/>
      <c r="E765" s="171"/>
      <c r="F765" s="171"/>
      <c r="G765" s="171"/>
    </row>
    <row r="766" spans="2:7">
      <c r="B766" s="172"/>
      <c r="C766" s="173"/>
      <c r="D766" s="133"/>
      <c r="E766" s="171"/>
      <c r="F766" s="171"/>
      <c r="G766" s="171"/>
    </row>
    <row r="767" spans="2:7">
      <c r="B767" s="172"/>
      <c r="C767" s="173"/>
      <c r="D767" s="133"/>
      <c r="E767" s="171"/>
      <c r="F767" s="171"/>
      <c r="G767" s="171"/>
    </row>
    <row r="768" spans="2:7">
      <c r="B768" s="172"/>
      <c r="C768" s="173"/>
      <c r="D768" s="133"/>
      <c r="E768" s="171"/>
      <c r="F768" s="171"/>
      <c r="G768" s="171"/>
    </row>
    <row r="769" spans="2:7">
      <c r="B769" s="172"/>
      <c r="C769" s="173"/>
      <c r="D769" s="133"/>
      <c r="E769" s="171"/>
      <c r="F769" s="171"/>
      <c r="G769" s="171"/>
    </row>
    <row r="770" spans="2:7">
      <c r="B770" s="172"/>
      <c r="C770" s="173"/>
      <c r="D770" s="133"/>
      <c r="E770" s="171"/>
      <c r="F770" s="171"/>
      <c r="G770" s="171"/>
    </row>
    <row r="771" spans="2:7">
      <c r="B771" s="172"/>
      <c r="C771" s="173"/>
      <c r="D771" s="133"/>
      <c r="E771" s="171"/>
      <c r="F771" s="171"/>
      <c r="G771" s="171"/>
    </row>
    <row r="772" spans="2:7">
      <c r="B772" s="172"/>
      <c r="C772" s="173"/>
      <c r="D772" s="133"/>
      <c r="E772" s="171"/>
      <c r="F772" s="171"/>
      <c r="G772" s="171"/>
    </row>
    <row r="773" spans="2:7">
      <c r="B773" s="172"/>
      <c r="C773" s="173"/>
      <c r="D773" s="133"/>
      <c r="E773" s="171"/>
      <c r="F773" s="171"/>
      <c r="G773" s="171"/>
    </row>
    <row r="774" spans="2:7">
      <c r="B774" s="172"/>
      <c r="C774" s="173"/>
      <c r="D774" s="133"/>
      <c r="E774" s="171"/>
      <c r="F774" s="171"/>
      <c r="G774" s="171"/>
    </row>
    <row r="775" spans="2:7">
      <c r="B775" s="172"/>
      <c r="C775" s="173"/>
      <c r="D775" s="133"/>
      <c r="E775" s="171"/>
      <c r="F775" s="171"/>
      <c r="G775" s="171"/>
    </row>
    <row r="776" spans="2:7">
      <c r="B776" s="172"/>
      <c r="C776" s="173"/>
      <c r="D776" s="133"/>
      <c r="E776" s="171"/>
      <c r="F776" s="171"/>
      <c r="G776" s="171"/>
    </row>
    <row r="777" spans="2:7">
      <c r="B777" s="172"/>
      <c r="C777" s="173"/>
      <c r="D777" s="133"/>
      <c r="E777" s="171"/>
      <c r="F777" s="171"/>
      <c r="G777" s="171"/>
    </row>
    <row r="778" spans="2:7">
      <c r="B778" s="172"/>
      <c r="C778" s="173"/>
      <c r="D778" s="133"/>
      <c r="E778" s="171"/>
      <c r="F778" s="171"/>
      <c r="G778" s="171"/>
    </row>
    <row r="779" spans="2:7">
      <c r="B779" s="172"/>
      <c r="C779" s="173"/>
      <c r="D779" s="133"/>
      <c r="E779" s="171"/>
      <c r="F779" s="171"/>
      <c r="G779" s="171"/>
    </row>
    <row r="780" spans="2:7">
      <c r="B780" s="172"/>
      <c r="C780" s="173"/>
      <c r="D780" s="133"/>
      <c r="E780" s="171"/>
      <c r="F780" s="171"/>
      <c r="G780" s="171"/>
    </row>
    <row r="781" spans="2:7">
      <c r="B781" s="172"/>
      <c r="C781" s="173"/>
      <c r="D781" s="133"/>
      <c r="E781" s="171"/>
      <c r="F781" s="171"/>
      <c r="G781" s="171"/>
    </row>
    <row r="782" spans="2:7">
      <c r="B782" s="172"/>
      <c r="C782" s="173"/>
      <c r="D782" s="133"/>
      <c r="E782" s="171"/>
      <c r="F782" s="171"/>
      <c r="G782" s="171"/>
    </row>
    <row r="783" spans="2:7">
      <c r="B783" s="172"/>
      <c r="C783" s="173"/>
      <c r="D783" s="133"/>
      <c r="E783" s="171"/>
      <c r="F783" s="171"/>
      <c r="G783" s="171"/>
    </row>
    <row r="784" spans="2:7">
      <c r="B784" s="172"/>
      <c r="C784" s="173"/>
      <c r="D784" s="133"/>
      <c r="E784" s="171"/>
      <c r="F784" s="171"/>
      <c r="G784" s="171"/>
    </row>
    <row r="785" spans="2:7">
      <c r="B785" s="172"/>
      <c r="C785" s="173"/>
      <c r="D785" s="133"/>
      <c r="E785" s="171"/>
      <c r="F785" s="171"/>
      <c r="G785" s="171"/>
    </row>
    <row r="786" spans="2:7">
      <c r="B786" s="172"/>
      <c r="C786" s="173"/>
      <c r="D786" s="133"/>
      <c r="E786" s="171"/>
      <c r="F786" s="171"/>
      <c r="G786" s="171"/>
    </row>
    <row r="787" spans="2:7">
      <c r="B787" s="172"/>
      <c r="C787" s="173"/>
      <c r="D787" s="133"/>
      <c r="E787" s="171"/>
      <c r="F787" s="171"/>
      <c r="G787" s="171"/>
    </row>
    <row r="788" spans="2:7">
      <c r="B788" s="172"/>
      <c r="C788" s="173"/>
      <c r="D788" s="133"/>
      <c r="E788" s="171"/>
      <c r="F788" s="171"/>
      <c r="G788" s="171"/>
    </row>
    <row r="789" spans="2:7">
      <c r="B789" s="172"/>
      <c r="C789" s="173"/>
      <c r="D789" s="133"/>
      <c r="E789" s="171"/>
      <c r="F789" s="171"/>
      <c r="G789" s="171"/>
    </row>
    <row r="790" spans="2:7">
      <c r="B790" s="172"/>
      <c r="C790" s="173"/>
      <c r="D790" s="133"/>
      <c r="E790" s="171"/>
      <c r="F790" s="171"/>
      <c r="G790" s="171"/>
    </row>
    <row r="791" spans="2:7">
      <c r="B791" s="172"/>
      <c r="C791" s="173"/>
      <c r="D791" s="133"/>
      <c r="E791" s="171"/>
      <c r="F791" s="171"/>
      <c r="G791" s="171"/>
    </row>
    <row r="792" spans="2:7">
      <c r="B792" s="172"/>
      <c r="C792" s="173"/>
      <c r="D792" s="133"/>
      <c r="E792" s="171"/>
      <c r="F792" s="171"/>
      <c r="G792" s="171"/>
    </row>
    <row r="793" spans="2:7">
      <c r="B793" s="172"/>
      <c r="C793" s="173"/>
      <c r="D793" s="133"/>
      <c r="E793" s="171"/>
      <c r="F793" s="171"/>
      <c r="G793" s="171"/>
    </row>
    <row r="794" spans="2:7">
      <c r="B794" s="172"/>
      <c r="C794" s="173"/>
      <c r="D794" s="133"/>
      <c r="E794" s="171"/>
      <c r="F794" s="171"/>
      <c r="G794" s="171"/>
    </row>
    <row r="795" spans="2:7">
      <c r="B795" s="172"/>
      <c r="C795" s="173"/>
      <c r="D795" s="133"/>
      <c r="E795" s="171"/>
      <c r="F795" s="171"/>
      <c r="G795" s="171"/>
    </row>
    <row r="796" spans="2:7">
      <c r="B796" s="172"/>
      <c r="C796" s="173"/>
      <c r="D796" s="133"/>
      <c r="E796" s="171"/>
      <c r="F796" s="171"/>
      <c r="G796" s="171"/>
    </row>
    <row r="797" spans="2:7">
      <c r="B797" s="172"/>
      <c r="C797" s="173"/>
      <c r="D797" s="133"/>
      <c r="E797" s="171"/>
      <c r="F797" s="171"/>
      <c r="G797" s="171"/>
    </row>
    <row r="798" spans="2:7">
      <c r="B798" s="172"/>
      <c r="C798" s="173"/>
      <c r="D798" s="133"/>
      <c r="E798" s="171"/>
      <c r="F798" s="171"/>
      <c r="G798" s="171"/>
    </row>
    <row r="799" spans="2:7">
      <c r="B799" s="172"/>
      <c r="C799" s="173"/>
      <c r="D799" s="133"/>
      <c r="E799" s="171"/>
      <c r="F799" s="171"/>
      <c r="G799" s="171"/>
    </row>
    <row r="800" spans="2:7">
      <c r="B800" s="172"/>
      <c r="C800" s="173"/>
      <c r="D800" s="133"/>
      <c r="E800" s="171"/>
      <c r="F800" s="171"/>
      <c r="G800" s="171"/>
    </row>
    <row r="801" spans="2:7">
      <c r="B801" s="172"/>
      <c r="C801" s="173"/>
      <c r="D801" s="133"/>
      <c r="E801" s="171"/>
      <c r="F801" s="171"/>
      <c r="G801" s="171"/>
    </row>
    <row r="802" spans="2:7">
      <c r="B802" s="172"/>
      <c r="C802" s="173"/>
      <c r="D802" s="133"/>
      <c r="E802" s="171"/>
      <c r="F802" s="171"/>
      <c r="G802" s="171"/>
    </row>
    <row r="803" spans="2:7">
      <c r="B803" s="172"/>
      <c r="C803" s="173"/>
      <c r="D803" s="133"/>
      <c r="E803" s="171"/>
      <c r="F803" s="171"/>
      <c r="G803" s="171"/>
    </row>
    <row r="804" spans="2:7">
      <c r="B804" s="172"/>
      <c r="C804" s="173"/>
      <c r="D804" s="133"/>
      <c r="E804" s="171"/>
      <c r="F804" s="171"/>
      <c r="G804" s="171"/>
    </row>
    <row r="805" spans="2:7">
      <c r="B805" s="172"/>
      <c r="C805" s="173"/>
      <c r="D805" s="133"/>
      <c r="E805" s="171"/>
      <c r="F805" s="171"/>
      <c r="G805" s="171"/>
    </row>
    <row r="806" spans="2:7">
      <c r="B806" s="172"/>
      <c r="C806" s="173"/>
      <c r="D806" s="133"/>
      <c r="E806" s="171"/>
      <c r="F806" s="171"/>
      <c r="G806" s="171"/>
    </row>
    <row r="807" spans="2:7">
      <c r="B807" s="172"/>
      <c r="C807" s="173"/>
      <c r="D807" s="133"/>
      <c r="E807" s="171"/>
      <c r="F807" s="171"/>
      <c r="G807" s="171"/>
    </row>
    <row r="808" spans="2:7">
      <c r="B808" s="172"/>
      <c r="C808" s="173"/>
      <c r="D808" s="133"/>
      <c r="E808" s="171"/>
      <c r="F808" s="171"/>
      <c r="G808" s="171"/>
    </row>
    <row r="809" spans="2:7">
      <c r="B809" s="172"/>
      <c r="C809" s="173"/>
      <c r="D809" s="133"/>
      <c r="E809" s="171"/>
      <c r="F809" s="171"/>
      <c r="G809" s="171"/>
    </row>
    <row r="810" spans="2:7">
      <c r="B810" s="172"/>
      <c r="C810" s="173"/>
      <c r="D810" s="133"/>
      <c r="E810" s="171"/>
      <c r="F810" s="171"/>
      <c r="G810" s="171"/>
    </row>
    <row r="811" spans="2:7">
      <c r="B811" s="172"/>
      <c r="C811" s="173"/>
      <c r="D811" s="133"/>
      <c r="E811" s="171"/>
      <c r="F811" s="171"/>
      <c r="G811" s="171"/>
    </row>
    <row r="812" spans="2:7">
      <c r="B812" s="172"/>
      <c r="C812" s="173"/>
      <c r="D812" s="133"/>
      <c r="E812" s="171"/>
      <c r="F812" s="171"/>
      <c r="G812" s="171"/>
    </row>
    <row r="813" spans="2:7">
      <c r="B813" s="172"/>
      <c r="C813" s="173"/>
      <c r="D813" s="133"/>
      <c r="E813" s="171"/>
      <c r="F813" s="171"/>
      <c r="G813" s="171"/>
    </row>
    <row r="814" spans="2:7">
      <c r="B814" s="172"/>
      <c r="C814" s="173"/>
      <c r="D814" s="133"/>
      <c r="E814" s="171"/>
      <c r="F814" s="171"/>
      <c r="G814" s="171"/>
    </row>
    <row r="815" spans="2:7">
      <c r="B815" s="172"/>
      <c r="C815" s="173"/>
      <c r="D815" s="133"/>
      <c r="E815" s="171"/>
      <c r="F815" s="171"/>
      <c r="G815" s="171"/>
    </row>
    <row r="816" spans="2:7">
      <c r="B816" s="172"/>
      <c r="C816" s="173"/>
      <c r="D816" s="133"/>
      <c r="E816" s="171"/>
      <c r="F816" s="171"/>
      <c r="G816" s="171"/>
    </row>
    <row r="817" spans="2:7">
      <c r="B817" s="172"/>
      <c r="C817" s="173"/>
      <c r="D817" s="133"/>
      <c r="E817" s="171"/>
      <c r="F817" s="171"/>
      <c r="G817" s="171"/>
    </row>
    <row r="818" spans="2:7">
      <c r="B818" s="172"/>
      <c r="C818" s="173"/>
      <c r="D818" s="133"/>
      <c r="E818" s="171"/>
      <c r="F818" s="171"/>
      <c r="G818" s="171"/>
    </row>
    <row r="819" spans="2:7">
      <c r="B819" s="172"/>
      <c r="C819" s="173"/>
      <c r="D819" s="133"/>
      <c r="E819" s="171"/>
      <c r="F819" s="171"/>
      <c r="G819" s="171"/>
    </row>
    <row r="820" spans="2:7">
      <c r="B820" s="172"/>
      <c r="C820" s="173"/>
      <c r="D820" s="133"/>
      <c r="E820" s="171"/>
      <c r="F820" s="171"/>
      <c r="G820" s="171"/>
    </row>
    <row r="821" spans="2:7">
      <c r="B821" s="172"/>
      <c r="C821" s="173"/>
      <c r="D821" s="133"/>
      <c r="E821" s="171"/>
      <c r="F821" s="171"/>
      <c r="G821" s="171"/>
    </row>
    <row r="822" spans="2:7">
      <c r="B822" s="172"/>
      <c r="C822" s="173"/>
      <c r="D822" s="133"/>
      <c r="E822" s="171"/>
      <c r="F822" s="171"/>
      <c r="G822" s="171"/>
    </row>
    <row r="823" spans="2:7">
      <c r="B823" s="172"/>
      <c r="C823" s="173"/>
      <c r="D823" s="133"/>
      <c r="E823" s="171"/>
      <c r="F823" s="171"/>
      <c r="G823" s="171"/>
    </row>
    <row r="824" spans="2:7">
      <c r="B824" s="172"/>
      <c r="C824" s="173"/>
      <c r="D824" s="133"/>
      <c r="E824" s="171"/>
      <c r="F824" s="171"/>
      <c r="G824" s="171"/>
    </row>
    <row r="825" spans="2:7">
      <c r="B825" s="172"/>
      <c r="C825" s="173"/>
      <c r="D825" s="133"/>
      <c r="E825" s="171"/>
      <c r="F825" s="171"/>
      <c r="G825" s="171"/>
    </row>
    <row r="826" spans="2:7">
      <c r="B826" s="172"/>
      <c r="C826" s="173"/>
      <c r="D826" s="133"/>
      <c r="E826" s="171"/>
      <c r="F826" s="171"/>
      <c r="G826" s="171"/>
    </row>
    <row r="827" spans="2:7">
      <c r="B827" s="172"/>
      <c r="C827" s="173"/>
      <c r="D827" s="133"/>
      <c r="E827" s="171"/>
      <c r="F827" s="171"/>
      <c r="G827" s="171"/>
    </row>
    <row r="828" spans="2:7">
      <c r="B828" s="172"/>
      <c r="C828" s="173"/>
      <c r="D828" s="133"/>
      <c r="E828" s="171"/>
      <c r="F828" s="171"/>
      <c r="G828" s="171"/>
    </row>
    <row r="829" spans="2:7">
      <c r="B829" s="172"/>
      <c r="C829" s="173"/>
      <c r="D829" s="133"/>
      <c r="E829" s="171"/>
      <c r="F829" s="171"/>
      <c r="G829" s="171"/>
    </row>
    <row r="830" spans="2:7">
      <c r="B830" s="172"/>
      <c r="C830" s="173"/>
      <c r="D830" s="133"/>
      <c r="E830" s="171"/>
      <c r="F830" s="171"/>
      <c r="G830" s="171"/>
    </row>
    <row r="831" spans="2:7">
      <c r="B831" s="172"/>
      <c r="C831" s="173"/>
      <c r="D831" s="133"/>
      <c r="E831" s="171"/>
      <c r="F831" s="171"/>
      <c r="G831" s="171"/>
    </row>
    <row r="832" spans="2:7">
      <c r="B832" s="172"/>
      <c r="C832" s="173"/>
      <c r="D832" s="133"/>
      <c r="E832" s="171"/>
      <c r="F832" s="171"/>
      <c r="G832" s="171"/>
    </row>
    <row r="833" spans="2:7">
      <c r="B833" s="172"/>
      <c r="C833" s="173"/>
      <c r="D833" s="133"/>
      <c r="E833" s="171"/>
      <c r="F833" s="171"/>
      <c r="G833" s="171"/>
    </row>
    <row r="834" spans="2:7">
      <c r="B834" s="172"/>
      <c r="C834" s="173"/>
      <c r="D834" s="133"/>
      <c r="E834" s="171"/>
      <c r="F834" s="171"/>
      <c r="G834" s="171"/>
    </row>
    <row r="835" spans="2:7">
      <c r="B835" s="172"/>
      <c r="C835" s="173"/>
      <c r="D835" s="133"/>
      <c r="E835" s="171"/>
      <c r="F835" s="171"/>
      <c r="G835" s="171"/>
    </row>
    <row r="836" spans="2:7">
      <c r="B836" s="172"/>
      <c r="C836" s="173"/>
      <c r="D836" s="133"/>
      <c r="E836" s="171"/>
      <c r="F836" s="171"/>
      <c r="G836" s="171"/>
    </row>
    <row r="837" spans="2:7">
      <c r="B837" s="172"/>
      <c r="C837" s="173"/>
      <c r="D837" s="133"/>
      <c r="E837" s="171"/>
      <c r="F837" s="171"/>
      <c r="G837" s="171"/>
    </row>
    <row r="838" spans="2:7">
      <c r="B838" s="172"/>
      <c r="C838" s="173"/>
      <c r="D838" s="133"/>
      <c r="E838" s="171"/>
      <c r="F838" s="171"/>
      <c r="G838" s="171"/>
    </row>
    <row r="839" spans="2:7">
      <c r="B839" s="172"/>
      <c r="C839" s="173"/>
      <c r="D839" s="133"/>
      <c r="E839" s="171"/>
      <c r="F839" s="171"/>
      <c r="G839" s="171"/>
    </row>
    <row r="840" spans="2:7">
      <c r="B840" s="172"/>
      <c r="C840" s="173"/>
      <c r="D840" s="133"/>
      <c r="E840" s="171"/>
      <c r="F840" s="171"/>
      <c r="G840" s="171"/>
    </row>
    <row r="841" spans="2:7">
      <c r="B841" s="172"/>
      <c r="C841" s="173"/>
      <c r="D841" s="133"/>
      <c r="E841" s="171"/>
      <c r="F841" s="171"/>
      <c r="G841" s="171"/>
    </row>
    <row r="842" spans="2:7">
      <c r="B842" s="172"/>
      <c r="C842" s="173"/>
      <c r="D842" s="133"/>
      <c r="E842" s="171"/>
      <c r="F842" s="171"/>
      <c r="G842" s="171"/>
    </row>
    <row r="843" spans="2:7">
      <c r="B843" s="172"/>
      <c r="C843" s="173"/>
      <c r="D843" s="133"/>
      <c r="E843" s="171"/>
      <c r="F843" s="171"/>
      <c r="G843" s="171"/>
    </row>
    <row r="844" spans="2:7">
      <c r="B844" s="172"/>
      <c r="C844" s="173"/>
      <c r="D844" s="133"/>
      <c r="E844" s="171"/>
      <c r="F844" s="171"/>
      <c r="G844" s="171"/>
    </row>
    <row r="845" spans="2:7">
      <c r="B845" s="172"/>
      <c r="C845" s="173"/>
      <c r="D845" s="133"/>
      <c r="E845" s="171"/>
      <c r="F845" s="171"/>
      <c r="G845" s="171"/>
    </row>
    <row r="846" spans="2:7">
      <c r="B846" s="172"/>
      <c r="C846" s="173"/>
      <c r="D846" s="133"/>
      <c r="E846" s="171"/>
      <c r="F846" s="171"/>
      <c r="G846" s="171"/>
    </row>
    <row r="847" spans="2:7">
      <c r="B847" s="172"/>
      <c r="C847" s="173"/>
      <c r="D847" s="133"/>
      <c r="E847" s="171"/>
      <c r="F847" s="171"/>
      <c r="G847" s="171"/>
    </row>
    <row r="848" spans="2:7">
      <c r="B848" s="172"/>
      <c r="C848" s="173"/>
      <c r="D848" s="133"/>
      <c r="E848" s="171"/>
      <c r="F848" s="171"/>
      <c r="G848" s="171"/>
    </row>
    <row r="849" spans="2:7">
      <c r="B849" s="172"/>
      <c r="C849" s="173"/>
      <c r="D849" s="133"/>
      <c r="E849" s="171"/>
      <c r="F849" s="171"/>
      <c r="G849" s="171"/>
    </row>
    <row r="850" spans="2:7">
      <c r="B850" s="172"/>
      <c r="C850" s="173"/>
      <c r="D850" s="133"/>
      <c r="E850" s="171"/>
      <c r="F850" s="171"/>
      <c r="G850" s="171"/>
    </row>
    <row r="851" spans="2:7">
      <c r="B851" s="172"/>
      <c r="C851" s="173"/>
      <c r="D851" s="133"/>
      <c r="E851" s="171"/>
      <c r="F851" s="171"/>
      <c r="G851" s="171"/>
    </row>
    <row r="852" spans="2:7">
      <c r="B852" s="172"/>
      <c r="C852" s="173"/>
      <c r="D852" s="133"/>
      <c r="E852" s="171"/>
      <c r="F852" s="171"/>
      <c r="G852" s="171"/>
    </row>
    <row r="853" spans="2:7">
      <c r="B853" s="172"/>
      <c r="C853" s="173"/>
      <c r="D853" s="133"/>
      <c r="E853" s="171"/>
      <c r="F853" s="171"/>
      <c r="G853" s="171"/>
    </row>
    <row r="854" spans="2:7">
      <c r="B854" s="172"/>
      <c r="C854" s="173"/>
      <c r="D854" s="133"/>
      <c r="E854" s="171"/>
      <c r="F854" s="171"/>
      <c r="G854" s="171"/>
    </row>
    <row r="855" spans="2:7">
      <c r="B855" s="172"/>
      <c r="C855" s="173"/>
      <c r="D855" s="133"/>
      <c r="E855" s="171"/>
      <c r="F855" s="171"/>
      <c r="G855" s="171"/>
    </row>
    <row r="856" spans="2:7">
      <c r="B856" s="172"/>
      <c r="C856" s="173"/>
      <c r="D856" s="133"/>
      <c r="E856" s="171"/>
      <c r="F856" s="171"/>
      <c r="G856" s="171"/>
    </row>
    <row r="857" spans="2:7">
      <c r="B857" s="172"/>
      <c r="C857" s="173"/>
      <c r="D857" s="133"/>
      <c r="E857" s="171"/>
      <c r="F857" s="171"/>
      <c r="G857" s="171"/>
    </row>
    <row r="858" spans="2:7">
      <c r="B858" s="172"/>
      <c r="C858" s="173"/>
      <c r="D858" s="133"/>
      <c r="E858" s="171"/>
      <c r="F858" s="171"/>
      <c r="G858" s="171"/>
    </row>
    <row r="859" spans="2:7">
      <c r="B859" s="172"/>
      <c r="C859" s="173"/>
      <c r="D859" s="133"/>
      <c r="E859" s="171"/>
      <c r="F859" s="171"/>
      <c r="G859" s="171"/>
    </row>
    <row r="860" spans="2:7">
      <c r="B860" s="172"/>
      <c r="C860" s="173"/>
      <c r="D860" s="133"/>
      <c r="E860" s="171"/>
      <c r="F860" s="171"/>
      <c r="G860" s="171"/>
    </row>
    <row r="861" spans="2:7">
      <c r="B861" s="172"/>
      <c r="C861" s="173"/>
      <c r="D861" s="133"/>
      <c r="E861" s="171"/>
      <c r="F861" s="171"/>
      <c r="G861" s="171"/>
    </row>
    <row r="862" spans="2:7">
      <c r="B862" s="172"/>
      <c r="C862" s="173"/>
      <c r="D862" s="133"/>
      <c r="E862" s="171"/>
      <c r="F862" s="171"/>
      <c r="G862" s="171"/>
    </row>
    <row r="863" spans="2:7">
      <c r="B863" s="172"/>
      <c r="C863" s="173"/>
      <c r="D863" s="133"/>
      <c r="E863" s="171"/>
      <c r="F863" s="171"/>
      <c r="G863" s="171"/>
    </row>
    <row r="864" spans="2:7">
      <c r="B864" s="172"/>
      <c r="C864" s="173"/>
      <c r="D864" s="133"/>
      <c r="E864" s="171"/>
      <c r="F864" s="171"/>
      <c r="G864" s="171"/>
    </row>
    <row r="865" spans="2:7">
      <c r="B865" s="172"/>
      <c r="C865" s="173"/>
      <c r="D865" s="133"/>
      <c r="E865" s="171"/>
      <c r="F865" s="171"/>
      <c r="G865" s="171"/>
    </row>
    <row r="866" spans="2:7">
      <c r="B866" s="172"/>
      <c r="C866" s="173"/>
      <c r="D866" s="133"/>
      <c r="E866" s="171"/>
      <c r="F866" s="171"/>
      <c r="G866" s="171"/>
    </row>
    <row r="867" spans="2:7">
      <c r="B867" s="172"/>
      <c r="C867" s="173"/>
      <c r="D867" s="133"/>
      <c r="E867" s="171"/>
      <c r="F867" s="171"/>
      <c r="G867" s="171"/>
    </row>
    <row r="868" spans="2:7">
      <c r="B868" s="172"/>
      <c r="C868" s="173"/>
      <c r="D868" s="133"/>
      <c r="E868" s="171"/>
      <c r="F868" s="171"/>
      <c r="G868" s="171"/>
    </row>
    <row r="869" spans="2:7">
      <c r="B869" s="172"/>
      <c r="C869" s="173"/>
      <c r="D869" s="133"/>
      <c r="E869" s="171"/>
      <c r="F869" s="171"/>
      <c r="G869" s="171"/>
    </row>
    <row r="870" spans="2:7">
      <c r="B870" s="172"/>
      <c r="C870" s="173"/>
      <c r="D870" s="133"/>
      <c r="E870" s="171"/>
      <c r="F870" s="171"/>
      <c r="G870" s="171"/>
    </row>
    <row r="871" spans="2:7">
      <c r="B871" s="172"/>
      <c r="C871" s="173"/>
      <c r="D871" s="133"/>
      <c r="E871" s="171"/>
      <c r="F871" s="171"/>
      <c r="G871" s="171"/>
    </row>
    <row r="872" spans="2:7">
      <c r="B872" s="172"/>
      <c r="C872" s="173"/>
      <c r="D872" s="133"/>
      <c r="E872" s="171"/>
      <c r="F872" s="171"/>
      <c r="G872" s="171"/>
    </row>
    <row r="873" spans="2:7">
      <c r="B873" s="172"/>
      <c r="C873" s="173"/>
      <c r="D873" s="133"/>
      <c r="E873" s="171"/>
      <c r="F873" s="171"/>
      <c r="G873" s="171"/>
    </row>
    <row r="874" spans="2:7">
      <c r="B874" s="172"/>
      <c r="C874" s="173"/>
      <c r="D874" s="133"/>
      <c r="E874" s="171"/>
      <c r="F874" s="171"/>
      <c r="G874" s="171"/>
    </row>
    <row r="875" spans="2:7">
      <c r="B875" s="172"/>
      <c r="C875" s="173"/>
      <c r="D875" s="133"/>
      <c r="E875" s="171"/>
      <c r="F875" s="171"/>
      <c r="G875" s="171"/>
    </row>
    <row r="876" spans="2:7">
      <c r="B876" s="172"/>
      <c r="C876" s="173"/>
      <c r="D876" s="133"/>
      <c r="E876" s="171"/>
      <c r="F876" s="171"/>
      <c r="G876" s="171"/>
    </row>
    <row r="877" spans="2:7">
      <c r="B877" s="172"/>
      <c r="C877" s="173"/>
      <c r="D877" s="133"/>
      <c r="E877" s="171"/>
      <c r="F877" s="171"/>
      <c r="G877" s="171"/>
    </row>
    <row r="878" spans="2:7">
      <c r="B878" s="172"/>
      <c r="C878" s="173"/>
      <c r="D878" s="133"/>
      <c r="E878" s="171"/>
      <c r="F878" s="171"/>
      <c r="G878" s="171"/>
    </row>
    <row r="879" spans="2:7">
      <c r="B879" s="172"/>
      <c r="C879" s="173"/>
      <c r="D879" s="133"/>
      <c r="E879" s="171"/>
      <c r="F879" s="171"/>
      <c r="G879" s="171"/>
    </row>
    <row r="880" spans="2:7">
      <c r="B880" s="172"/>
      <c r="C880" s="173"/>
      <c r="D880" s="133"/>
      <c r="E880" s="171"/>
      <c r="F880" s="171"/>
      <c r="G880" s="171"/>
    </row>
    <row r="881" spans="2:7">
      <c r="B881" s="172"/>
      <c r="C881" s="173"/>
      <c r="D881" s="133"/>
      <c r="E881" s="171"/>
      <c r="F881" s="171"/>
      <c r="G881" s="171"/>
    </row>
    <row r="882" spans="2:7">
      <c r="B882" s="172"/>
      <c r="C882" s="173"/>
      <c r="D882" s="133"/>
      <c r="E882" s="171"/>
      <c r="F882" s="171"/>
      <c r="G882" s="171"/>
    </row>
    <row r="883" spans="2:7">
      <c r="B883" s="172"/>
      <c r="C883" s="173"/>
      <c r="D883" s="133"/>
      <c r="E883" s="171"/>
      <c r="F883" s="171"/>
      <c r="G883" s="171"/>
    </row>
    <row r="884" spans="2:7">
      <c r="B884" s="172"/>
      <c r="C884" s="173"/>
      <c r="D884" s="133"/>
      <c r="E884" s="171"/>
      <c r="F884" s="171"/>
      <c r="G884" s="171"/>
    </row>
    <row r="885" spans="2:7">
      <c r="B885" s="172"/>
      <c r="C885" s="173"/>
      <c r="D885" s="133"/>
      <c r="E885" s="171"/>
      <c r="F885" s="171"/>
      <c r="G885" s="171"/>
    </row>
    <row r="886" spans="2:7">
      <c r="B886" s="172"/>
      <c r="C886" s="173"/>
      <c r="D886" s="133"/>
      <c r="E886" s="171"/>
      <c r="F886" s="171"/>
      <c r="G886" s="171"/>
    </row>
    <row r="887" spans="2:7">
      <c r="B887" s="172"/>
      <c r="C887" s="173"/>
      <c r="D887" s="133"/>
      <c r="E887" s="171"/>
      <c r="F887" s="171"/>
      <c r="G887" s="171"/>
    </row>
    <row r="888" spans="2:7">
      <c r="B888" s="172"/>
      <c r="C888" s="173"/>
      <c r="D888" s="133"/>
      <c r="E888" s="171"/>
      <c r="F888" s="171"/>
      <c r="G888" s="171"/>
    </row>
    <row r="889" spans="2:7">
      <c r="B889" s="172"/>
      <c r="C889" s="173"/>
      <c r="D889" s="133"/>
      <c r="E889" s="171"/>
      <c r="F889" s="171"/>
      <c r="G889" s="171"/>
    </row>
    <row r="890" spans="2:7">
      <c r="B890" s="172"/>
      <c r="C890" s="173"/>
      <c r="D890" s="133"/>
      <c r="E890" s="171"/>
      <c r="F890" s="171"/>
      <c r="G890" s="171"/>
    </row>
    <row r="891" spans="2:7">
      <c r="B891" s="172"/>
      <c r="C891" s="173"/>
      <c r="D891" s="133"/>
      <c r="E891" s="171"/>
      <c r="F891" s="171"/>
      <c r="G891" s="171"/>
    </row>
    <row r="892" spans="2:7">
      <c r="B892" s="172"/>
      <c r="C892" s="173"/>
      <c r="D892" s="133"/>
      <c r="E892" s="171"/>
      <c r="F892" s="171"/>
      <c r="G892" s="171"/>
    </row>
    <row r="893" spans="2:7">
      <c r="B893" s="172"/>
      <c r="C893" s="173"/>
      <c r="D893" s="133"/>
      <c r="E893" s="171"/>
      <c r="F893" s="171"/>
      <c r="G893" s="171"/>
    </row>
    <row r="894" spans="2:7">
      <c r="B894" s="172"/>
      <c r="C894" s="173"/>
      <c r="D894" s="133"/>
      <c r="E894" s="171"/>
      <c r="F894" s="171"/>
      <c r="G894" s="171"/>
    </row>
    <row r="895" spans="2:7">
      <c r="B895" s="172"/>
      <c r="C895" s="173"/>
      <c r="D895" s="133"/>
      <c r="E895" s="171"/>
      <c r="F895" s="171"/>
      <c r="G895" s="171"/>
    </row>
    <row r="896" spans="2:7">
      <c r="B896" s="172"/>
      <c r="C896" s="173"/>
      <c r="D896" s="133"/>
      <c r="E896" s="171"/>
      <c r="F896" s="171"/>
      <c r="G896" s="171"/>
    </row>
    <row r="897" spans="2:7">
      <c r="B897" s="172"/>
      <c r="C897" s="173"/>
      <c r="D897" s="133"/>
      <c r="E897" s="171"/>
      <c r="F897" s="171"/>
      <c r="G897" s="171"/>
    </row>
    <row r="898" spans="2:7">
      <c r="B898" s="172"/>
      <c r="C898" s="173"/>
      <c r="D898" s="133"/>
      <c r="E898" s="171"/>
      <c r="F898" s="171"/>
      <c r="G898" s="171"/>
    </row>
    <row r="899" spans="2:7">
      <c r="B899" s="172"/>
      <c r="C899" s="173"/>
      <c r="D899" s="133"/>
      <c r="E899" s="171"/>
      <c r="F899" s="171"/>
      <c r="G899" s="171"/>
    </row>
    <row r="900" spans="2:7">
      <c r="B900" s="172"/>
      <c r="C900" s="173"/>
      <c r="D900" s="133"/>
      <c r="E900" s="171"/>
      <c r="F900" s="171"/>
      <c r="G900" s="171"/>
    </row>
    <row r="901" spans="2:7">
      <c r="B901" s="172"/>
      <c r="C901" s="173"/>
      <c r="D901" s="133"/>
      <c r="E901" s="171"/>
      <c r="F901" s="171"/>
      <c r="G901" s="171"/>
    </row>
    <row r="902" spans="2:7">
      <c r="B902" s="172"/>
      <c r="C902" s="173"/>
      <c r="D902" s="133"/>
      <c r="E902" s="171"/>
      <c r="F902" s="171"/>
      <c r="G902" s="171"/>
    </row>
    <row r="903" spans="2:7">
      <c r="B903" s="172"/>
      <c r="C903" s="173"/>
      <c r="D903" s="133"/>
      <c r="E903" s="171"/>
      <c r="F903" s="171"/>
      <c r="G903" s="171"/>
    </row>
    <row r="904" spans="2:7">
      <c r="B904" s="172"/>
      <c r="C904" s="173"/>
      <c r="D904" s="133"/>
      <c r="E904" s="171"/>
      <c r="F904" s="171"/>
      <c r="G904" s="171"/>
    </row>
    <row r="905" spans="2:7">
      <c r="B905" s="172"/>
      <c r="C905" s="173"/>
      <c r="D905" s="133"/>
      <c r="E905" s="171"/>
      <c r="F905" s="171"/>
      <c r="G905" s="171"/>
    </row>
    <row r="906" spans="2:7">
      <c r="B906" s="172"/>
      <c r="C906" s="173"/>
      <c r="D906" s="133"/>
      <c r="E906" s="171"/>
      <c r="F906" s="171"/>
      <c r="G906" s="171"/>
    </row>
    <row r="907" spans="2:7">
      <c r="B907" s="172"/>
      <c r="C907" s="173"/>
      <c r="D907" s="133"/>
      <c r="E907" s="171"/>
      <c r="F907" s="171"/>
      <c r="G907" s="171"/>
    </row>
    <row r="908" spans="2:7">
      <c r="B908" s="172"/>
      <c r="C908" s="173"/>
      <c r="D908" s="133"/>
      <c r="E908" s="171"/>
      <c r="F908" s="171"/>
      <c r="G908" s="171"/>
    </row>
    <row r="909" spans="2:7">
      <c r="B909" s="172"/>
      <c r="C909" s="173"/>
      <c r="D909" s="133"/>
      <c r="E909" s="171"/>
      <c r="F909" s="171"/>
      <c r="G909" s="171"/>
    </row>
    <row r="910" spans="2:7">
      <c r="B910" s="172"/>
      <c r="C910" s="173"/>
      <c r="D910" s="133"/>
      <c r="E910" s="171"/>
      <c r="F910" s="171"/>
      <c r="G910" s="171"/>
    </row>
    <row r="911" spans="2:7">
      <c r="B911" s="172"/>
      <c r="C911" s="173"/>
      <c r="D911" s="133"/>
      <c r="E911" s="171"/>
      <c r="F911" s="171"/>
      <c r="G911" s="171"/>
    </row>
    <row r="912" spans="2:7">
      <c r="B912" s="172"/>
      <c r="C912" s="173"/>
      <c r="D912" s="133"/>
      <c r="E912" s="171"/>
      <c r="F912" s="171"/>
      <c r="G912" s="171"/>
    </row>
    <row r="913" spans="2:7">
      <c r="B913" s="172"/>
      <c r="C913" s="173"/>
      <c r="D913" s="133"/>
      <c r="E913" s="171"/>
      <c r="F913" s="171"/>
      <c r="G913" s="171"/>
    </row>
    <row r="914" spans="2:7">
      <c r="B914" s="172"/>
      <c r="C914" s="173"/>
      <c r="D914" s="133"/>
      <c r="E914" s="171"/>
      <c r="F914" s="171"/>
      <c r="G914" s="171"/>
    </row>
    <row r="915" spans="2:7">
      <c r="B915" s="172"/>
      <c r="C915" s="173"/>
      <c r="D915" s="133"/>
      <c r="E915" s="171"/>
      <c r="F915" s="171"/>
      <c r="G915" s="171"/>
    </row>
    <row r="916" spans="2:7">
      <c r="B916" s="172"/>
      <c r="C916" s="173"/>
      <c r="D916" s="133"/>
      <c r="E916" s="171"/>
      <c r="F916" s="171"/>
      <c r="G916" s="171"/>
    </row>
    <row r="917" spans="2:7">
      <c r="B917" s="172"/>
      <c r="C917" s="173"/>
      <c r="D917" s="133"/>
      <c r="E917" s="171"/>
      <c r="F917" s="171"/>
      <c r="G917" s="171"/>
    </row>
    <row r="918" spans="2:7">
      <c r="B918" s="172"/>
      <c r="C918" s="173"/>
      <c r="D918" s="133"/>
      <c r="E918" s="171"/>
      <c r="F918" s="171"/>
      <c r="G918" s="171"/>
    </row>
    <row r="919" spans="2:7">
      <c r="B919" s="172"/>
      <c r="C919" s="173"/>
      <c r="D919" s="133"/>
      <c r="E919" s="171"/>
      <c r="F919" s="171"/>
      <c r="G919" s="171"/>
    </row>
    <row r="920" spans="2:7">
      <c r="B920" s="172"/>
      <c r="C920" s="173"/>
      <c r="D920" s="133"/>
      <c r="E920" s="171"/>
      <c r="F920" s="171"/>
      <c r="G920" s="171"/>
    </row>
    <row r="921" spans="2:7">
      <c r="B921" s="172"/>
      <c r="C921" s="173"/>
      <c r="D921" s="133"/>
      <c r="E921" s="171"/>
      <c r="F921" s="171"/>
      <c r="G921" s="171"/>
    </row>
    <row r="922" spans="2:7">
      <c r="B922" s="172"/>
      <c r="C922" s="173"/>
      <c r="D922" s="133"/>
      <c r="E922" s="171"/>
      <c r="F922" s="171"/>
      <c r="G922" s="171"/>
    </row>
    <row r="923" spans="2:7">
      <c r="B923" s="172"/>
      <c r="C923" s="173"/>
      <c r="D923" s="133"/>
      <c r="E923" s="171"/>
      <c r="F923" s="171"/>
      <c r="G923" s="171"/>
    </row>
    <row r="924" spans="2:7">
      <c r="B924" s="172"/>
      <c r="C924" s="173"/>
      <c r="D924" s="133"/>
      <c r="E924" s="171"/>
      <c r="F924" s="171"/>
      <c r="G924" s="171"/>
    </row>
    <row r="925" spans="2:7">
      <c r="B925" s="172"/>
      <c r="C925" s="173"/>
      <c r="D925" s="133"/>
      <c r="E925" s="171"/>
      <c r="F925" s="171"/>
      <c r="G925" s="171"/>
    </row>
    <row r="926" spans="2:7">
      <c r="B926" s="172"/>
      <c r="C926" s="173"/>
      <c r="D926" s="133"/>
      <c r="E926" s="171"/>
      <c r="F926" s="171"/>
      <c r="G926" s="171"/>
    </row>
    <row r="927" spans="2:7">
      <c r="B927" s="172"/>
      <c r="C927" s="173"/>
      <c r="D927" s="133"/>
      <c r="E927" s="171"/>
      <c r="F927" s="171"/>
      <c r="G927" s="171"/>
    </row>
    <row r="928" spans="2:7">
      <c r="B928" s="172"/>
      <c r="C928" s="173"/>
      <c r="D928" s="133"/>
      <c r="E928" s="171"/>
      <c r="F928" s="171"/>
      <c r="G928" s="171"/>
    </row>
    <row r="929" spans="2:7">
      <c r="B929" s="172"/>
      <c r="C929" s="173"/>
      <c r="D929" s="133"/>
      <c r="E929" s="171"/>
      <c r="F929" s="171"/>
      <c r="G929" s="171"/>
    </row>
    <row r="930" spans="2:7">
      <c r="B930" s="172"/>
      <c r="C930" s="173"/>
      <c r="D930" s="133"/>
      <c r="E930" s="171"/>
      <c r="F930" s="171"/>
      <c r="G930" s="171"/>
    </row>
    <row r="931" spans="2:7">
      <c r="B931" s="172"/>
      <c r="C931" s="173"/>
      <c r="D931" s="133"/>
      <c r="E931" s="171"/>
      <c r="F931" s="171"/>
      <c r="G931" s="171"/>
    </row>
    <row r="932" spans="2:7">
      <c r="B932" s="172"/>
      <c r="C932" s="173"/>
      <c r="D932" s="133"/>
      <c r="E932" s="171"/>
      <c r="F932" s="171"/>
      <c r="G932" s="171"/>
    </row>
    <row r="933" spans="2:7">
      <c r="B933" s="172"/>
      <c r="C933" s="173"/>
      <c r="D933" s="133"/>
      <c r="E933" s="171"/>
      <c r="F933" s="171"/>
      <c r="G933" s="171"/>
    </row>
    <row r="934" spans="2:7">
      <c r="B934" s="172"/>
      <c r="C934" s="173"/>
      <c r="D934" s="133"/>
      <c r="E934" s="171"/>
      <c r="F934" s="171"/>
      <c r="G934" s="171"/>
    </row>
    <row r="935" spans="2:7">
      <c r="B935" s="172"/>
      <c r="C935" s="173"/>
      <c r="D935" s="133"/>
      <c r="E935" s="171"/>
      <c r="F935" s="171"/>
      <c r="G935" s="171"/>
    </row>
    <row r="936" spans="2:7">
      <c r="B936" s="172"/>
      <c r="C936" s="173"/>
      <c r="D936" s="133"/>
      <c r="E936" s="171"/>
      <c r="F936" s="171"/>
      <c r="G936" s="171"/>
    </row>
    <row r="937" spans="2:7">
      <c r="B937" s="172"/>
      <c r="C937" s="173"/>
      <c r="D937" s="133"/>
      <c r="E937" s="171"/>
      <c r="F937" s="171"/>
      <c r="G937" s="171"/>
    </row>
    <row r="938" spans="2:7">
      <c r="B938" s="172"/>
      <c r="C938" s="173"/>
      <c r="D938" s="133"/>
      <c r="E938" s="171"/>
      <c r="F938" s="171"/>
      <c r="G938" s="171"/>
    </row>
    <row r="939" spans="2:7">
      <c r="B939" s="172"/>
      <c r="C939" s="173"/>
      <c r="D939" s="133"/>
      <c r="E939" s="171"/>
      <c r="F939" s="171"/>
      <c r="G939" s="171"/>
    </row>
    <row r="940" spans="2:7">
      <c r="B940" s="172"/>
      <c r="C940" s="173"/>
      <c r="D940" s="133"/>
      <c r="E940" s="171"/>
      <c r="F940" s="171"/>
      <c r="G940" s="171"/>
    </row>
    <row r="941" spans="2:7">
      <c r="B941" s="172"/>
      <c r="C941" s="173"/>
      <c r="D941" s="133"/>
      <c r="E941" s="171"/>
      <c r="F941" s="171"/>
      <c r="G941" s="171"/>
    </row>
    <row r="942" spans="2:7">
      <c r="B942" s="172"/>
      <c r="C942" s="173"/>
      <c r="D942" s="133"/>
      <c r="E942" s="171"/>
      <c r="F942" s="171"/>
      <c r="G942" s="171"/>
    </row>
    <row r="943" spans="2:7">
      <c r="B943" s="172"/>
      <c r="C943" s="173"/>
      <c r="D943" s="133"/>
      <c r="E943" s="171"/>
      <c r="F943" s="171"/>
      <c r="G943" s="171"/>
    </row>
    <row r="944" spans="2:7">
      <c r="B944" s="172"/>
      <c r="C944" s="173"/>
      <c r="D944" s="133"/>
      <c r="E944" s="171"/>
      <c r="F944" s="171"/>
      <c r="G944" s="171"/>
    </row>
    <row r="945" spans="2:7">
      <c r="B945" s="172"/>
      <c r="C945" s="173"/>
      <c r="D945" s="133"/>
      <c r="E945" s="171"/>
      <c r="F945" s="171"/>
      <c r="G945" s="171"/>
    </row>
    <row r="946" spans="2:7">
      <c r="B946" s="172"/>
      <c r="C946" s="173"/>
      <c r="D946" s="133"/>
      <c r="E946" s="171"/>
      <c r="F946" s="171"/>
      <c r="G946" s="171"/>
    </row>
    <row r="947" spans="2:7">
      <c r="B947" s="172"/>
      <c r="C947" s="173"/>
      <c r="D947" s="133"/>
      <c r="E947" s="171"/>
      <c r="F947" s="171"/>
      <c r="G947" s="171"/>
    </row>
    <row r="948" spans="2:7">
      <c r="B948" s="172"/>
      <c r="C948" s="173"/>
      <c r="D948" s="133"/>
      <c r="E948" s="171"/>
      <c r="F948" s="171"/>
      <c r="G948" s="171"/>
    </row>
    <row r="949" spans="2:7">
      <c r="B949" s="172"/>
      <c r="C949" s="173"/>
      <c r="D949" s="133"/>
      <c r="E949" s="171"/>
      <c r="F949" s="171"/>
      <c r="G949" s="171"/>
    </row>
    <row r="950" spans="2:7">
      <c r="B950" s="172"/>
      <c r="C950" s="173"/>
      <c r="D950" s="133"/>
      <c r="E950" s="171"/>
      <c r="F950" s="171"/>
      <c r="G950" s="171"/>
    </row>
    <row r="951" spans="2:7">
      <c r="B951" s="172"/>
      <c r="C951" s="173"/>
      <c r="D951" s="133"/>
      <c r="E951" s="171"/>
      <c r="F951" s="171"/>
      <c r="G951" s="171"/>
    </row>
    <row r="952" spans="2:7">
      <c r="B952" s="172"/>
      <c r="C952" s="173"/>
      <c r="D952" s="133"/>
      <c r="E952" s="171"/>
      <c r="F952" s="171"/>
      <c r="G952" s="171"/>
    </row>
    <row r="953" spans="2:7">
      <c r="B953" s="172"/>
      <c r="C953" s="173"/>
      <c r="D953" s="133"/>
      <c r="E953" s="171"/>
      <c r="F953" s="171"/>
      <c r="G953" s="171"/>
    </row>
    <row r="954" spans="2:7">
      <c r="B954" s="172"/>
      <c r="C954" s="173"/>
      <c r="D954" s="133"/>
      <c r="E954" s="171"/>
      <c r="F954" s="171"/>
      <c r="G954" s="171"/>
    </row>
    <row r="955" spans="2:7">
      <c r="B955" s="172"/>
      <c r="C955" s="173"/>
      <c r="D955" s="133"/>
      <c r="E955" s="171"/>
      <c r="F955" s="171"/>
      <c r="G955" s="171"/>
    </row>
    <row r="956" spans="2:7">
      <c r="B956" s="172"/>
      <c r="C956" s="173"/>
      <c r="D956" s="133"/>
      <c r="E956" s="171"/>
      <c r="F956" s="171"/>
      <c r="G956" s="171"/>
    </row>
    <row r="957" spans="2:7">
      <c r="B957" s="172"/>
      <c r="C957" s="173"/>
      <c r="D957" s="133"/>
      <c r="E957" s="171"/>
      <c r="F957" s="171"/>
      <c r="G957" s="171"/>
    </row>
    <row r="958" spans="2:7">
      <c r="B958" s="172"/>
      <c r="C958" s="173"/>
      <c r="D958" s="133"/>
      <c r="E958" s="171"/>
      <c r="F958" s="171"/>
      <c r="G958" s="171"/>
    </row>
    <row r="959" spans="2:7">
      <c r="B959" s="172"/>
      <c r="C959" s="173"/>
      <c r="D959" s="133"/>
      <c r="E959" s="171"/>
      <c r="F959" s="171"/>
      <c r="G959" s="171"/>
    </row>
    <row r="960" spans="2:7">
      <c r="B960" s="172"/>
      <c r="C960" s="173"/>
      <c r="D960" s="133"/>
      <c r="E960" s="171"/>
      <c r="F960" s="171"/>
      <c r="G960" s="171"/>
    </row>
    <row r="961" spans="2:7">
      <c r="B961" s="172"/>
      <c r="C961" s="173"/>
      <c r="D961" s="133"/>
      <c r="E961" s="171"/>
      <c r="F961" s="171"/>
      <c r="G961" s="171"/>
    </row>
    <row r="962" spans="2:7">
      <c r="B962" s="172"/>
      <c r="C962" s="173"/>
      <c r="D962" s="133"/>
      <c r="E962" s="171"/>
      <c r="F962" s="171"/>
      <c r="G962" s="171"/>
    </row>
    <row r="963" spans="2:7">
      <c r="B963" s="172"/>
      <c r="C963" s="173"/>
      <c r="D963" s="133"/>
      <c r="E963" s="171"/>
      <c r="F963" s="171"/>
      <c r="G963" s="171"/>
    </row>
    <row r="964" spans="2:7">
      <c r="B964" s="172"/>
      <c r="C964" s="173"/>
      <c r="D964" s="133"/>
      <c r="E964" s="171"/>
      <c r="F964" s="171"/>
      <c r="G964" s="171"/>
    </row>
    <row r="965" spans="2:7">
      <c r="B965" s="172"/>
      <c r="C965" s="173"/>
      <c r="D965" s="133"/>
      <c r="E965" s="171"/>
      <c r="F965" s="171"/>
      <c r="G965" s="171"/>
    </row>
    <row r="966" spans="2:7">
      <c r="B966" s="172"/>
      <c r="C966" s="173"/>
      <c r="D966" s="133"/>
      <c r="E966" s="171"/>
      <c r="F966" s="171"/>
      <c r="G966" s="171"/>
    </row>
    <row r="967" spans="2:7">
      <c r="B967" s="172"/>
      <c r="C967" s="173"/>
      <c r="D967" s="133"/>
      <c r="E967" s="171"/>
      <c r="F967" s="171"/>
      <c r="G967" s="171"/>
    </row>
    <row r="968" spans="2:7">
      <c r="B968" s="172"/>
      <c r="C968" s="173"/>
      <c r="D968" s="133"/>
      <c r="E968" s="171"/>
      <c r="F968" s="171"/>
      <c r="G968" s="171"/>
    </row>
    <row r="969" spans="2:7">
      <c r="B969" s="172"/>
      <c r="C969" s="173"/>
      <c r="D969" s="133"/>
      <c r="E969" s="171"/>
      <c r="F969" s="171"/>
      <c r="G969" s="171"/>
    </row>
    <row r="970" spans="2:7">
      <c r="B970" s="172"/>
      <c r="C970" s="173"/>
      <c r="D970" s="133"/>
      <c r="E970" s="171"/>
      <c r="F970" s="171"/>
      <c r="G970" s="171"/>
    </row>
    <row r="971" spans="2:7">
      <c r="B971" s="172"/>
      <c r="C971" s="173"/>
      <c r="D971" s="133"/>
      <c r="E971" s="171"/>
      <c r="F971" s="171"/>
      <c r="G971" s="171"/>
    </row>
    <row r="972" spans="2:7">
      <c r="B972" s="172"/>
      <c r="C972" s="173"/>
      <c r="D972" s="133"/>
      <c r="E972" s="171"/>
      <c r="F972" s="171"/>
      <c r="G972" s="171"/>
    </row>
    <row r="973" spans="2:7">
      <c r="B973" s="172"/>
      <c r="C973" s="173"/>
      <c r="D973" s="133"/>
      <c r="E973" s="171"/>
      <c r="F973" s="171"/>
      <c r="G973" s="171"/>
    </row>
    <row r="974" spans="2:7">
      <c r="B974" s="172"/>
      <c r="C974" s="173"/>
      <c r="D974" s="133"/>
      <c r="E974" s="171"/>
      <c r="F974" s="171"/>
      <c r="G974" s="171"/>
    </row>
    <row r="975" spans="2:7">
      <c r="B975" s="172"/>
      <c r="C975" s="173"/>
      <c r="D975" s="133"/>
      <c r="E975" s="171"/>
      <c r="F975" s="171"/>
      <c r="G975" s="171"/>
    </row>
    <row r="976" spans="2:7">
      <c r="B976" s="172"/>
      <c r="C976" s="173"/>
      <c r="D976" s="133"/>
      <c r="E976" s="171"/>
      <c r="F976" s="171"/>
      <c r="G976" s="171"/>
    </row>
    <row r="977" spans="2:7">
      <c r="B977" s="172"/>
      <c r="C977" s="173"/>
      <c r="D977" s="133"/>
      <c r="E977" s="171"/>
      <c r="F977" s="171"/>
      <c r="G977" s="171"/>
    </row>
    <row r="978" spans="2:7">
      <c r="B978" s="172"/>
      <c r="C978" s="173"/>
      <c r="D978" s="133"/>
      <c r="E978" s="171"/>
      <c r="F978" s="171"/>
      <c r="G978" s="171"/>
    </row>
    <row r="979" spans="2:7">
      <c r="B979" s="172"/>
      <c r="C979" s="173"/>
      <c r="D979" s="133"/>
      <c r="E979" s="171"/>
      <c r="F979" s="171"/>
      <c r="G979" s="171"/>
    </row>
    <row r="980" spans="2:7">
      <c r="B980" s="172"/>
      <c r="C980" s="173"/>
      <c r="D980" s="133"/>
      <c r="E980" s="171"/>
      <c r="F980" s="171"/>
      <c r="G980" s="171"/>
    </row>
    <row r="981" spans="2:7">
      <c r="B981" s="172"/>
      <c r="C981" s="173"/>
      <c r="D981" s="133"/>
      <c r="E981" s="171"/>
      <c r="F981" s="171"/>
      <c r="G981" s="171"/>
    </row>
    <row r="982" spans="2:7">
      <c r="B982" s="172"/>
      <c r="C982" s="173"/>
      <c r="D982" s="133"/>
      <c r="E982" s="171"/>
      <c r="F982" s="171"/>
      <c r="G982" s="171"/>
    </row>
    <row r="983" spans="2:7">
      <c r="B983" s="172"/>
      <c r="C983" s="173"/>
      <c r="D983" s="133"/>
      <c r="E983" s="171"/>
      <c r="F983" s="171"/>
      <c r="G983" s="171"/>
    </row>
    <row r="984" spans="2:7">
      <c r="B984" s="172"/>
      <c r="C984" s="173"/>
      <c r="D984" s="133"/>
      <c r="E984" s="171"/>
      <c r="F984" s="171"/>
      <c r="G984" s="171"/>
    </row>
    <row r="985" spans="2:7">
      <c r="B985" s="172"/>
      <c r="C985" s="173"/>
      <c r="D985" s="133"/>
      <c r="E985" s="171"/>
      <c r="F985" s="171"/>
      <c r="G985" s="171"/>
    </row>
    <row r="986" spans="2:7">
      <c r="B986" s="172"/>
      <c r="C986" s="173"/>
      <c r="D986" s="133"/>
      <c r="E986" s="171"/>
      <c r="F986" s="171"/>
      <c r="G986" s="171"/>
    </row>
    <row r="987" spans="2:7">
      <c r="B987" s="172"/>
      <c r="C987" s="173"/>
      <c r="D987" s="133"/>
      <c r="E987" s="171"/>
      <c r="F987" s="171"/>
      <c r="G987" s="171"/>
    </row>
    <row r="988" spans="2:7">
      <c r="B988" s="172"/>
      <c r="C988" s="173"/>
      <c r="D988" s="133"/>
      <c r="E988" s="171"/>
      <c r="F988" s="171"/>
      <c r="G988" s="171"/>
    </row>
    <row r="989" spans="2:7">
      <c r="B989" s="172"/>
      <c r="C989" s="173"/>
      <c r="D989" s="133"/>
      <c r="E989" s="171"/>
      <c r="F989" s="171"/>
      <c r="G989" s="171"/>
    </row>
    <row r="990" spans="2:7">
      <c r="B990" s="172"/>
      <c r="C990" s="173"/>
      <c r="D990" s="133"/>
      <c r="E990" s="171"/>
      <c r="F990" s="171"/>
      <c r="G990" s="171"/>
    </row>
    <row r="991" spans="2:7">
      <c r="B991" s="172"/>
      <c r="C991" s="173"/>
      <c r="D991" s="133"/>
      <c r="E991" s="171"/>
      <c r="F991" s="171"/>
      <c r="G991" s="171"/>
    </row>
    <row r="992" spans="2:7">
      <c r="B992" s="172"/>
      <c r="C992" s="173"/>
      <c r="D992" s="133"/>
      <c r="E992" s="171"/>
      <c r="F992" s="171"/>
      <c r="G992" s="171"/>
    </row>
    <row r="993" spans="2:7">
      <c r="B993" s="172"/>
      <c r="C993" s="173"/>
      <c r="D993" s="133"/>
      <c r="E993" s="171"/>
      <c r="F993" s="171"/>
      <c r="G993" s="171"/>
    </row>
    <row r="994" spans="2:7">
      <c r="B994" s="172"/>
      <c r="C994" s="173"/>
      <c r="D994" s="133"/>
      <c r="E994" s="171"/>
      <c r="F994" s="171"/>
      <c r="G994" s="171"/>
    </row>
    <row r="995" spans="2:7">
      <c r="B995" s="172"/>
      <c r="C995" s="173"/>
      <c r="D995" s="133"/>
      <c r="E995" s="171"/>
      <c r="F995" s="171"/>
      <c r="G995" s="171"/>
    </row>
    <row r="996" spans="2:7">
      <c r="B996" s="172"/>
      <c r="C996" s="173"/>
      <c r="D996" s="133"/>
      <c r="E996" s="171"/>
      <c r="F996" s="171"/>
      <c r="G996" s="171"/>
    </row>
    <row r="997" spans="2:7">
      <c r="B997" s="172"/>
      <c r="C997" s="173"/>
      <c r="D997" s="133"/>
      <c r="E997" s="171"/>
      <c r="F997" s="171"/>
      <c r="G997" s="171"/>
    </row>
    <row r="998" spans="2:7">
      <c r="B998" s="172"/>
      <c r="C998" s="173"/>
      <c r="D998" s="133"/>
      <c r="E998" s="171"/>
      <c r="F998" s="171"/>
      <c r="G998" s="171"/>
    </row>
    <row r="999" spans="2:7">
      <c r="B999" s="172"/>
      <c r="C999" s="173"/>
      <c r="D999" s="133"/>
      <c r="E999" s="171"/>
      <c r="F999" s="171"/>
      <c r="G999" s="171"/>
    </row>
    <row r="1000" spans="2:7">
      <c r="B1000" s="172"/>
      <c r="C1000" s="173"/>
      <c r="D1000" s="133"/>
      <c r="E1000" s="171"/>
      <c r="F1000" s="171"/>
      <c r="G1000" s="171"/>
    </row>
    <row r="1001" spans="2:7">
      <c r="B1001" s="172"/>
      <c r="C1001" s="173"/>
      <c r="D1001" s="133"/>
      <c r="E1001" s="171"/>
      <c r="F1001" s="171"/>
      <c r="G1001" s="171"/>
    </row>
    <row r="1002" spans="2:7">
      <c r="B1002" s="172"/>
      <c r="C1002" s="173"/>
      <c r="D1002" s="133"/>
      <c r="E1002" s="171"/>
      <c r="F1002" s="171"/>
      <c r="G1002" s="171"/>
    </row>
    <row r="1003" spans="2:7">
      <c r="B1003" s="172"/>
      <c r="C1003" s="173"/>
      <c r="D1003" s="133"/>
      <c r="E1003" s="171"/>
      <c r="F1003" s="171"/>
      <c r="G1003" s="171"/>
    </row>
    <row r="1004" spans="2:7">
      <c r="B1004" s="172"/>
      <c r="C1004" s="173"/>
      <c r="D1004" s="133"/>
      <c r="E1004" s="171"/>
      <c r="F1004" s="171"/>
      <c r="G1004" s="171"/>
    </row>
    <row r="1005" spans="2:7">
      <c r="B1005" s="172"/>
      <c r="C1005" s="173"/>
      <c r="D1005" s="133"/>
      <c r="E1005" s="171"/>
      <c r="F1005" s="171"/>
      <c r="G1005" s="171"/>
    </row>
    <row r="1006" spans="2:7">
      <c r="B1006" s="172"/>
      <c r="C1006" s="173"/>
      <c r="D1006" s="133"/>
      <c r="E1006" s="171"/>
      <c r="F1006" s="171"/>
      <c r="G1006" s="171"/>
    </row>
    <row r="1007" spans="2:7">
      <c r="B1007" s="172"/>
      <c r="C1007" s="173"/>
      <c r="D1007" s="133"/>
      <c r="E1007" s="171"/>
      <c r="F1007" s="171"/>
      <c r="G1007" s="171"/>
    </row>
    <row r="1008" spans="2:7">
      <c r="B1008" s="172"/>
      <c r="C1008" s="173"/>
      <c r="D1008" s="133"/>
      <c r="E1008" s="171"/>
      <c r="F1008" s="171"/>
      <c r="G1008" s="171"/>
    </row>
    <row r="1009" spans="2:7">
      <c r="B1009" s="172"/>
      <c r="C1009" s="173"/>
      <c r="D1009" s="133"/>
      <c r="E1009" s="171"/>
      <c r="F1009" s="171"/>
      <c r="G1009" s="171"/>
    </row>
    <row r="1010" spans="2:7">
      <c r="B1010" s="172"/>
      <c r="C1010" s="173"/>
      <c r="D1010" s="133"/>
      <c r="E1010" s="171"/>
      <c r="F1010" s="171"/>
      <c r="G1010" s="171"/>
    </row>
    <row r="1011" spans="2:7">
      <c r="B1011" s="172"/>
      <c r="C1011" s="173"/>
      <c r="D1011" s="133"/>
      <c r="E1011" s="171"/>
      <c r="F1011" s="171"/>
      <c r="G1011" s="171"/>
    </row>
    <row r="1012" spans="2:7">
      <c r="B1012" s="172"/>
      <c r="C1012" s="173"/>
      <c r="D1012" s="133"/>
      <c r="E1012" s="171"/>
      <c r="F1012" s="171"/>
      <c r="G1012" s="171"/>
    </row>
    <row r="1013" spans="2:7">
      <c r="B1013" s="172"/>
      <c r="C1013" s="173"/>
      <c r="D1013" s="133"/>
      <c r="E1013" s="171"/>
      <c r="F1013" s="171"/>
      <c r="G1013" s="171"/>
    </row>
    <row r="1014" spans="2:7">
      <c r="B1014" s="172"/>
      <c r="C1014" s="173"/>
      <c r="D1014" s="133"/>
      <c r="E1014" s="171"/>
      <c r="F1014" s="171"/>
      <c r="G1014" s="171"/>
    </row>
    <row r="1015" spans="2:7">
      <c r="B1015" s="172"/>
      <c r="C1015" s="173"/>
      <c r="D1015" s="133"/>
      <c r="E1015" s="171"/>
      <c r="F1015" s="171"/>
      <c r="G1015" s="171"/>
    </row>
    <row r="1016" spans="2:7">
      <c r="B1016" s="172"/>
      <c r="C1016" s="173"/>
      <c r="D1016" s="133"/>
      <c r="E1016" s="171"/>
      <c r="F1016" s="171"/>
      <c r="G1016" s="171"/>
    </row>
    <row r="1017" spans="2:7">
      <c r="B1017" s="172"/>
      <c r="C1017" s="173"/>
      <c r="D1017" s="133"/>
      <c r="E1017" s="171"/>
      <c r="F1017" s="171"/>
      <c r="G1017" s="171"/>
    </row>
    <row r="1018" spans="2:7">
      <c r="B1018" s="172"/>
      <c r="C1018" s="173"/>
      <c r="D1018" s="133"/>
      <c r="E1018" s="171"/>
      <c r="F1018" s="171"/>
      <c r="G1018" s="171"/>
    </row>
    <row r="1019" spans="2:7">
      <c r="B1019" s="172"/>
      <c r="C1019" s="173"/>
      <c r="D1019" s="133"/>
      <c r="E1019" s="171"/>
      <c r="F1019" s="171"/>
      <c r="G1019" s="171"/>
    </row>
    <row r="1020" spans="2:7">
      <c r="B1020" s="172"/>
      <c r="C1020" s="173"/>
      <c r="D1020" s="133"/>
      <c r="E1020" s="171"/>
      <c r="F1020" s="171"/>
      <c r="G1020" s="171"/>
    </row>
    <row r="1021" spans="2:7">
      <c r="B1021" s="172"/>
      <c r="C1021" s="173"/>
      <c r="D1021" s="133"/>
      <c r="E1021" s="171"/>
      <c r="F1021" s="171"/>
      <c r="G1021" s="171"/>
    </row>
    <row r="1022" spans="2:7">
      <c r="B1022" s="172"/>
      <c r="C1022" s="173"/>
      <c r="D1022" s="133"/>
      <c r="E1022" s="171"/>
      <c r="F1022" s="171"/>
      <c r="G1022" s="171"/>
    </row>
    <row r="1023" spans="2:7">
      <c r="B1023" s="172"/>
      <c r="C1023" s="173"/>
      <c r="D1023" s="133"/>
      <c r="E1023" s="171"/>
      <c r="F1023" s="171"/>
      <c r="G1023" s="171"/>
    </row>
    <row r="1024" spans="2:7">
      <c r="B1024" s="172"/>
      <c r="C1024" s="173"/>
      <c r="D1024" s="133"/>
      <c r="E1024" s="171"/>
      <c r="F1024" s="171"/>
      <c r="G1024" s="171"/>
    </row>
    <row r="1025" spans="2:7">
      <c r="B1025" s="172"/>
      <c r="C1025" s="173"/>
      <c r="D1025" s="133"/>
      <c r="E1025" s="171"/>
      <c r="F1025" s="171"/>
      <c r="G1025" s="171"/>
    </row>
    <row r="1026" spans="2:7">
      <c r="B1026" s="172"/>
      <c r="C1026" s="173"/>
      <c r="D1026" s="133"/>
      <c r="E1026" s="171"/>
      <c r="F1026" s="171"/>
      <c r="G1026" s="171"/>
    </row>
    <row r="1027" spans="2:7">
      <c r="B1027" s="172"/>
      <c r="C1027" s="173"/>
      <c r="D1027" s="133"/>
      <c r="E1027" s="171"/>
      <c r="F1027" s="171"/>
      <c r="G1027" s="171"/>
    </row>
    <row r="1028" spans="2:7">
      <c r="B1028" s="172"/>
      <c r="C1028" s="173"/>
      <c r="D1028" s="133"/>
      <c r="E1028" s="171"/>
      <c r="F1028" s="171"/>
      <c r="G1028" s="171"/>
    </row>
    <row r="1029" spans="2:7">
      <c r="B1029" s="172"/>
      <c r="C1029" s="173"/>
      <c r="D1029" s="133"/>
      <c r="E1029" s="171"/>
      <c r="F1029" s="171"/>
      <c r="G1029" s="171"/>
    </row>
    <row r="1030" spans="2:7">
      <c r="B1030" s="172"/>
      <c r="C1030" s="173"/>
      <c r="D1030" s="133"/>
      <c r="E1030" s="171"/>
      <c r="F1030" s="171"/>
      <c r="G1030" s="171"/>
    </row>
    <row r="1031" spans="2:7">
      <c r="B1031" s="172"/>
      <c r="C1031" s="173"/>
      <c r="D1031" s="133"/>
      <c r="E1031" s="171"/>
      <c r="F1031" s="171"/>
      <c r="G1031" s="171"/>
    </row>
    <row r="1032" spans="2:7">
      <c r="B1032" s="172"/>
      <c r="C1032" s="173"/>
      <c r="D1032" s="133"/>
      <c r="E1032" s="171"/>
      <c r="F1032" s="171"/>
      <c r="G1032" s="171"/>
    </row>
    <row r="1033" spans="2:7">
      <c r="B1033" s="172"/>
      <c r="C1033" s="173"/>
      <c r="D1033" s="133"/>
      <c r="E1033" s="171"/>
      <c r="F1033" s="171"/>
      <c r="G1033" s="171"/>
    </row>
    <row r="1034" spans="2:7">
      <c r="B1034" s="172"/>
      <c r="C1034" s="173"/>
      <c r="D1034" s="133"/>
      <c r="E1034" s="171"/>
      <c r="F1034" s="171"/>
      <c r="G1034" s="171"/>
    </row>
    <row r="1035" spans="2:7">
      <c r="B1035" s="172"/>
      <c r="C1035" s="173"/>
      <c r="D1035" s="133"/>
      <c r="E1035" s="171"/>
      <c r="F1035" s="171"/>
      <c r="G1035" s="171"/>
    </row>
    <row r="1036" spans="2:7">
      <c r="B1036" s="172"/>
      <c r="C1036" s="173"/>
      <c r="D1036" s="133"/>
      <c r="E1036" s="171"/>
      <c r="F1036" s="171"/>
      <c r="G1036" s="171"/>
    </row>
    <row r="1037" spans="2:7">
      <c r="B1037" s="172"/>
      <c r="C1037" s="173"/>
      <c r="D1037" s="133"/>
      <c r="E1037" s="171"/>
      <c r="F1037" s="171"/>
      <c r="G1037" s="171"/>
    </row>
    <row r="1038" spans="2:7">
      <c r="B1038" s="172"/>
      <c r="C1038" s="173"/>
      <c r="D1038" s="133"/>
      <c r="E1038" s="171"/>
      <c r="F1038" s="171"/>
      <c r="G1038" s="171"/>
    </row>
    <row r="1039" spans="2:7">
      <c r="B1039" s="172"/>
      <c r="C1039" s="173"/>
      <c r="D1039" s="133"/>
      <c r="E1039" s="171"/>
      <c r="F1039" s="171"/>
      <c r="G1039" s="171"/>
    </row>
    <row r="1040" spans="2:7">
      <c r="B1040" s="172"/>
      <c r="C1040" s="173"/>
      <c r="D1040" s="133"/>
      <c r="E1040" s="171"/>
      <c r="F1040" s="171"/>
      <c r="G1040" s="171"/>
    </row>
    <row r="1041" spans="2:7">
      <c r="B1041" s="172"/>
      <c r="C1041" s="173"/>
      <c r="D1041" s="133"/>
      <c r="E1041" s="171"/>
      <c r="F1041" s="171"/>
      <c r="G1041" s="171"/>
    </row>
    <row r="1042" spans="2:7">
      <c r="B1042" s="172"/>
      <c r="C1042" s="173"/>
      <c r="D1042" s="133"/>
      <c r="E1042" s="171"/>
      <c r="F1042" s="171"/>
      <c r="G1042" s="171"/>
    </row>
    <row r="1043" spans="2:7">
      <c r="B1043" s="172"/>
      <c r="C1043" s="173"/>
      <c r="D1043" s="133"/>
      <c r="E1043" s="171"/>
      <c r="F1043" s="171"/>
      <c r="G1043" s="171"/>
    </row>
    <row r="1044" spans="2:7">
      <c r="B1044" s="172"/>
      <c r="C1044" s="173"/>
      <c r="D1044" s="133"/>
      <c r="E1044" s="171"/>
      <c r="F1044" s="171"/>
      <c r="G1044" s="171"/>
    </row>
    <row r="1045" spans="2:7">
      <c r="B1045" s="172"/>
      <c r="C1045" s="173"/>
      <c r="D1045" s="133"/>
      <c r="E1045" s="171"/>
      <c r="F1045" s="171"/>
      <c r="G1045" s="171"/>
    </row>
    <row r="1046" spans="2:7">
      <c r="B1046" s="172"/>
      <c r="C1046" s="173"/>
      <c r="D1046" s="133"/>
      <c r="E1046" s="171"/>
      <c r="F1046" s="171"/>
      <c r="G1046" s="171"/>
    </row>
    <row r="1047" spans="2:7">
      <c r="B1047" s="172"/>
      <c r="C1047" s="173"/>
      <c r="D1047" s="133"/>
      <c r="E1047" s="171"/>
      <c r="F1047" s="171"/>
      <c r="G1047" s="171"/>
    </row>
    <row r="1048" spans="2:7">
      <c r="B1048" s="172"/>
      <c r="C1048" s="173"/>
      <c r="D1048" s="133"/>
      <c r="E1048" s="171"/>
      <c r="F1048" s="171"/>
      <c r="G1048" s="171"/>
    </row>
    <row r="1049" spans="2:7">
      <c r="B1049" s="172"/>
      <c r="C1049" s="173"/>
      <c r="D1049" s="133"/>
      <c r="E1049" s="171"/>
      <c r="F1049" s="171"/>
      <c r="G1049" s="171"/>
    </row>
    <row r="1050" spans="2:7">
      <c r="B1050" s="172"/>
      <c r="C1050" s="173"/>
      <c r="D1050" s="133"/>
      <c r="E1050" s="171"/>
      <c r="F1050" s="171"/>
      <c r="G1050" s="171"/>
    </row>
    <row r="1051" spans="2:7">
      <c r="B1051" s="172"/>
      <c r="C1051" s="173"/>
      <c r="D1051" s="133"/>
      <c r="E1051" s="171"/>
      <c r="F1051" s="171"/>
      <c r="G1051" s="171"/>
    </row>
    <row r="1052" spans="2:7">
      <c r="B1052" s="172"/>
      <c r="C1052" s="173"/>
      <c r="D1052" s="133"/>
      <c r="E1052" s="171"/>
      <c r="F1052" s="171"/>
      <c r="G1052" s="171"/>
    </row>
    <row r="1053" spans="2:7">
      <c r="B1053" s="172"/>
      <c r="C1053" s="173"/>
      <c r="D1053" s="133"/>
      <c r="E1053" s="171"/>
      <c r="F1053" s="171"/>
      <c r="G1053" s="171"/>
    </row>
    <row r="1054" spans="2:7">
      <c r="B1054" s="172"/>
      <c r="C1054" s="173"/>
      <c r="D1054" s="133"/>
      <c r="E1054" s="171"/>
      <c r="F1054" s="171"/>
      <c r="G1054" s="171"/>
    </row>
    <row r="1055" spans="2:7">
      <c r="B1055" s="172"/>
      <c r="C1055" s="173"/>
      <c r="D1055" s="133"/>
      <c r="E1055" s="171"/>
      <c r="F1055" s="171"/>
      <c r="G1055" s="171"/>
    </row>
    <row r="1056" spans="2:7">
      <c r="B1056" s="172"/>
      <c r="C1056" s="173"/>
      <c r="D1056" s="133"/>
      <c r="E1056" s="171"/>
      <c r="F1056" s="171"/>
      <c r="G1056" s="171"/>
    </row>
    <row r="1057" spans="2:7">
      <c r="B1057" s="172"/>
      <c r="C1057" s="173"/>
      <c r="D1057" s="133"/>
      <c r="E1057" s="171"/>
      <c r="F1057" s="171"/>
      <c r="G1057" s="171"/>
    </row>
    <row r="1058" spans="2:7">
      <c r="B1058" s="172"/>
      <c r="C1058" s="173"/>
      <c r="D1058" s="133"/>
      <c r="E1058" s="171"/>
      <c r="F1058" s="171"/>
      <c r="G1058" s="171"/>
    </row>
    <row r="1059" spans="2:7">
      <c r="B1059" s="172"/>
      <c r="C1059" s="173"/>
      <c r="D1059" s="133"/>
      <c r="E1059" s="171"/>
      <c r="F1059" s="171"/>
      <c r="G1059" s="171"/>
    </row>
    <row r="1060" spans="2:7">
      <c r="B1060" s="172"/>
      <c r="C1060" s="173"/>
      <c r="D1060" s="133"/>
      <c r="E1060" s="171"/>
      <c r="F1060" s="171"/>
      <c r="G1060" s="171"/>
    </row>
    <row r="1061" spans="2:7">
      <c r="B1061" s="172"/>
      <c r="C1061" s="173"/>
      <c r="D1061" s="133"/>
      <c r="E1061" s="171"/>
      <c r="F1061" s="171"/>
      <c r="G1061" s="171"/>
    </row>
    <row r="1062" spans="2:7">
      <c r="B1062" s="172"/>
      <c r="C1062" s="173"/>
      <c r="D1062" s="133"/>
      <c r="E1062" s="171"/>
      <c r="F1062" s="171"/>
      <c r="G1062" s="171"/>
    </row>
    <row r="1063" spans="2:7">
      <c r="B1063" s="172"/>
      <c r="C1063" s="173"/>
      <c r="D1063" s="133"/>
      <c r="E1063" s="171"/>
      <c r="F1063" s="171"/>
      <c r="G1063" s="171"/>
    </row>
    <row r="1064" spans="2:7">
      <c r="B1064" s="172"/>
      <c r="C1064" s="173"/>
      <c r="D1064" s="133"/>
      <c r="E1064" s="171"/>
      <c r="F1064" s="171"/>
      <c r="G1064" s="171"/>
    </row>
    <row r="1065" spans="2:7">
      <c r="B1065" s="172"/>
      <c r="C1065" s="173"/>
      <c r="D1065" s="133"/>
      <c r="E1065" s="171"/>
      <c r="F1065" s="171"/>
      <c r="G1065" s="171"/>
    </row>
    <row r="1066" spans="2:7">
      <c r="B1066" s="172"/>
      <c r="C1066" s="173"/>
      <c r="D1066" s="133"/>
      <c r="E1066" s="171"/>
      <c r="F1066" s="171"/>
      <c r="G1066" s="171"/>
    </row>
    <row r="1067" spans="2:7">
      <c r="B1067" s="172"/>
      <c r="C1067" s="173"/>
      <c r="D1067" s="133"/>
      <c r="E1067" s="171"/>
      <c r="F1067" s="171"/>
      <c r="G1067" s="171"/>
    </row>
    <row r="1068" spans="2:7">
      <c r="B1068" s="172"/>
      <c r="C1068" s="173"/>
      <c r="D1068" s="133"/>
      <c r="E1068" s="171"/>
      <c r="F1068" s="171"/>
      <c r="G1068" s="171"/>
    </row>
    <row r="1069" spans="2:7">
      <c r="B1069" s="172"/>
      <c r="C1069" s="173"/>
      <c r="D1069" s="133"/>
      <c r="E1069" s="171"/>
      <c r="F1069" s="171"/>
      <c r="G1069" s="171"/>
    </row>
    <row r="1070" spans="2:7">
      <c r="B1070" s="172"/>
      <c r="C1070" s="173"/>
      <c r="D1070" s="133"/>
      <c r="E1070" s="171"/>
      <c r="F1070" s="171"/>
      <c r="G1070" s="171"/>
    </row>
    <row r="1071" spans="2:7">
      <c r="B1071" s="172"/>
      <c r="C1071" s="173"/>
      <c r="D1071" s="133"/>
      <c r="E1071" s="171"/>
      <c r="F1071" s="171"/>
      <c r="G1071" s="171"/>
    </row>
    <row r="1072" spans="2:7">
      <c r="B1072" s="172"/>
      <c r="C1072" s="173"/>
      <c r="D1072" s="133"/>
      <c r="E1072" s="171"/>
      <c r="F1072" s="171"/>
      <c r="G1072" s="171"/>
    </row>
    <row r="1073" spans="2:7">
      <c r="B1073" s="172"/>
      <c r="C1073" s="173"/>
      <c r="D1073" s="133"/>
      <c r="E1073" s="171"/>
      <c r="F1073" s="171"/>
      <c r="G1073" s="171"/>
    </row>
    <row r="1074" spans="2:7">
      <c r="B1074" s="172"/>
      <c r="C1074" s="173"/>
      <c r="D1074" s="133"/>
      <c r="E1074" s="171"/>
      <c r="F1074" s="171"/>
      <c r="G1074" s="171"/>
    </row>
    <row r="1075" spans="2:7">
      <c r="B1075" s="172"/>
      <c r="C1075" s="173"/>
      <c r="D1075" s="133"/>
      <c r="E1075" s="171"/>
      <c r="F1075" s="171"/>
      <c r="G1075" s="171"/>
    </row>
    <row r="1076" spans="2:7">
      <c r="B1076" s="172"/>
      <c r="C1076" s="173"/>
      <c r="D1076" s="133"/>
      <c r="E1076" s="171"/>
      <c r="F1076" s="171"/>
      <c r="G1076" s="171"/>
    </row>
    <row r="1077" spans="2:7">
      <c r="B1077" s="172"/>
      <c r="C1077" s="173"/>
      <c r="D1077" s="133"/>
      <c r="E1077" s="171"/>
      <c r="F1077" s="171"/>
      <c r="G1077" s="171"/>
    </row>
    <row r="1078" spans="2:7">
      <c r="B1078" s="172"/>
      <c r="C1078" s="173"/>
      <c r="D1078" s="133"/>
      <c r="E1078" s="171"/>
      <c r="F1078" s="171"/>
      <c r="G1078" s="171"/>
    </row>
    <row r="1079" spans="2:7">
      <c r="B1079" s="172"/>
      <c r="C1079" s="173"/>
      <c r="D1079" s="133"/>
      <c r="E1079" s="171"/>
      <c r="F1079" s="171"/>
      <c r="G1079" s="171"/>
    </row>
    <row r="1080" spans="2:7">
      <c r="B1080" s="172"/>
      <c r="C1080" s="173"/>
      <c r="D1080" s="133"/>
      <c r="E1080" s="171"/>
      <c r="F1080" s="171"/>
      <c r="G1080" s="171"/>
    </row>
    <row r="1081" spans="2:7">
      <c r="B1081" s="172"/>
      <c r="C1081" s="173"/>
      <c r="D1081" s="133"/>
      <c r="E1081" s="171"/>
      <c r="F1081" s="171"/>
      <c r="G1081" s="171"/>
    </row>
    <row r="1082" spans="2:7">
      <c r="B1082" s="172"/>
      <c r="C1082" s="173"/>
      <c r="D1082" s="133"/>
      <c r="E1082" s="171"/>
      <c r="F1082" s="171"/>
      <c r="G1082" s="171"/>
    </row>
    <row r="1083" spans="2:7">
      <c r="B1083" s="172"/>
      <c r="C1083" s="173"/>
      <c r="D1083" s="133"/>
      <c r="E1083" s="171"/>
      <c r="F1083" s="171"/>
      <c r="G1083" s="171"/>
    </row>
    <row r="1084" spans="2:7">
      <c r="B1084" s="172"/>
      <c r="C1084" s="173"/>
      <c r="D1084" s="133"/>
      <c r="E1084" s="171"/>
      <c r="F1084" s="171"/>
      <c r="G1084" s="171"/>
    </row>
    <row r="1085" spans="2:7">
      <c r="B1085" s="172"/>
      <c r="C1085" s="173"/>
      <c r="D1085" s="133"/>
      <c r="E1085" s="171"/>
      <c r="F1085" s="171"/>
      <c r="G1085" s="171"/>
    </row>
    <row r="1086" spans="2:7">
      <c r="B1086" s="172"/>
      <c r="C1086" s="173"/>
      <c r="D1086" s="133"/>
      <c r="E1086" s="171"/>
      <c r="F1086" s="171"/>
      <c r="G1086" s="171"/>
    </row>
    <row r="1087" spans="2:7">
      <c r="B1087" s="172"/>
      <c r="C1087" s="173"/>
      <c r="D1087" s="133"/>
      <c r="E1087" s="171"/>
      <c r="F1087" s="171"/>
      <c r="G1087" s="171"/>
    </row>
    <row r="1088" spans="2:7">
      <c r="B1088" s="172"/>
      <c r="C1088" s="173"/>
      <c r="D1088" s="133"/>
      <c r="E1088" s="171"/>
      <c r="F1088" s="171"/>
      <c r="G1088" s="171"/>
    </row>
    <row r="1089" spans="2:7">
      <c r="B1089" s="172"/>
      <c r="C1089" s="173"/>
      <c r="D1089" s="133"/>
      <c r="E1089" s="171"/>
      <c r="F1089" s="171"/>
      <c r="G1089" s="171"/>
    </row>
    <row r="1090" spans="2:7">
      <c r="B1090" s="172"/>
      <c r="C1090" s="173"/>
      <c r="D1090" s="133"/>
      <c r="E1090" s="171"/>
      <c r="F1090" s="171"/>
      <c r="G1090" s="171"/>
    </row>
    <row r="1091" spans="2:7">
      <c r="B1091" s="172"/>
      <c r="C1091" s="173"/>
      <c r="D1091" s="133"/>
      <c r="E1091" s="171"/>
      <c r="F1091" s="171"/>
      <c r="G1091" s="171"/>
    </row>
    <row r="1092" spans="2:7">
      <c r="B1092" s="172"/>
      <c r="C1092" s="173"/>
      <c r="D1092" s="133"/>
      <c r="E1092" s="171"/>
      <c r="F1092" s="171"/>
      <c r="G1092" s="171"/>
    </row>
    <row r="1093" spans="2:7">
      <c r="B1093" s="172"/>
      <c r="C1093" s="173"/>
      <c r="D1093" s="133"/>
      <c r="E1093" s="171"/>
      <c r="F1093" s="171"/>
      <c r="G1093" s="171"/>
    </row>
    <row r="1094" spans="2:7">
      <c r="B1094" s="172"/>
      <c r="C1094" s="173"/>
      <c r="D1094" s="133"/>
      <c r="E1094" s="171"/>
      <c r="F1094" s="171"/>
      <c r="G1094" s="171"/>
    </row>
    <row r="1095" spans="2:7">
      <c r="B1095" s="172"/>
      <c r="C1095" s="173"/>
      <c r="D1095" s="133"/>
      <c r="E1095" s="171"/>
      <c r="F1095" s="171"/>
      <c r="G1095" s="171"/>
    </row>
    <row r="1096" spans="2:7">
      <c r="B1096" s="172"/>
      <c r="C1096" s="173"/>
      <c r="D1096" s="133"/>
      <c r="E1096" s="171"/>
      <c r="F1096" s="171"/>
      <c r="G1096" s="171"/>
    </row>
    <row r="1097" spans="2:7">
      <c r="B1097" s="172"/>
      <c r="C1097" s="173"/>
      <c r="D1097" s="133"/>
      <c r="E1097" s="171"/>
      <c r="F1097" s="171"/>
      <c r="G1097" s="171"/>
    </row>
    <row r="1098" spans="2:7">
      <c r="B1098" s="172"/>
      <c r="C1098" s="173"/>
      <c r="D1098" s="133"/>
      <c r="E1098" s="171"/>
      <c r="F1098" s="171"/>
      <c r="G1098" s="171"/>
    </row>
    <row r="1099" spans="2:7">
      <c r="B1099" s="172"/>
      <c r="C1099" s="173"/>
      <c r="D1099" s="133"/>
      <c r="E1099" s="171"/>
      <c r="F1099" s="171"/>
      <c r="G1099" s="171"/>
    </row>
    <row r="1100" spans="2:7">
      <c r="B1100" s="172"/>
      <c r="C1100" s="173"/>
      <c r="D1100" s="133"/>
      <c r="E1100" s="171"/>
      <c r="F1100" s="171"/>
      <c r="G1100" s="171"/>
    </row>
    <row r="1101" spans="2:7">
      <c r="B1101" s="172"/>
      <c r="C1101" s="173"/>
      <c r="D1101" s="133"/>
      <c r="E1101" s="171"/>
      <c r="F1101" s="171"/>
      <c r="G1101" s="171"/>
    </row>
    <row r="1102" spans="2:7">
      <c r="B1102" s="172"/>
      <c r="C1102" s="173"/>
      <c r="D1102" s="133"/>
      <c r="E1102" s="171"/>
      <c r="F1102" s="171"/>
      <c r="G1102" s="171"/>
    </row>
    <row r="1103" spans="2:7">
      <c r="B1103" s="172"/>
      <c r="C1103" s="173"/>
      <c r="D1103" s="133"/>
      <c r="E1103" s="171"/>
      <c r="F1103" s="171"/>
      <c r="G1103" s="171"/>
    </row>
    <row r="1104" spans="2:7">
      <c r="B1104" s="172"/>
      <c r="C1104" s="173"/>
      <c r="D1104" s="133"/>
      <c r="E1104" s="171"/>
      <c r="F1104" s="171"/>
      <c r="G1104" s="171"/>
    </row>
    <row r="1105" spans="2:7">
      <c r="B1105" s="172"/>
      <c r="C1105" s="173"/>
      <c r="D1105" s="133"/>
      <c r="E1105" s="171"/>
      <c r="F1105" s="171"/>
      <c r="G1105" s="171"/>
    </row>
    <row r="1106" spans="2:7">
      <c r="B1106" s="172"/>
      <c r="C1106" s="173"/>
      <c r="D1106" s="133"/>
      <c r="E1106" s="171"/>
      <c r="F1106" s="171"/>
      <c r="G1106" s="171"/>
    </row>
    <row r="1107" spans="2:7">
      <c r="B1107" s="172"/>
      <c r="C1107" s="173"/>
      <c r="D1107" s="133"/>
      <c r="E1107" s="171"/>
      <c r="F1107" s="171"/>
      <c r="G1107" s="171"/>
    </row>
    <row r="1108" spans="2:7">
      <c r="B1108" s="172"/>
      <c r="C1108" s="173"/>
      <c r="D1108" s="133"/>
      <c r="E1108" s="171"/>
      <c r="F1108" s="171"/>
      <c r="G1108" s="171"/>
    </row>
    <row r="1109" spans="2:7">
      <c r="B1109" s="172"/>
      <c r="C1109" s="173"/>
      <c r="D1109" s="133"/>
      <c r="E1109" s="171"/>
      <c r="F1109" s="171"/>
      <c r="G1109" s="171"/>
    </row>
    <row r="1110" spans="2:7">
      <c r="B1110" s="172"/>
      <c r="C1110" s="173"/>
      <c r="D1110" s="133"/>
      <c r="E1110" s="171"/>
      <c r="F1110" s="171"/>
      <c r="G1110" s="171"/>
    </row>
    <row r="1111" spans="2:7">
      <c r="B1111" s="172"/>
      <c r="C1111" s="173"/>
      <c r="D1111" s="133"/>
      <c r="E1111" s="171"/>
      <c r="F1111" s="171"/>
      <c r="G1111" s="171"/>
    </row>
    <row r="1112" spans="2:7">
      <c r="B1112" s="172"/>
      <c r="C1112" s="173"/>
      <c r="D1112" s="133"/>
      <c r="E1112" s="171"/>
      <c r="F1112" s="171"/>
      <c r="G1112" s="171"/>
    </row>
    <row r="1113" spans="2:7">
      <c r="B1113" s="172"/>
      <c r="C1113" s="173"/>
      <c r="D1113" s="133"/>
      <c r="E1113" s="171"/>
      <c r="F1113" s="171"/>
      <c r="G1113" s="171"/>
    </row>
    <row r="1114" spans="2:7">
      <c r="B1114" s="172"/>
      <c r="C1114" s="173"/>
      <c r="D1114" s="133"/>
      <c r="E1114" s="171"/>
      <c r="F1114" s="171"/>
      <c r="G1114" s="171"/>
    </row>
    <row r="1115" spans="2:7">
      <c r="B1115" s="172"/>
      <c r="C1115" s="173"/>
      <c r="D1115" s="133"/>
      <c r="E1115" s="171"/>
      <c r="F1115" s="171"/>
      <c r="G1115" s="171"/>
    </row>
    <row r="1116" spans="2:7">
      <c r="B1116" s="172"/>
      <c r="C1116" s="173"/>
      <c r="D1116" s="133"/>
      <c r="E1116" s="171"/>
      <c r="F1116" s="171"/>
      <c r="G1116" s="171"/>
    </row>
    <row r="1117" spans="2:7">
      <c r="B1117" s="172"/>
      <c r="C1117" s="173"/>
      <c r="D1117" s="133"/>
      <c r="E1117" s="171"/>
      <c r="F1117" s="171"/>
      <c r="G1117" s="171"/>
    </row>
    <row r="1118" spans="2:7">
      <c r="B1118" s="172"/>
      <c r="C1118" s="173"/>
      <c r="D1118" s="133"/>
      <c r="E1118" s="171"/>
      <c r="F1118" s="171"/>
      <c r="G1118" s="171"/>
    </row>
    <row r="1119" spans="2:7">
      <c r="B1119" s="172"/>
      <c r="C1119" s="173"/>
      <c r="D1119" s="133"/>
      <c r="E1119" s="171"/>
      <c r="F1119" s="171"/>
      <c r="G1119" s="171"/>
    </row>
    <row r="1120" spans="2:7">
      <c r="B1120" s="172"/>
      <c r="C1120" s="173"/>
      <c r="D1120" s="133"/>
      <c r="E1120" s="171"/>
      <c r="F1120" s="171"/>
      <c r="G1120" s="171"/>
    </row>
    <row r="1121" spans="2:7">
      <c r="B1121" s="172"/>
      <c r="C1121" s="173"/>
      <c r="D1121" s="133"/>
      <c r="E1121" s="171"/>
      <c r="F1121" s="171"/>
      <c r="G1121" s="171"/>
    </row>
    <row r="1122" spans="2:7">
      <c r="B1122" s="172"/>
      <c r="C1122" s="173"/>
      <c r="D1122" s="133"/>
      <c r="E1122" s="171"/>
      <c r="F1122" s="171"/>
      <c r="G1122" s="171"/>
    </row>
    <row r="1123" spans="2:7">
      <c r="B1123" s="172"/>
      <c r="C1123" s="173"/>
      <c r="D1123" s="133"/>
      <c r="E1123" s="171"/>
      <c r="F1123" s="171"/>
      <c r="G1123" s="171"/>
    </row>
    <row r="1124" spans="2:7">
      <c r="B1124" s="172"/>
      <c r="C1124" s="173"/>
      <c r="D1124" s="133"/>
      <c r="E1124" s="171"/>
      <c r="F1124" s="171"/>
      <c r="G1124" s="171"/>
    </row>
    <row r="1125" spans="2:7">
      <c r="B1125" s="172"/>
      <c r="C1125" s="173"/>
      <c r="D1125" s="133"/>
      <c r="E1125" s="171"/>
      <c r="F1125" s="171"/>
      <c r="G1125" s="171"/>
    </row>
    <row r="1126" spans="2:7">
      <c r="B1126" s="172"/>
      <c r="C1126" s="173"/>
      <c r="D1126" s="133"/>
      <c r="E1126" s="171"/>
      <c r="F1126" s="171"/>
      <c r="G1126" s="171"/>
    </row>
    <row r="1127" spans="2:7">
      <c r="B1127" s="172"/>
      <c r="C1127" s="173"/>
      <c r="D1127" s="133"/>
      <c r="E1127" s="171"/>
      <c r="F1127" s="171"/>
      <c r="G1127" s="171"/>
    </row>
    <row r="1128" spans="2:7">
      <c r="B1128" s="172"/>
      <c r="C1128" s="173"/>
      <c r="D1128" s="133"/>
      <c r="E1128" s="171"/>
      <c r="F1128" s="171"/>
      <c r="G1128" s="171"/>
    </row>
    <row r="1129" spans="2:7">
      <c r="B1129" s="172"/>
      <c r="C1129" s="173"/>
      <c r="D1129" s="133"/>
      <c r="E1129" s="171"/>
      <c r="F1129" s="171"/>
      <c r="G1129" s="171"/>
    </row>
    <row r="1130" spans="2:7">
      <c r="B1130" s="172"/>
      <c r="C1130" s="173"/>
      <c r="D1130" s="133"/>
      <c r="E1130" s="171"/>
      <c r="F1130" s="171"/>
      <c r="G1130" s="171"/>
    </row>
    <row r="1131" spans="2:7">
      <c r="B1131" s="172"/>
      <c r="C1131" s="173"/>
      <c r="D1131" s="133"/>
      <c r="E1131" s="171"/>
      <c r="F1131" s="171"/>
      <c r="G1131" s="171"/>
    </row>
    <row r="1132" spans="2:7">
      <c r="B1132" s="172"/>
      <c r="C1132" s="173"/>
      <c r="D1132" s="133"/>
      <c r="E1132" s="171"/>
      <c r="F1132" s="171"/>
      <c r="G1132" s="171"/>
    </row>
    <row r="1133" spans="2:7">
      <c r="B1133" s="172"/>
      <c r="C1133" s="173"/>
      <c r="D1133" s="133"/>
      <c r="E1133" s="171"/>
      <c r="F1133" s="171"/>
      <c r="G1133" s="171"/>
    </row>
    <row r="1134" spans="2:7">
      <c r="B1134" s="172"/>
      <c r="C1134" s="173"/>
      <c r="D1134" s="133"/>
      <c r="E1134" s="171"/>
      <c r="F1134" s="171"/>
      <c r="G1134" s="171"/>
    </row>
    <row r="1135" spans="2:7">
      <c r="B1135" s="172"/>
      <c r="C1135" s="173"/>
      <c r="D1135" s="133"/>
      <c r="E1135" s="171"/>
      <c r="F1135" s="171"/>
      <c r="G1135" s="171"/>
    </row>
    <row r="1136" spans="2:7">
      <c r="B1136" s="172"/>
      <c r="C1136" s="173"/>
      <c r="D1136" s="133"/>
      <c r="E1136" s="171"/>
      <c r="F1136" s="171"/>
      <c r="G1136" s="171"/>
    </row>
    <row r="1137" spans="2:7">
      <c r="B1137" s="172"/>
      <c r="C1137" s="173"/>
      <c r="D1137" s="133"/>
      <c r="E1137" s="171"/>
      <c r="F1137" s="171"/>
      <c r="G1137" s="171"/>
    </row>
    <row r="1138" spans="2:7">
      <c r="B1138" s="172"/>
      <c r="C1138" s="173"/>
      <c r="D1138" s="133"/>
      <c r="E1138" s="171"/>
      <c r="F1138" s="171"/>
      <c r="G1138" s="171"/>
    </row>
    <row r="1139" spans="2:7">
      <c r="B1139" s="172"/>
      <c r="C1139" s="173"/>
      <c r="D1139" s="133"/>
      <c r="E1139" s="171"/>
      <c r="F1139" s="171"/>
      <c r="G1139" s="171"/>
    </row>
    <row r="1140" spans="2:7">
      <c r="B1140" s="172"/>
      <c r="C1140" s="173"/>
      <c r="D1140" s="133"/>
      <c r="E1140" s="171"/>
      <c r="F1140" s="171"/>
      <c r="G1140" s="171"/>
    </row>
    <row r="1141" spans="2:7">
      <c r="B1141" s="172"/>
      <c r="C1141" s="173"/>
      <c r="D1141" s="133"/>
      <c r="E1141" s="171"/>
      <c r="F1141" s="171"/>
      <c r="G1141" s="171"/>
    </row>
    <row r="1142" spans="2:7">
      <c r="B1142" s="172"/>
      <c r="C1142" s="173"/>
      <c r="D1142" s="133"/>
      <c r="E1142" s="171"/>
      <c r="F1142" s="171"/>
      <c r="G1142" s="171"/>
    </row>
    <row r="1143" spans="2:7">
      <c r="B1143" s="172"/>
      <c r="C1143" s="173"/>
      <c r="D1143" s="133"/>
      <c r="E1143" s="171"/>
      <c r="F1143" s="171"/>
      <c r="G1143" s="171"/>
    </row>
    <row r="1144" spans="2:7">
      <c r="B1144" s="172"/>
      <c r="C1144" s="173"/>
      <c r="D1144" s="133"/>
      <c r="E1144" s="171"/>
      <c r="F1144" s="171"/>
      <c r="G1144" s="171"/>
    </row>
    <row r="1145" spans="2:7">
      <c r="B1145" s="172"/>
      <c r="C1145" s="173"/>
      <c r="D1145" s="133"/>
      <c r="E1145" s="171"/>
      <c r="F1145" s="171"/>
      <c r="G1145" s="171"/>
    </row>
    <row r="1146" spans="2:7">
      <c r="B1146" s="172"/>
      <c r="C1146" s="173"/>
      <c r="D1146" s="133"/>
      <c r="E1146" s="171"/>
      <c r="F1146" s="171"/>
      <c r="G1146" s="171"/>
    </row>
    <row r="1147" spans="2:7">
      <c r="B1147" s="172"/>
      <c r="C1147" s="173"/>
      <c r="D1147" s="133"/>
      <c r="E1147" s="171"/>
      <c r="F1147" s="171"/>
      <c r="G1147" s="171"/>
    </row>
    <row r="1148" spans="2:7">
      <c r="B1148" s="172"/>
      <c r="C1148" s="173"/>
      <c r="D1148" s="133"/>
      <c r="E1148" s="171"/>
      <c r="F1148" s="171"/>
      <c r="G1148" s="171"/>
    </row>
    <row r="1149" spans="2:7">
      <c r="B1149" s="172"/>
      <c r="C1149" s="173"/>
      <c r="D1149" s="133"/>
      <c r="E1149" s="171"/>
      <c r="F1149" s="171"/>
      <c r="G1149" s="171"/>
    </row>
    <row r="1150" spans="2:7">
      <c r="B1150" s="172"/>
      <c r="C1150" s="173"/>
      <c r="D1150" s="133"/>
      <c r="E1150" s="171"/>
      <c r="F1150" s="171"/>
      <c r="G1150" s="171"/>
    </row>
    <row r="1151" spans="2:7">
      <c r="B1151" s="172"/>
      <c r="C1151" s="173"/>
      <c r="D1151" s="133"/>
      <c r="E1151" s="171"/>
      <c r="F1151" s="171"/>
      <c r="G1151" s="171"/>
    </row>
    <row r="1152" spans="2:7">
      <c r="B1152" s="172"/>
      <c r="C1152" s="173"/>
      <c r="D1152" s="133"/>
      <c r="E1152" s="171"/>
      <c r="F1152" s="171"/>
      <c r="G1152" s="171"/>
    </row>
    <row r="1153" spans="2:7">
      <c r="B1153" s="172"/>
      <c r="C1153" s="173"/>
      <c r="D1153" s="133"/>
      <c r="E1153" s="171"/>
      <c r="F1153" s="171"/>
      <c r="G1153" s="171"/>
    </row>
    <row r="1154" spans="2:7">
      <c r="B1154" s="172"/>
      <c r="C1154" s="173"/>
      <c r="D1154" s="133"/>
      <c r="E1154" s="171"/>
      <c r="F1154" s="171"/>
      <c r="G1154" s="171"/>
    </row>
    <row r="1155" spans="2:7">
      <c r="B1155" s="172"/>
      <c r="C1155" s="173"/>
      <c r="D1155" s="133"/>
      <c r="E1155" s="171"/>
      <c r="F1155" s="171"/>
      <c r="G1155" s="171"/>
    </row>
    <row r="1156" spans="2:7">
      <c r="B1156" s="172"/>
      <c r="C1156" s="173"/>
      <c r="D1156" s="133"/>
      <c r="E1156" s="171"/>
      <c r="F1156" s="171"/>
      <c r="G1156" s="171"/>
    </row>
    <row r="1157" spans="2:7">
      <c r="B1157" s="172"/>
      <c r="C1157" s="173"/>
      <c r="D1157" s="133"/>
      <c r="E1157" s="171"/>
      <c r="F1157" s="171"/>
      <c r="G1157" s="171"/>
    </row>
    <row r="1158" spans="2:7">
      <c r="B1158" s="172"/>
      <c r="C1158" s="173"/>
      <c r="D1158" s="133"/>
      <c r="E1158" s="171"/>
      <c r="F1158" s="171"/>
      <c r="G1158" s="171"/>
    </row>
    <row r="1159" spans="2:7">
      <c r="B1159" s="172"/>
      <c r="C1159" s="173"/>
      <c r="D1159" s="133"/>
      <c r="E1159" s="171"/>
      <c r="F1159" s="171"/>
      <c r="G1159" s="171"/>
    </row>
    <row r="1160" spans="2:7">
      <c r="B1160" s="172"/>
      <c r="C1160" s="173"/>
      <c r="D1160" s="133"/>
      <c r="E1160" s="171"/>
      <c r="F1160" s="171"/>
      <c r="G1160" s="171"/>
    </row>
    <row r="1161" spans="2:7">
      <c r="B1161" s="172"/>
      <c r="C1161" s="173"/>
      <c r="D1161" s="133"/>
      <c r="E1161" s="171"/>
      <c r="F1161" s="171"/>
      <c r="G1161" s="171"/>
    </row>
    <row r="1162" spans="2:7">
      <c r="B1162" s="172"/>
      <c r="C1162" s="173"/>
      <c r="D1162" s="133"/>
      <c r="E1162" s="171"/>
      <c r="F1162" s="171"/>
      <c r="G1162" s="171"/>
    </row>
    <row r="1163" spans="2:7">
      <c r="B1163" s="172"/>
      <c r="C1163" s="173"/>
      <c r="D1163" s="133"/>
      <c r="E1163" s="171"/>
      <c r="F1163" s="171"/>
      <c r="G1163" s="171"/>
    </row>
    <row r="1164" spans="2:7">
      <c r="B1164" s="172"/>
      <c r="C1164" s="173"/>
      <c r="D1164" s="133"/>
      <c r="E1164" s="171"/>
      <c r="F1164" s="171"/>
      <c r="G1164" s="171"/>
    </row>
    <row r="1165" spans="2:7">
      <c r="B1165" s="172"/>
      <c r="C1165" s="173"/>
      <c r="D1165" s="133"/>
      <c r="E1165" s="171"/>
      <c r="F1165" s="171"/>
      <c r="G1165" s="171"/>
    </row>
    <row r="1166" spans="2:7">
      <c r="B1166" s="172"/>
      <c r="C1166" s="173"/>
      <c r="D1166" s="133"/>
      <c r="E1166" s="171"/>
      <c r="F1166" s="171"/>
      <c r="G1166" s="171"/>
    </row>
    <row r="1167" spans="2:7">
      <c r="B1167" s="172"/>
      <c r="C1167" s="173"/>
      <c r="D1167" s="133"/>
      <c r="E1167" s="171"/>
      <c r="F1167" s="171"/>
      <c r="G1167" s="171"/>
    </row>
    <row r="1168" spans="2:7">
      <c r="B1168" s="172"/>
      <c r="C1168" s="173"/>
      <c r="D1168" s="133"/>
      <c r="E1168" s="171"/>
      <c r="F1168" s="171"/>
      <c r="G1168" s="171"/>
    </row>
    <row r="1169" spans="2:7">
      <c r="B1169" s="172"/>
      <c r="C1169" s="173"/>
      <c r="D1169" s="133"/>
      <c r="E1169" s="171"/>
      <c r="F1169" s="171"/>
      <c r="G1169" s="171"/>
    </row>
    <row r="1170" spans="2:7">
      <c r="B1170" s="172"/>
      <c r="C1170" s="173"/>
      <c r="D1170" s="133"/>
      <c r="E1170" s="171"/>
      <c r="F1170" s="171"/>
      <c r="G1170" s="171"/>
    </row>
    <row r="1171" spans="2:7">
      <c r="B1171" s="172"/>
      <c r="C1171" s="173"/>
      <c r="D1171" s="133"/>
      <c r="E1171" s="171"/>
      <c r="F1171" s="171"/>
      <c r="G1171" s="171"/>
    </row>
    <row r="1172" spans="2:7">
      <c r="B1172" s="172"/>
      <c r="C1172" s="173"/>
      <c r="D1172" s="133"/>
      <c r="E1172" s="171"/>
      <c r="F1172" s="171"/>
      <c r="G1172" s="171"/>
    </row>
    <row r="1173" spans="2:7">
      <c r="B1173" s="172"/>
      <c r="C1173" s="173"/>
      <c r="D1173" s="133"/>
      <c r="E1173" s="171"/>
      <c r="F1173" s="171"/>
      <c r="G1173" s="171"/>
    </row>
    <row r="1174" spans="2:7">
      <c r="B1174" s="172"/>
      <c r="C1174" s="173"/>
      <c r="D1174" s="133"/>
      <c r="E1174" s="171"/>
      <c r="F1174" s="171"/>
      <c r="G1174" s="171"/>
    </row>
    <row r="1175" spans="2:7">
      <c r="B1175" s="172"/>
      <c r="C1175" s="173"/>
      <c r="D1175" s="133"/>
      <c r="E1175" s="171"/>
      <c r="F1175" s="171"/>
      <c r="G1175" s="171"/>
    </row>
    <row r="1176" spans="2:7">
      <c r="B1176" s="172"/>
      <c r="C1176" s="173"/>
      <c r="D1176" s="133"/>
      <c r="E1176" s="171"/>
      <c r="F1176" s="171"/>
      <c r="G1176" s="171"/>
    </row>
    <row r="1177" spans="2:7">
      <c r="B1177" s="172"/>
      <c r="C1177" s="173"/>
      <c r="D1177" s="133"/>
      <c r="E1177" s="171"/>
      <c r="F1177" s="171"/>
      <c r="G1177" s="171"/>
    </row>
    <row r="1178" spans="2:7">
      <c r="B1178" s="172"/>
      <c r="C1178" s="173"/>
      <c r="D1178" s="133"/>
      <c r="E1178" s="171"/>
      <c r="F1178" s="171"/>
      <c r="G1178" s="171"/>
    </row>
    <row r="1179" spans="2:7">
      <c r="B1179" s="172"/>
      <c r="C1179" s="173"/>
      <c r="D1179" s="133"/>
      <c r="E1179" s="171"/>
      <c r="F1179" s="171"/>
      <c r="G1179" s="171"/>
    </row>
    <row r="1180" spans="2:7">
      <c r="B1180" s="172"/>
      <c r="C1180" s="173"/>
      <c r="D1180" s="133"/>
      <c r="E1180" s="171"/>
      <c r="F1180" s="171"/>
      <c r="G1180" s="171"/>
    </row>
    <row r="1181" spans="2:7">
      <c r="B1181" s="172"/>
      <c r="C1181" s="173"/>
      <c r="D1181" s="133"/>
      <c r="E1181" s="171"/>
      <c r="F1181" s="171"/>
      <c r="G1181" s="171"/>
    </row>
    <row r="1182" spans="2:7">
      <c r="B1182" s="172"/>
      <c r="C1182" s="173"/>
      <c r="D1182" s="133"/>
      <c r="E1182" s="171"/>
      <c r="F1182" s="171"/>
      <c r="G1182" s="171"/>
    </row>
    <row r="1183" spans="2:7">
      <c r="B1183" s="172"/>
      <c r="C1183" s="173"/>
      <c r="D1183" s="133"/>
      <c r="E1183" s="171"/>
      <c r="F1183" s="171"/>
      <c r="G1183" s="171"/>
    </row>
    <row r="1184" spans="2:7">
      <c r="B1184" s="172"/>
      <c r="C1184" s="173"/>
      <c r="D1184" s="133"/>
      <c r="E1184" s="171"/>
      <c r="F1184" s="171"/>
      <c r="G1184" s="171"/>
    </row>
    <row r="1185" spans="2:7">
      <c r="B1185" s="172"/>
      <c r="C1185" s="173"/>
      <c r="D1185" s="133"/>
      <c r="E1185" s="171"/>
      <c r="F1185" s="171"/>
      <c r="G1185" s="171"/>
    </row>
    <row r="1186" spans="2:7">
      <c r="B1186" s="172"/>
      <c r="C1186" s="173"/>
      <c r="D1186" s="133"/>
      <c r="E1186" s="171"/>
      <c r="F1186" s="171"/>
      <c r="G1186" s="171"/>
    </row>
    <row r="1187" spans="2:7">
      <c r="B1187" s="172"/>
      <c r="C1187" s="173"/>
      <c r="D1187" s="133"/>
      <c r="E1187" s="171"/>
      <c r="F1187" s="171"/>
      <c r="G1187" s="171"/>
    </row>
    <row r="1188" spans="2:7">
      <c r="B1188" s="172"/>
      <c r="C1188" s="173"/>
      <c r="D1188" s="133"/>
      <c r="E1188" s="171"/>
      <c r="F1188" s="171"/>
      <c r="G1188" s="171"/>
    </row>
    <row r="1189" spans="2:7">
      <c r="B1189" s="172"/>
      <c r="C1189" s="173"/>
      <c r="D1189" s="133"/>
      <c r="E1189" s="171"/>
      <c r="F1189" s="171"/>
      <c r="G1189" s="171"/>
    </row>
    <row r="1190" spans="2:7">
      <c r="B1190" s="172"/>
      <c r="C1190" s="173"/>
      <c r="D1190" s="133"/>
      <c r="E1190" s="171"/>
      <c r="F1190" s="171"/>
      <c r="G1190" s="171"/>
    </row>
    <row r="1191" spans="2:7">
      <c r="B1191" s="172"/>
      <c r="C1191" s="173"/>
      <c r="D1191" s="133"/>
      <c r="E1191" s="171"/>
      <c r="F1191" s="171"/>
      <c r="G1191" s="171"/>
    </row>
    <row r="1192" spans="2:7">
      <c r="B1192" s="172"/>
      <c r="C1192" s="173"/>
      <c r="D1192" s="133"/>
      <c r="E1192" s="171"/>
      <c r="F1192" s="171"/>
      <c r="G1192" s="171"/>
    </row>
    <row r="1193" spans="2:7">
      <c r="B1193" s="172"/>
      <c r="C1193" s="173"/>
      <c r="D1193" s="133"/>
      <c r="E1193" s="171"/>
      <c r="F1193" s="171"/>
      <c r="G1193" s="171"/>
    </row>
    <row r="1194" spans="2:7">
      <c r="B1194" s="172"/>
      <c r="C1194" s="173"/>
      <c r="D1194" s="133"/>
      <c r="E1194" s="171"/>
      <c r="F1194" s="171"/>
      <c r="G1194" s="171"/>
    </row>
    <row r="1195" spans="2:7">
      <c r="B1195" s="172"/>
      <c r="C1195" s="173"/>
      <c r="D1195" s="133"/>
      <c r="E1195" s="171"/>
      <c r="F1195" s="171"/>
      <c r="G1195" s="171"/>
    </row>
    <row r="1196" spans="2:7">
      <c r="B1196" s="172"/>
      <c r="C1196" s="173"/>
      <c r="D1196" s="133"/>
      <c r="E1196" s="171"/>
      <c r="F1196" s="171"/>
      <c r="G1196" s="171"/>
    </row>
    <row r="1197" spans="2:7">
      <c r="B1197" s="172"/>
      <c r="C1197" s="173"/>
      <c r="D1197" s="133"/>
      <c r="E1197" s="171"/>
      <c r="F1197" s="171"/>
      <c r="G1197" s="171"/>
    </row>
    <row r="1198" spans="2:7">
      <c r="B1198" s="172"/>
      <c r="C1198" s="173"/>
      <c r="D1198" s="133"/>
      <c r="E1198" s="171"/>
      <c r="F1198" s="171"/>
      <c r="G1198" s="171"/>
    </row>
    <row r="1199" spans="2:7">
      <c r="B1199" s="172"/>
      <c r="C1199" s="173"/>
      <c r="D1199" s="133"/>
      <c r="E1199" s="171"/>
      <c r="F1199" s="171"/>
      <c r="G1199" s="171"/>
    </row>
    <row r="1200" spans="2:7">
      <c r="B1200" s="172"/>
      <c r="C1200" s="173"/>
      <c r="D1200" s="133"/>
      <c r="E1200" s="171"/>
      <c r="F1200" s="171"/>
      <c r="G1200" s="171"/>
    </row>
    <row r="1201" spans="2:7">
      <c r="B1201" s="172"/>
      <c r="C1201" s="173"/>
      <c r="D1201" s="133"/>
      <c r="E1201" s="171"/>
      <c r="F1201" s="171"/>
      <c r="G1201" s="171"/>
    </row>
    <row r="1202" spans="2:7">
      <c r="B1202" s="172"/>
      <c r="C1202" s="173"/>
      <c r="D1202" s="133"/>
      <c r="E1202" s="171"/>
      <c r="F1202" s="171"/>
      <c r="G1202" s="171"/>
    </row>
    <row r="1203" spans="2:7">
      <c r="B1203" s="172"/>
      <c r="C1203" s="173"/>
      <c r="D1203" s="133"/>
      <c r="E1203" s="171"/>
      <c r="F1203" s="171"/>
      <c r="G1203" s="171"/>
    </row>
    <row r="1204" spans="2:7">
      <c r="B1204" s="172"/>
      <c r="C1204" s="173"/>
      <c r="D1204" s="133"/>
      <c r="E1204" s="171"/>
      <c r="F1204" s="171"/>
      <c r="G1204" s="171"/>
    </row>
    <row r="1205" spans="2:7">
      <c r="B1205" s="172"/>
      <c r="C1205" s="173"/>
      <c r="D1205" s="133"/>
      <c r="E1205" s="171"/>
      <c r="F1205" s="171"/>
      <c r="G1205" s="171"/>
    </row>
    <row r="1206" spans="2:7">
      <c r="B1206" s="172"/>
      <c r="C1206" s="173"/>
      <c r="D1206" s="133"/>
      <c r="E1206" s="171"/>
      <c r="F1206" s="171"/>
      <c r="G1206" s="171"/>
    </row>
    <row r="1207" spans="2:7">
      <c r="B1207" s="172"/>
      <c r="C1207" s="173"/>
      <c r="D1207" s="133"/>
      <c r="E1207" s="171"/>
      <c r="F1207" s="171"/>
      <c r="G1207" s="171"/>
    </row>
    <row r="1208" spans="2:7">
      <c r="B1208" s="172"/>
      <c r="C1208" s="173"/>
      <c r="D1208" s="133"/>
      <c r="E1208" s="171"/>
      <c r="F1208" s="171"/>
      <c r="G1208" s="171"/>
    </row>
    <row r="1209" spans="2:7">
      <c r="B1209" s="172"/>
      <c r="C1209" s="173"/>
      <c r="D1209" s="133"/>
      <c r="E1209" s="171"/>
      <c r="F1209" s="171"/>
      <c r="G1209" s="171"/>
    </row>
    <row r="1210" spans="2:7">
      <c r="B1210" s="172"/>
      <c r="C1210" s="173"/>
      <c r="D1210" s="133"/>
      <c r="E1210" s="171"/>
      <c r="F1210" s="171"/>
      <c r="G1210" s="171"/>
    </row>
    <row r="1211" spans="2:7">
      <c r="B1211" s="172"/>
      <c r="C1211" s="173"/>
      <c r="D1211" s="133"/>
      <c r="E1211" s="171"/>
      <c r="F1211" s="171"/>
      <c r="G1211" s="171"/>
    </row>
    <row r="1212" spans="2:7">
      <c r="B1212" s="172"/>
      <c r="C1212" s="173"/>
      <c r="D1212" s="133"/>
      <c r="E1212" s="171"/>
      <c r="F1212" s="171"/>
      <c r="G1212" s="171"/>
    </row>
    <row r="1213" spans="2:7">
      <c r="B1213" s="172"/>
      <c r="C1213" s="173"/>
      <c r="D1213" s="133"/>
      <c r="E1213" s="171"/>
      <c r="F1213" s="171"/>
      <c r="G1213" s="171"/>
    </row>
    <row r="1214" spans="2:7">
      <c r="B1214" s="172"/>
      <c r="C1214" s="173"/>
      <c r="D1214" s="133"/>
      <c r="E1214" s="171"/>
      <c r="F1214" s="171"/>
      <c r="G1214" s="171"/>
    </row>
    <row r="1215" spans="2:7">
      <c r="B1215" s="172"/>
      <c r="C1215" s="173"/>
      <c r="D1215" s="133"/>
      <c r="E1215" s="171"/>
      <c r="F1215" s="171"/>
      <c r="G1215" s="171"/>
    </row>
    <row r="1216" spans="2:7">
      <c r="B1216" s="172"/>
      <c r="C1216" s="173"/>
      <c r="D1216" s="133"/>
      <c r="E1216" s="171"/>
      <c r="F1216" s="171"/>
      <c r="G1216" s="171"/>
    </row>
    <row r="1217" spans="2:7">
      <c r="B1217" s="172"/>
      <c r="C1217" s="173"/>
      <c r="D1217" s="133"/>
      <c r="E1217" s="171"/>
      <c r="F1217" s="171"/>
      <c r="G1217" s="171"/>
    </row>
    <row r="1218" spans="2:7">
      <c r="B1218" s="172"/>
      <c r="C1218" s="173"/>
      <c r="D1218" s="133"/>
      <c r="E1218" s="171"/>
      <c r="F1218" s="171"/>
      <c r="G1218" s="171"/>
    </row>
    <row r="1219" spans="2:7">
      <c r="B1219" s="172"/>
      <c r="C1219" s="173"/>
      <c r="D1219" s="133"/>
      <c r="E1219" s="171"/>
      <c r="F1219" s="171"/>
      <c r="G1219" s="171"/>
    </row>
    <row r="1220" spans="2:7">
      <c r="B1220" s="172"/>
      <c r="C1220" s="173"/>
      <c r="D1220" s="133"/>
      <c r="E1220" s="171"/>
      <c r="F1220" s="171"/>
      <c r="G1220" s="171"/>
    </row>
    <row r="1221" spans="2:7">
      <c r="B1221" s="172"/>
      <c r="C1221" s="173"/>
      <c r="D1221" s="133"/>
      <c r="E1221" s="171"/>
      <c r="F1221" s="171"/>
      <c r="G1221" s="171"/>
    </row>
    <row r="1222" spans="2:7">
      <c r="B1222" s="172"/>
      <c r="C1222" s="173"/>
      <c r="D1222" s="133"/>
      <c r="E1222" s="171"/>
      <c r="F1222" s="171"/>
      <c r="G1222" s="171"/>
    </row>
    <row r="1223" spans="2:7">
      <c r="B1223" s="172"/>
      <c r="C1223" s="173"/>
      <c r="D1223" s="133"/>
      <c r="E1223" s="171"/>
      <c r="F1223" s="171"/>
      <c r="G1223" s="171"/>
    </row>
    <row r="1224" spans="2:7">
      <c r="B1224" s="172"/>
      <c r="C1224" s="173"/>
      <c r="D1224" s="133"/>
      <c r="E1224" s="171"/>
      <c r="F1224" s="171"/>
      <c r="G1224" s="171"/>
    </row>
    <row r="1225" spans="2:7">
      <c r="B1225" s="172"/>
      <c r="C1225" s="173"/>
      <c r="D1225" s="133"/>
      <c r="E1225" s="171"/>
      <c r="F1225" s="171"/>
      <c r="G1225" s="171"/>
    </row>
    <row r="1226" spans="2:7">
      <c r="B1226" s="172"/>
      <c r="C1226" s="173"/>
      <c r="D1226" s="133"/>
      <c r="E1226" s="171"/>
      <c r="F1226" s="171"/>
      <c r="G1226" s="171"/>
    </row>
    <row r="1227" spans="2:7">
      <c r="B1227" s="172"/>
      <c r="C1227" s="173"/>
      <c r="D1227" s="133"/>
      <c r="E1227" s="171"/>
      <c r="F1227" s="171"/>
      <c r="G1227" s="171"/>
    </row>
    <row r="1228" spans="2:7">
      <c r="B1228" s="172"/>
      <c r="C1228" s="173"/>
      <c r="D1228" s="133"/>
      <c r="E1228" s="171"/>
      <c r="F1228" s="171"/>
      <c r="G1228" s="171"/>
    </row>
    <row r="1229" spans="2:7">
      <c r="B1229" s="172"/>
      <c r="C1229" s="173"/>
      <c r="D1229" s="133"/>
      <c r="E1229" s="171"/>
      <c r="F1229" s="171"/>
      <c r="G1229" s="171"/>
    </row>
    <row r="1230" spans="2:7">
      <c r="B1230" s="172"/>
      <c r="C1230" s="173"/>
      <c r="D1230" s="133"/>
      <c r="E1230" s="171"/>
      <c r="F1230" s="171"/>
      <c r="G1230" s="171"/>
    </row>
    <row r="1231" spans="2:7">
      <c r="B1231" s="172"/>
      <c r="C1231" s="173"/>
      <c r="D1231" s="133"/>
      <c r="E1231" s="171"/>
      <c r="F1231" s="171"/>
      <c r="G1231" s="171"/>
    </row>
    <row r="1232" spans="2:7">
      <c r="B1232" s="172"/>
      <c r="C1232" s="173"/>
      <c r="D1232" s="133"/>
      <c r="E1232" s="171"/>
      <c r="F1232" s="171"/>
      <c r="G1232" s="171"/>
    </row>
    <row r="1233" spans="2:7">
      <c r="B1233" s="172"/>
      <c r="C1233" s="173"/>
      <c r="D1233" s="133"/>
      <c r="E1233" s="171"/>
      <c r="F1233" s="171"/>
      <c r="G1233" s="171"/>
    </row>
    <row r="1234" spans="2:7">
      <c r="B1234" s="172"/>
      <c r="C1234" s="173"/>
      <c r="D1234" s="133"/>
      <c r="E1234" s="171"/>
      <c r="F1234" s="171"/>
      <c r="G1234" s="171"/>
    </row>
    <row r="1235" spans="2:7">
      <c r="B1235" s="172"/>
      <c r="C1235" s="173"/>
      <c r="D1235" s="133"/>
      <c r="E1235" s="171"/>
      <c r="F1235" s="171"/>
      <c r="G1235" s="171"/>
    </row>
    <row r="1236" spans="2:7">
      <c r="B1236" s="172"/>
      <c r="C1236" s="173"/>
      <c r="D1236" s="133"/>
      <c r="E1236" s="171"/>
      <c r="F1236" s="171"/>
      <c r="G1236" s="171"/>
    </row>
    <row r="1237" spans="2:7">
      <c r="B1237" s="172"/>
      <c r="C1237" s="173"/>
      <c r="D1237" s="133"/>
      <c r="E1237" s="171"/>
      <c r="F1237" s="171"/>
      <c r="G1237" s="171"/>
    </row>
    <row r="1238" spans="2:7">
      <c r="B1238" s="172"/>
      <c r="C1238" s="173"/>
      <c r="D1238" s="133"/>
      <c r="E1238" s="171"/>
      <c r="F1238" s="171"/>
      <c r="G1238" s="171"/>
    </row>
    <row r="1239" spans="2:7">
      <c r="B1239" s="172"/>
      <c r="C1239" s="173"/>
      <c r="D1239" s="133"/>
      <c r="E1239" s="171"/>
      <c r="F1239" s="171"/>
      <c r="G1239" s="171"/>
    </row>
    <row r="1240" spans="2:7">
      <c r="B1240" s="172"/>
      <c r="C1240" s="173"/>
      <c r="D1240" s="133"/>
      <c r="E1240" s="171"/>
      <c r="F1240" s="171"/>
      <c r="G1240" s="171"/>
    </row>
    <row r="1241" spans="2:7">
      <c r="B1241" s="172"/>
      <c r="C1241" s="173"/>
      <c r="D1241" s="133"/>
      <c r="E1241" s="171"/>
      <c r="F1241" s="171"/>
      <c r="G1241" s="171"/>
    </row>
    <row r="1242" spans="2:7">
      <c r="B1242" s="172"/>
      <c r="C1242" s="173"/>
      <c r="D1242" s="133"/>
      <c r="E1242" s="171"/>
      <c r="F1242" s="171"/>
      <c r="G1242" s="171"/>
    </row>
    <row r="1243" spans="2:7">
      <c r="B1243" s="172"/>
      <c r="C1243" s="173"/>
      <c r="D1243" s="133"/>
      <c r="E1243" s="171"/>
      <c r="F1243" s="171"/>
      <c r="G1243" s="171"/>
    </row>
    <row r="1244" spans="2:7">
      <c r="B1244" s="172"/>
      <c r="C1244" s="173"/>
      <c r="D1244" s="133"/>
      <c r="E1244" s="171"/>
      <c r="F1244" s="171"/>
      <c r="G1244" s="171"/>
    </row>
    <row r="1245" spans="2:7">
      <c r="B1245" s="172"/>
      <c r="C1245" s="173"/>
      <c r="D1245" s="133"/>
      <c r="E1245" s="171"/>
      <c r="F1245" s="171"/>
      <c r="G1245" s="171"/>
    </row>
    <row r="1246" spans="2:7">
      <c r="B1246" s="172"/>
      <c r="C1246" s="173"/>
      <c r="D1246" s="133"/>
      <c r="E1246" s="171"/>
      <c r="F1246" s="171"/>
      <c r="G1246" s="171"/>
    </row>
    <row r="1247" spans="2:7">
      <c r="B1247" s="172"/>
      <c r="C1247" s="173"/>
      <c r="D1247" s="133"/>
      <c r="E1247" s="171"/>
      <c r="F1247" s="171"/>
      <c r="G1247" s="171"/>
    </row>
    <row r="1248" spans="2:7">
      <c r="B1248" s="172"/>
      <c r="C1248" s="173"/>
      <c r="D1248" s="133"/>
      <c r="E1248" s="171"/>
      <c r="F1248" s="171"/>
      <c r="G1248" s="171"/>
    </row>
    <row r="1249" spans="2:7">
      <c r="B1249" s="172"/>
      <c r="C1249" s="173"/>
      <c r="D1249" s="133"/>
      <c r="E1249" s="171"/>
      <c r="F1249" s="171"/>
      <c r="G1249" s="171"/>
    </row>
    <row r="1250" spans="2:7">
      <c r="B1250" s="172"/>
      <c r="C1250" s="173"/>
      <c r="D1250" s="133"/>
      <c r="E1250" s="171"/>
      <c r="F1250" s="171"/>
      <c r="G1250" s="171"/>
    </row>
    <row r="1251" spans="2:7">
      <c r="B1251" s="172"/>
      <c r="C1251" s="173"/>
      <c r="D1251" s="133"/>
      <c r="E1251" s="171"/>
      <c r="F1251" s="171"/>
      <c r="G1251" s="171"/>
    </row>
    <row r="1252" spans="2:7">
      <c r="B1252" s="172"/>
      <c r="C1252" s="173"/>
      <c r="D1252" s="133"/>
      <c r="E1252" s="171"/>
      <c r="F1252" s="171"/>
      <c r="G1252" s="171"/>
    </row>
    <row r="1253" spans="2:7">
      <c r="B1253" s="172"/>
      <c r="C1253" s="173"/>
      <c r="D1253" s="133"/>
      <c r="E1253" s="171"/>
      <c r="F1253" s="171"/>
      <c r="G1253" s="171"/>
    </row>
    <row r="1254" spans="2:7">
      <c r="B1254" s="172"/>
      <c r="C1254" s="173"/>
      <c r="D1254" s="133"/>
      <c r="E1254" s="171"/>
      <c r="F1254" s="171"/>
      <c r="G1254" s="171"/>
    </row>
    <row r="1255" spans="2:7">
      <c r="B1255" s="172"/>
      <c r="C1255" s="173"/>
      <c r="D1255" s="133"/>
      <c r="E1255" s="171"/>
      <c r="F1255" s="171"/>
      <c r="G1255" s="171"/>
    </row>
    <row r="1256" spans="2:7">
      <c r="B1256" s="172"/>
      <c r="C1256" s="173"/>
      <c r="D1256" s="133"/>
      <c r="E1256" s="171"/>
      <c r="F1256" s="171"/>
      <c r="G1256" s="171"/>
    </row>
    <row r="1257" spans="2:7">
      <c r="B1257" s="172"/>
      <c r="C1257" s="173"/>
      <c r="D1257" s="133"/>
      <c r="E1257" s="171"/>
      <c r="F1257" s="171"/>
      <c r="G1257" s="171"/>
    </row>
    <row r="1258" spans="2:7">
      <c r="B1258" s="172"/>
      <c r="C1258" s="173"/>
      <c r="D1258" s="133"/>
      <c r="E1258" s="171"/>
      <c r="F1258" s="171"/>
      <c r="G1258" s="171"/>
    </row>
    <row r="1259" spans="2:7">
      <c r="B1259" s="172"/>
      <c r="C1259" s="173"/>
      <c r="D1259" s="133"/>
      <c r="E1259" s="171"/>
      <c r="F1259" s="171"/>
      <c r="G1259" s="171"/>
    </row>
    <row r="1260" spans="2:7">
      <c r="B1260" s="172"/>
      <c r="C1260" s="173"/>
      <c r="D1260" s="133"/>
      <c r="E1260" s="171"/>
      <c r="F1260" s="171"/>
      <c r="G1260" s="171"/>
    </row>
    <row r="1261" spans="2:7">
      <c r="B1261" s="172"/>
      <c r="C1261" s="173"/>
      <c r="D1261" s="133"/>
      <c r="E1261" s="171"/>
      <c r="F1261" s="171"/>
      <c r="G1261" s="171"/>
    </row>
    <row r="1262" spans="2:7">
      <c r="B1262" s="172"/>
      <c r="C1262" s="173"/>
      <c r="D1262" s="133"/>
      <c r="E1262" s="171"/>
      <c r="F1262" s="171"/>
      <c r="G1262" s="171"/>
    </row>
    <row r="1263" spans="2:7">
      <c r="B1263" s="172"/>
      <c r="C1263" s="173"/>
      <c r="D1263" s="133"/>
      <c r="E1263" s="171"/>
      <c r="F1263" s="171"/>
      <c r="G1263" s="171"/>
    </row>
    <row r="1264" spans="2:7">
      <c r="B1264" s="172"/>
      <c r="C1264" s="173"/>
      <c r="D1264" s="133"/>
      <c r="E1264" s="171"/>
      <c r="F1264" s="171"/>
      <c r="G1264" s="171"/>
    </row>
    <row r="1265" spans="2:7">
      <c r="B1265" s="172"/>
      <c r="C1265" s="173"/>
      <c r="D1265" s="133"/>
      <c r="E1265" s="171"/>
      <c r="F1265" s="171"/>
      <c r="G1265" s="171"/>
    </row>
    <row r="1266" spans="2:7">
      <c r="B1266" s="172"/>
      <c r="C1266" s="173"/>
      <c r="D1266" s="133"/>
      <c r="E1266" s="171"/>
      <c r="F1266" s="171"/>
      <c r="G1266" s="171"/>
    </row>
    <row r="1267" spans="2:7">
      <c r="B1267" s="172"/>
      <c r="C1267" s="173"/>
      <c r="D1267" s="133"/>
      <c r="E1267" s="171"/>
      <c r="F1267" s="171"/>
      <c r="G1267" s="171"/>
    </row>
    <row r="1268" spans="2:7">
      <c r="B1268" s="172"/>
      <c r="C1268" s="173"/>
      <c r="D1268" s="133"/>
      <c r="E1268" s="171"/>
      <c r="F1268" s="171"/>
      <c r="G1268" s="171"/>
    </row>
    <row r="1269" spans="2:7">
      <c r="B1269" s="172"/>
      <c r="C1269" s="173"/>
      <c r="D1269" s="133"/>
      <c r="E1269" s="171"/>
      <c r="F1269" s="171"/>
      <c r="G1269" s="171"/>
    </row>
    <row r="1270" spans="2:7">
      <c r="B1270" s="172"/>
      <c r="C1270" s="173"/>
      <c r="D1270" s="133"/>
      <c r="E1270" s="171"/>
      <c r="F1270" s="171"/>
      <c r="G1270" s="171"/>
    </row>
    <row r="1271" spans="2:7">
      <c r="B1271" s="172"/>
      <c r="C1271" s="173"/>
      <c r="D1271" s="133"/>
      <c r="E1271" s="171"/>
      <c r="F1271" s="171"/>
      <c r="G1271" s="171"/>
    </row>
    <row r="1272" spans="2:7">
      <c r="B1272" s="172"/>
      <c r="C1272" s="173"/>
      <c r="D1272" s="133"/>
      <c r="E1272" s="171"/>
      <c r="F1272" s="171"/>
      <c r="G1272" s="171"/>
    </row>
    <row r="1273" spans="2:7">
      <c r="B1273" s="172"/>
      <c r="C1273" s="173"/>
      <c r="D1273" s="133"/>
      <c r="E1273" s="171"/>
      <c r="F1273" s="171"/>
      <c r="G1273" s="171"/>
    </row>
    <row r="1274" spans="2:7">
      <c r="B1274" s="172"/>
      <c r="C1274" s="173"/>
      <c r="D1274" s="133"/>
      <c r="E1274" s="171"/>
      <c r="F1274" s="171"/>
      <c r="G1274" s="171"/>
    </row>
    <row r="1275" spans="2:7">
      <c r="B1275" s="172"/>
      <c r="C1275" s="173"/>
      <c r="D1275" s="133"/>
      <c r="E1275" s="171"/>
      <c r="F1275" s="171"/>
      <c r="G1275" s="171"/>
    </row>
    <row r="1276" spans="2:7">
      <c r="B1276" s="172"/>
      <c r="C1276" s="173"/>
      <c r="D1276" s="133"/>
      <c r="E1276" s="171"/>
      <c r="F1276" s="171"/>
      <c r="G1276" s="171"/>
    </row>
    <row r="1277" spans="2:7">
      <c r="B1277" s="172"/>
      <c r="C1277" s="173"/>
      <c r="D1277" s="133"/>
      <c r="E1277" s="171"/>
      <c r="F1277" s="171"/>
      <c r="G1277" s="171"/>
    </row>
    <row r="1278" spans="2:7">
      <c r="B1278" s="172"/>
      <c r="C1278" s="173"/>
      <c r="D1278" s="133"/>
      <c r="E1278" s="171"/>
      <c r="F1278" s="171"/>
      <c r="G1278" s="171"/>
    </row>
    <row r="1279" spans="2:7">
      <c r="B1279" s="172"/>
      <c r="C1279" s="173"/>
      <c r="D1279" s="133"/>
      <c r="E1279" s="171"/>
      <c r="F1279" s="171"/>
      <c r="G1279" s="171"/>
    </row>
    <row r="1280" spans="2:7">
      <c r="B1280" s="172"/>
      <c r="C1280" s="173"/>
      <c r="D1280" s="133"/>
      <c r="E1280" s="171"/>
      <c r="F1280" s="171"/>
      <c r="G1280" s="171"/>
    </row>
    <row r="1281" spans="2:7">
      <c r="B1281" s="172"/>
      <c r="C1281" s="173"/>
      <c r="D1281" s="133"/>
      <c r="E1281" s="171"/>
      <c r="F1281" s="171"/>
      <c r="G1281" s="171"/>
    </row>
    <row r="1282" spans="2:7">
      <c r="B1282" s="172"/>
      <c r="C1282" s="173"/>
      <c r="D1282" s="133"/>
      <c r="E1282" s="171"/>
      <c r="F1282" s="171"/>
      <c r="G1282" s="171"/>
    </row>
    <row r="1283" spans="2:7">
      <c r="B1283" s="172"/>
      <c r="C1283" s="173"/>
      <c r="D1283" s="133"/>
      <c r="E1283" s="171"/>
      <c r="F1283" s="171"/>
      <c r="G1283" s="171"/>
    </row>
    <row r="1284" spans="2:7">
      <c r="B1284" s="172"/>
      <c r="C1284" s="173"/>
      <c r="D1284" s="133"/>
      <c r="E1284" s="171"/>
      <c r="F1284" s="171"/>
      <c r="G1284" s="171"/>
    </row>
    <row r="1285" spans="2:7">
      <c r="B1285" s="172"/>
      <c r="C1285" s="173"/>
      <c r="D1285" s="133"/>
      <c r="E1285" s="171"/>
      <c r="F1285" s="171"/>
      <c r="G1285" s="171"/>
    </row>
    <row r="1286" spans="2:7">
      <c r="B1286" s="172"/>
      <c r="C1286" s="173"/>
      <c r="D1286" s="133"/>
      <c r="E1286" s="171"/>
      <c r="F1286" s="171"/>
      <c r="G1286" s="171"/>
    </row>
    <row r="1287" spans="2:7">
      <c r="B1287" s="172"/>
      <c r="C1287" s="173"/>
      <c r="D1287" s="133"/>
      <c r="E1287" s="171"/>
      <c r="F1287" s="171"/>
      <c r="G1287" s="171"/>
    </row>
    <row r="1288" spans="2:7">
      <c r="B1288" s="172"/>
      <c r="C1288" s="173"/>
      <c r="D1288" s="133"/>
      <c r="E1288" s="171"/>
      <c r="F1288" s="171"/>
      <c r="G1288" s="171"/>
    </row>
    <row r="1289" spans="2:7">
      <c r="B1289" s="172"/>
      <c r="C1289" s="173"/>
      <c r="D1289" s="133"/>
      <c r="E1289" s="171"/>
      <c r="F1289" s="171"/>
      <c r="G1289" s="171"/>
    </row>
    <row r="1290" spans="2:7">
      <c r="B1290" s="172"/>
      <c r="C1290" s="173"/>
      <c r="D1290" s="133"/>
      <c r="E1290" s="171"/>
      <c r="F1290" s="171"/>
      <c r="G1290" s="171"/>
    </row>
    <row r="1291" spans="2:7">
      <c r="B1291" s="172"/>
      <c r="C1291" s="173"/>
      <c r="D1291" s="133"/>
      <c r="E1291" s="171"/>
      <c r="F1291" s="171"/>
      <c r="G1291" s="171"/>
    </row>
    <row r="1292" spans="2:7">
      <c r="B1292" s="172"/>
      <c r="C1292" s="173"/>
      <c r="D1292" s="133"/>
      <c r="E1292" s="171"/>
      <c r="F1292" s="171"/>
      <c r="G1292" s="171"/>
    </row>
    <row r="1293" spans="2:7">
      <c r="B1293" s="172"/>
      <c r="C1293" s="173"/>
      <c r="D1293" s="133"/>
      <c r="E1293" s="171"/>
      <c r="F1293" s="171"/>
      <c r="G1293" s="171"/>
    </row>
    <row r="1294" spans="2:7">
      <c r="B1294" s="172"/>
      <c r="C1294" s="173"/>
      <c r="D1294" s="133"/>
      <c r="E1294" s="171"/>
      <c r="F1294" s="171"/>
      <c r="G1294" s="171"/>
    </row>
    <row r="1295" spans="2:7">
      <c r="B1295" s="172"/>
      <c r="C1295" s="173"/>
      <c r="D1295" s="133"/>
      <c r="E1295" s="171"/>
      <c r="F1295" s="171"/>
      <c r="G1295" s="171"/>
    </row>
    <row r="1296" spans="2:7">
      <c r="B1296" s="172"/>
      <c r="C1296" s="173"/>
      <c r="D1296" s="133"/>
      <c r="E1296" s="171"/>
      <c r="F1296" s="171"/>
      <c r="G1296" s="171"/>
    </row>
    <row r="1297" spans="2:7">
      <c r="B1297" s="172"/>
      <c r="C1297" s="173"/>
      <c r="D1297" s="133"/>
      <c r="E1297" s="171"/>
      <c r="F1297" s="171"/>
      <c r="G1297" s="171"/>
    </row>
    <row r="1298" spans="2:7">
      <c r="B1298" s="172"/>
      <c r="C1298" s="173"/>
      <c r="D1298" s="133"/>
      <c r="E1298" s="171"/>
      <c r="F1298" s="171"/>
      <c r="G1298" s="171"/>
    </row>
    <row r="1299" spans="2:7">
      <c r="B1299" s="172"/>
      <c r="C1299" s="173"/>
      <c r="D1299" s="133"/>
      <c r="E1299" s="171"/>
      <c r="F1299" s="171"/>
      <c r="G1299" s="171"/>
    </row>
    <row r="1300" spans="2:7">
      <c r="B1300" s="172"/>
      <c r="C1300" s="173"/>
      <c r="D1300" s="133"/>
      <c r="E1300" s="171"/>
      <c r="F1300" s="171"/>
      <c r="G1300" s="171"/>
    </row>
    <row r="1301" spans="2:7">
      <c r="B1301" s="172"/>
      <c r="C1301" s="173"/>
      <c r="D1301" s="133"/>
      <c r="E1301" s="171"/>
      <c r="F1301" s="171"/>
      <c r="G1301" s="171"/>
    </row>
    <row r="1302" spans="2:7">
      <c r="B1302" s="172"/>
      <c r="C1302" s="173"/>
      <c r="D1302" s="133"/>
      <c r="E1302" s="171"/>
      <c r="F1302" s="171"/>
      <c r="G1302" s="171"/>
    </row>
    <row r="1303" spans="2:7">
      <c r="B1303" s="172"/>
      <c r="C1303" s="173"/>
      <c r="D1303" s="133"/>
      <c r="E1303" s="171"/>
      <c r="F1303" s="171"/>
      <c r="G1303" s="171"/>
    </row>
    <row r="1304" spans="2:7">
      <c r="B1304" s="172"/>
      <c r="C1304" s="173"/>
      <c r="D1304" s="133"/>
      <c r="E1304" s="171"/>
      <c r="F1304" s="171"/>
      <c r="G1304" s="171"/>
    </row>
    <row r="1305" spans="2:7">
      <c r="B1305" s="172"/>
      <c r="C1305" s="173"/>
      <c r="D1305" s="133"/>
      <c r="E1305" s="171"/>
      <c r="F1305" s="171"/>
      <c r="G1305" s="171"/>
    </row>
    <row r="1306" spans="2:7">
      <c r="B1306" s="172"/>
      <c r="C1306" s="173"/>
      <c r="D1306" s="133"/>
      <c r="E1306" s="171"/>
      <c r="F1306" s="171"/>
      <c r="G1306" s="171"/>
    </row>
    <row r="1307" spans="2:7">
      <c r="B1307" s="172"/>
      <c r="C1307" s="173"/>
      <c r="D1307" s="133"/>
      <c r="E1307" s="171"/>
      <c r="F1307" s="171"/>
      <c r="G1307" s="171"/>
    </row>
    <row r="1308" spans="2:7">
      <c r="B1308" s="172"/>
      <c r="C1308" s="173"/>
      <c r="D1308" s="133"/>
      <c r="E1308" s="171"/>
      <c r="F1308" s="171"/>
      <c r="G1308" s="171"/>
    </row>
    <row r="1309" spans="2:7">
      <c r="B1309" s="172"/>
      <c r="C1309" s="173"/>
      <c r="D1309" s="133"/>
      <c r="E1309" s="171"/>
      <c r="F1309" s="171"/>
      <c r="G1309" s="171"/>
    </row>
    <row r="1310" spans="2:7">
      <c r="B1310" s="172"/>
      <c r="C1310" s="173"/>
      <c r="D1310" s="133"/>
      <c r="E1310" s="171"/>
      <c r="F1310" s="171"/>
      <c r="G1310" s="171"/>
    </row>
    <row r="1311" spans="2:7">
      <c r="B1311" s="172"/>
      <c r="C1311" s="173"/>
      <c r="D1311" s="133"/>
      <c r="E1311" s="171"/>
      <c r="F1311" s="171"/>
      <c r="G1311" s="171"/>
    </row>
    <row r="1312" spans="2:7">
      <c r="B1312" s="172"/>
      <c r="C1312" s="173"/>
      <c r="D1312" s="133"/>
      <c r="E1312" s="171"/>
      <c r="F1312" s="171"/>
      <c r="G1312" s="171"/>
    </row>
    <row r="1313" spans="2:7">
      <c r="B1313" s="172"/>
      <c r="C1313" s="173"/>
      <c r="D1313" s="133"/>
      <c r="E1313" s="171"/>
      <c r="F1313" s="171"/>
      <c r="G1313" s="171"/>
    </row>
    <row r="1314" spans="2:7">
      <c r="B1314" s="172"/>
      <c r="C1314" s="173"/>
      <c r="D1314" s="133"/>
      <c r="E1314" s="171"/>
      <c r="F1314" s="171"/>
      <c r="G1314" s="171"/>
    </row>
    <row r="1315" spans="2:7">
      <c r="B1315" s="172"/>
      <c r="C1315" s="173"/>
      <c r="D1315" s="133"/>
      <c r="E1315" s="171"/>
      <c r="F1315" s="171"/>
      <c r="G1315" s="171"/>
    </row>
    <row r="1316" spans="2:7">
      <c r="B1316" s="172"/>
      <c r="C1316" s="173"/>
      <c r="D1316" s="133"/>
      <c r="E1316" s="171"/>
      <c r="F1316" s="171"/>
      <c r="G1316" s="171"/>
    </row>
    <row r="1317" spans="2:7">
      <c r="B1317" s="172"/>
      <c r="C1317" s="173"/>
      <c r="D1317" s="133"/>
      <c r="E1317" s="171"/>
      <c r="F1317" s="171"/>
      <c r="G1317" s="171"/>
    </row>
    <row r="1318" spans="2:7">
      <c r="B1318" s="172"/>
      <c r="C1318" s="173"/>
      <c r="D1318" s="133"/>
      <c r="E1318" s="171"/>
      <c r="F1318" s="171"/>
      <c r="G1318" s="171"/>
    </row>
    <row r="1319" spans="2:7">
      <c r="B1319" s="172"/>
      <c r="C1319" s="173"/>
      <c r="D1319" s="133"/>
      <c r="E1319" s="171"/>
      <c r="F1319" s="171"/>
      <c r="G1319" s="171"/>
    </row>
    <row r="1320" spans="2:7">
      <c r="B1320" s="172"/>
      <c r="C1320" s="173"/>
      <c r="D1320" s="133"/>
      <c r="E1320" s="171"/>
      <c r="F1320" s="171"/>
      <c r="G1320" s="171"/>
    </row>
    <row r="1321" spans="2:7">
      <c r="B1321" s="172"/>
      <c r="C1321" s="173"/>
      <c r="D1321" s="133"/>
      <c r="E1321" s="171"/>
      <c r="F1321" s="171"/>
      <c r="G1321" s="171"/>
    </row>
    <row r="1322" spans="2:7">
      <c r="B1322" s="172"/>
      <c r="C1322" s="173"/>
      <c r="D1322" s="133"/>
      <c r="E1322" s="171"/>
      <c r="F1322" s="171"/>
      <c r="G1322" s="171"/>
    </row>
    <row r="1323" spans="2:7">
      <c r="B1323" s="172"/>
      <c r="C1323" s="173"/>
      <c r="D1323" s="133"/>
      <c r="E1323" s="171"/>
      <c r="F1323" s="171"/>
      <c r="G1323" s="171"/>
    </row>
    <row r="1324" spans="2:7">
      <c r="B1324" s="172"/>
      <c r="C1324" s="173"/>
      <c r="D1324" s="133"/>
      <c r="E1324" s="171"/>
      <c r="F1324" s="171"/>
      <c r="G1324" s="171"/>
    </row>
    <row r="1325" spans="2:7">
      <c r="B1325" s="172"/>
      <c r="C1325" s="173"/>
      <c r="D1325" s="133"/>
      <c r="E1325" s="171"/>
      <c r="F1325" s="171"/>
      <c r="G1325" s="171"/>
    </row>
    <row r="1326" spans="2:7">
      <c r="B1326" s="172"/>
      <c r="C1326" s="173"/>
      <c r="D1326" s="133"/>
      <c r="E1326" s="171"/>
      <c r="F1326" s="171"/>
      <c r="G1326" s="171"/>
    </row>
    <row r="1327" spans="2:7">
      <c r="B1327" s="172"/>
      <c r="C1327" s="173"/>
      <c r="D1327" s="133"/>
      <c r="E1327" s="171"/>
      <c r="F1327" s="171"/>
      <c r="G1327" s="171"/>
    </row>
    <row r="1328" spans="2:7">
      <c r="B1328" s="172"/>
      <c r="C1328" s="173"/>
      <c r="D1328" s="133"/>
      <c r="E1328" s="171"/>
      <c r="F1328" s="171"/>
      <c r="G1328" s="171"/>
    </row>
    <row r="1329" spans="2:7">
      <c r="B1329" s="172"/>
      <c r="C1329" s="173"/>
      <c r="D1329" s="133"/>
      <c r="E1329" s="171"/>
      <c r="F1329" s="171"/>
      <c r="G1329" s="171"/>
    </row>
    <row r="1330" spans="2:7">
      <c r="B1330" s="172"/>
      <c r="C1330" s="173"/>
      <c r="D1330" s="133"/>
      <c r="E1330" s="171"/>
      <c r="F1330" s="171"/>
      <c r="G1330" s="171"/>
    </row>
    <row r="1331" spans="2:7">
      <c r="B1331" s="172"/>
      <c r="C1331" s="173"/>
      <c r="D1331" s="133"/>
      <c r="E1331" s="171"/>
      <c r="F1331" s="171"/>
      <c r="G1331" s="171"/>
    </row>
    <row r="1332" spans="2:7">
      <c r="B1332" s="172"/>
      <c r="C1332" s="173"/>
      <c r="D1332" s="133"/>
      <c r="E1332" s="171"/>
      <c r="F1332" s="171"/>
      <c r="G1332" s="171"/>
    </row>
    <row r="1333" spans="2:7">
      <c r="B1333" s="172"/>
      <c r="C1333" s="173"/>
      <c r="D1333" s="133"/>
      <c r="E1333" s="171"/>
      <c r="F1333" s="171"/>
      <c r="G1333" s="171"/>
    </row>
    <row r="1334" spans="2:7">
      <c r="B1334" s="172"/>
      <c r="C1334" s="173"/>
      <c r="D1334" s="133"/>
      <c r="E1334" s="171"/>
      <c r="F1334" s="171"/>
      <c r="G1334" s="171"/>
    </row>
    <row r="1335" spans="2:7">
      <c r="B1335" s="172"/>
      <c r="C1335" s="173"/>
      <c r="D1335" s="133"/>
      <c r="E1335" s="171"/>
      <c r="F1335" s="171"/>
      <c r="G1335" s="171"/>
    </row>
    <row r="1336" spans="2:7">
      <c r="B1336" s="172"/>
      <c r="C1336" s="173"/>
      <c r="D1336" s="133"/>
      <c r="E1336" s="171"/>
      <c r="F1336" s="171"/>
      <c r="G1336" s="171"/>
    </row>
    <row r="1337" spans="2:7">
      <c r="B1337" s="172"/>
      <c r="C1337" s="173"/>
      <c r="D1337" s="133"/>
      <c r="E1337" s="171"/>
      <c r="F1337" s="171"/>
      <c r="G1337" s="171"/>
    </row>
    <row r="1338" spans="2:7">
      <c r="B1338" s="172"/>
      <c r="C1338" s="173"/>
      <c r="D1338" s="133"/>
      <c r="E1338" s="171"/>
      <c r="F1338" s="171"/>
      <c r="G1338" s="171"/>
    </row>
    <row r="1339" spans="2:7">
      <c r="B1339" s="172"/>
      <c r="C1339" s="173"/>
      <c r="D1339" s="133"/>
      <c r="E1339" s="171"/>
      <c r="F1339" s="171"/>
      <c r="G1339" s="171"/>
    </row>
    <row r="1340" spans="2:7">
      <c r="B1340" s="172"/>
      <c r="C1340" s="173"/>
      <c r="D1340" s="133"/>
      <c r="E1340" s="171"/>
      <c r="F1340" s="171"/>
      <c r="G1340" s="171"/>
    </row>
    <row r="1341" spans="2:7">
      <c r="B1341" s="172"/>
      <c r="C1341" s="173"/>
      <c r="D1341" s="133"/>
      <c r="E1341" s="171"/>
      <c r="F1341" s="171"/>
      <c r="G1341" s="171"/>
    </row>
    <row r="1342" spans="2:7">
      <c r="B1342" s="172"/>
      <c r="C1342" s="173"/>
      <c r="D1342" s="133"/>
      <c r="E1342" s="171"/>
      <c r="F1342" s="171"/>
      <c r="G1342" s="171"/>
    </row>
    <row r="1343" spans="2:7">
      <c r="B1343" s="172"/>
      <c r="C1343" s="173"/>
      <c r="D1343" s="133"/>
      <c r="E1343" s="171"/>
      <c r="F1343" s="171"/>
      <c r="G1343" s="171"/>
    </row>
    <row r="1344" spans="2:7">
      <c r="B1344" s="172"/>
      <c r="C1344" s="173"/>
      <c r="D1344" s="133"/>
      <c r="E1344" s="171"/>
      <c r="F1344" s="171"/>
      <c r="G1344" s="171"/>
    </row>
    <row r="1345" spans="2:7">
      <c r="B1345" s="172"/>
      <c r="C1345" s="173"/>
      <c r="D1345" s="133"/>
      <c r="E1345" s="171"/>
      <c r="F1345" s="171"/>
      <c r="G1345" s="171"/>
    </row>
    <row r="1346" spans="2:7">
      <c r="B1346" s="172"/>
      <c r="C1346" s="173"/>
      <c r="D1346" s="133"/>
      <c r="E1346" s="171"/>
      <c r="F1346" s="171"/>
      <c r="G1346" s="171"/>
    </row>
    <row r="1347" spans="2:7">
      <c r="B1347" s="172"/>
      <c r="C1347" s="173"/>
      <c r="D1347" s="133"/>
      <c r="E1347" s="171"/>
      <c r="F1347" s="171"/>
      <c r="G1347" s="171"/>
    </row>
    <row r="1348" spans="2:7">
      <c r="B1348" s="172"/>
      <c r="C1348" s="173"/>
      <c r="D1348" s="133"/>
      <c r="E1348" s="171"/>
      <c r="F1348" s="171"/>
      <c r="G1348" s="171"/>
    </row>
    <row r="1349" spans="2:7">
      <c r="B1349" s="172"/>
      <c r="C1349" s="173"/>
      <c r="D1349" s="133"/>
      <c r="E1349" s="171"/>
      <c r="F1349" s="171"/>
      <c r="G1349" s="171"/>
    </row>
    <row r="1350" spans="2:7">
      <c r="B1350" s="172"/>
      <c r="C1350" s="173"/>
      <c r="D1350" s="133"/>
      <c r="E1350" s="171"/>
      <c r="F1350" s="171"/>
      <c r="G1350" s="171"/>
    </row>
    <row r="1351" spans="2:7">
      <c r="B1351" s="172"/>
      <c r="C1351" s="173"/>
      <c r="D1351" s="133"/>
      <c r="E1351" s="171"/>
      <c r="F1351" s="171"/>
      <c r="G1351" s="171"/>
    </row>
    <row r="1352" spans="2:7">
      <c r="B1352" s="172"/>
      <c r="C1352" s="173"/>
      <c r="D1352" s="133"/>
      <c r="E1352" s="171"/>
      <c r="F1352" s="171"/>
      <c r="G1352" s="171"/>
    </row>
    <row r="1353" spans="2:7">
      <c r="B1353" s="172"/>
      <c r="C1353" s="173"/>
      <c r="D1353" s="133"/>
      <c r="E1353" s="171"/>
      <c r="F1353" s="171"/>
      <c r="G1353" s="171"/>
    </row>
    <row r="1354" spans="2:7">
      <c r="B1354" s="172"/>
      <c r="C1354" s="173"/>
      <c r="D1354" s="133"/>
      <c r="E1354" s="171"/>
      <c r="F1354" s="171"/>
      <c r="G1354" s="171"/>
    </row>
    <row r="1355" spans="2:7">
      <c r="B1355" s="172"/>
      <c r="C1355" s="173"/>
      <c r="D1355" s="133"/>
      <c r="E1355" s="171"/>
      <c r="F1355" s="171"/>
      <c r="G1355" s="171"/>
    </row>
    <row r="1356" spans="2:7">
      <c r="B1356" s="172"/>
      <c r="C1356" s="173"/>
      <c r="D1356" s="133"/>
      <c r="E1356" s="171"/>
      <c r="F1356" s="171"/>
      <c r="G1356" s="171"/>
    </row>
    <row r="1357" spans="2:7">
      <c r="B1357" s="172"/>
      <c r="C1357" s="173"/>
      <c r="D1357" s="133"/>
      <c r="E1357" s="171"/>
      <c r="F1357" s="171"/>
      <c r="G1357" s="171"/>
    </row>
    <row r="1358" spans="2:7">
      <c r="B1358" s="172"/>
      <c r="C1358" s="173"/>
      <c r="D1358" s="133"/>
      <c r="E1358" s="171"/>
      <c r="F1358" s="171"/>
      <c r="G1358" s="171"/>
    </row>
    <row r="1359" spans="2:7">
      <c r="B1359" s="172"/>
      <c r="C1359" s="173"/>
      <c r="D1359" s="133"/>
      <c r="E1359" s="171"/>
      <c r="F1359" s="171"/>
      <c r="G1359" s="171"/>
    </row>
    <row r="1360" spans="2:7">
      <c r="B1360" s="172"/>
      <c r="C1360" s="173"/>
      <c r="D1360" s="133"/>
      <c r="E1360" s="171"/>
      <c r="F1360" s="171"/>
      <c r="G1360" s="171"/>
    </row>
    <row r="1361" spans="2:7">
      <c r="B1361" s="172"/>
      <c r="C1361" s="173"/>
      <c r="D1361" s="133"/>
      <c r="E1361" s="171"/>
      <c r="F1361" s="171"/>
      <c r="G1361" s="171"/>
    </row>
    <row r="1362" spans="2:7">
      <c r="B1362" s="172"/>
      <c r="C1362" s="173"/>
      <c r="D1362" s="133"/>
      <c r="E1362" s="171"/>
      <c r="F1362" s="171"/>
      <c r="G1362" s="171"/>
    </row>
    <row r="1363" spans="2:7">
      <c r="B1363" s="172"/>
      <c r="C1363" s="173"/>
      <c r="D1363" s="133"/>
      <c r="E1363" s="171"/>
      <c r="F1363" s="171"/>
      <c r="G1363" s="171"/>
    </row>
    <row r="1364" spans="2:7">
      <c r="B1364" s="172"/>
      <c r="C1364" s="173"/>
      <c r="D1364" s="133"/>
      <c r="E1364" s="171"/>
      <c r="F1364" s="171"/>
      <c r="G1364" s="171"/>
    </row>
    <row r="1365" spans="2:7">
      <c r="B1365" s="172"/>
      <c r="C1365" s="173"/>
      <c r="D1365" s="133"/>
      <c r="E1365" s="171"/>
      <c r="F1365" s="171"/>
      <c r="G1365" s="171"/>
    </row>
    <row r="1366" spans="2:7">
      <c r="B1366" s="172"/>
      <c r="C1366" s="173"/>
      <c r="D1366" s="133"/>
      <c r="E1366" s="171"/>
      <c r="F1366" s="171"/>
      <c r="G1366" s="171"/>
    </row>
    <row r="1367" spans="2:7">
      <c r="B1367" s="172"/>
      <c r="C1367" s="173"/>
      <c r="D1367" s="133"/>
      <c r="E1367" s="171"/>
      <c r="F1367" s="171"/>
      <c r="G1367" s="171"/>
    </row>
    <row r="1368" spans="2:7">
      <c r="B1368" s="172"/>
      <c r="C1368" s="173"/>
      <c r="D1368" s="133"/>
      <c r="E1368" s="171"/>
      <c r="F1368" s="171"/>
      <c r="G1368" s="171"/>
    </row>
    <row r="1369" spans="2:7">
      <c r="B1369" s="172"/>
      <c r="C1369" s="173"/>
      <c r="D1369" s="133"/>
      <c r="E1369" s="171"/>
      <c r="F1369" s="171"/>
      <c r="G1369" s="171"/>
    </row>
    <row r="1370" spans="2:7">
      <c r="B1370" s="172"/>
      <c r="C1370" s="173"/>
      <c r="D1370" s="133"/>
      <c r="E1370" s="171"/>
      <c r="F1370" s="171"/>
      <c r="G1370" s="171"/>
    </row>
    <row r="1371" spans="2:7">
      <c r="B1371" s="172"/>
      <c r="C1371" s="173"/>
      <c r="D1371" s="133"/>
      <c r="E1371" s="171"/>
      <c r="F1371" s="171"/>
      <c r="G1371" s="171"/>
    </row>
    <row r="1372" spans="2:7">
      <c r="B1372" s="172"/>
      <c r="C1372" s="173"/>
      <c r="D1372" s="133"/>
      <c r="E1372" s="171"/>
      <c r="F1372" s="171"/>
      <c r="G1372" s="171"/>
    </row>
    <row r="1373" spans="2:7">
      <c r="B1373" s="172"/>
      <c r="C1373" s="173"/>
      <c r="D1373" s="133"/>
      <c r="E1373" s="171"/>
      <c r="F1373" s="171"/>
      <c r="G1373" s="171"/>
    </row>
    <row r="1374" spans="2:7">
      <c r="B1374" s="172"/>
      <c r="C1374" s="173"/>
      <c r="D1374" s="133"/>
      <c r="E1374" s="171"/>
      <c r="F1374" s="171"/>
      <c r="G1374" s="171"/>
    </row>
    <row r="1375" spans="2:7">
      <c r="B1375" s="172"/>
      <c r="C1375" s="173"/>
      <c r="D1375" s="133"/>
      <c r="E1375" s="171"/>
      <c r="F1375" s="171"/>
      <c r="G1375" s="171"/>
    </row>
    <row r="1376" spans="2:7">
      <c r="B1376" s="172"/>
      <c r="C1376" s="173"/>
      <c r="D1376" s="133"/>
      <c r="E1376" s="171"/>
      <c r="F1376" s="171"/>
      <c r="G1376" s="171"/>
    </row>
    <row r="1377" spans="2:7">
      <c r="B1377" s="172"/>
      <c r="C1377" s="173"/>
      <c r="D1377" s="133"/>
      <c r="E1377" s="171"/>
      <c r="F1377" s="171"/>
      <c r="G1377" s="171"/>
    </row>
    <row r="1378" spans="2:7">
      <c r="B1378" s="172"/>
      <c r="C1378" s="173"/>
      <c r="D1378" s="133"/>
      <c r="E1378" s="171"/>
      <c r="F1378" s="171"/>
      <c r="G1378" s="171"/>
    </row>
    <row r="1379" spans="2:7">
      <c r="B1379" s="172"/>
      <c r="C1379" s="173"/>
      <c r="D1379" s="133"/>
      <c r="E1379" s="171"/>
      <c r="F1379" s="171"/>
      <c r="G1379" s="171"/>
    </row>
    <row r="1380" spans="2:7">
      <c r="B1380" s="172"/>
      <c r="C1380" s="173"/>
      <c r="D1380" s="133"/>
      <c r="E1380" s="171"/>
      <c r="F1380" s="171"/>
      <c r="G1380" s="171"/>
    </row>
    <row r="1381" spans="2:7">
      <c r="B1381" s="172"/>
      <c r="C1381" s="173"/>
      <c r="D1381" s="133"/>
      <c r="E1381" s="171"/>
      <c r="F1381" s="171"/>
      <c r="G1381" s="171"/>
    </row>
    <row r="1382" spans="2:7">
      <c r="B1382" s="172"/>
      <c r="C1382" s="173"/>
      <c r="D1382" s="133"/>
      <c r="E1382" s="171"/>
      <c r="F1382" s="171"/>
      <c r="G1382" s="171"/>
    </row>
    <row r="1383" spans="2:7">
      <c r="B1383" s="172"/>
      <c r="C1383" s="173"/>
      <c r="D1383" s="133"/>
      <c r="E1383" s="171"/>
      <c r="F1383" s="171"/>
      <c r="G1383" s="171"/>
    </row>
    <row r="1384" spans="2:7">
      <c r="B1384" s="172"/>
      <c r="C1384" s="173"/>
      <c r="D1384" s="133"/>
      <c r="E1384" s="171"/>
      <c r="F1384" s="171"/>
      <c r="G1384" s="171"/>
    </row>
    <row r="1385" spans="2:7">
      <c r="B1385" s="172"/>
      <c r="C1385" s="173"/>
      <c r="D1385" s="133"/>
      <c r="E1385" s="171"/>
      <c r="F1385" s="171"/>
      <c r="G1385" s="171"/>
    </row>
    <row r="1386" spans="2:7">
      <c r="B1386" s="172"/>
      <c r="C1386" s="173"/>
      <c r="D1386" s="133"/>
      <c r="E1386" s="171"/>
      <c r="F1386" s="171"/>
      <c r="G1386" s="171"/>
    </row>
    <row r="1387" spans="2:7">
      <c r="B1387" s="172"/>
      <c r="C1387" s="173"/>
      <c r="D1387" s="133"/>
      <c r="E1387" s="171"/>
      <c r="F1387" s="171"/>
      <c r="G1387" s="171"/>
    </row>
    <row r="1388" spans="2:7">
      <c r="B1388" s="172"/>
      <c r="C1388" s="173"/>
      <c r="D1388" s="133"/>
      <c r="E1388" s="171"/>
      <c r="F1388" s="171"/>
      <c r="G1388" s="171"/>
    </row>
    <row r="1389" spans="2:7">
      <c r="B1389" s="172"/>
      <c r="C1389" s="173"/>
      <c r="D1389" s="133"/>
      <c r="E1389" s="171"/>
      <c r="F1389" s="171"/>
      <c r="G1389" s="171"/>
    </row>
    <row r="1390" spans="2:7">
      <c r="B1390" s="172"/>
      <c r="C1390" s="173"/>
      <c r="D1390" s="133"/>
      <c r="E1390" s="171"/>
      <c r="F1390" s="171"/>
      <c r="G1390" s="171"/>
    </row>
    <row r="1391" spans="2:7">
      <c r="B1391" s="172"/>
      <c r="C1391" s="173"/>
      <c r="D1391" s="133"/>
      <c r="E1391" s="171"/>
      <c r="F1391" s="171"/>
      <c r="G1391" s="171"/>
    </row>
    <row r="1392" spans="2:7">
      <c r="B1392" s="172"/>
      <c r="C1392" s="173"/>
      <c r="D1392" s="133"/>
      <c r="E1392" s="171"/>
      <c r="F1392" s="171"/>
      <c r="G1392" s="171"/>
    </row>
    <row r="1393" spans="2:7">
      <c r="B1393" s="172"/>
      <c r="C1393" s="173"/>
      <c r="D1393" s="133"/>
      <c r="E1393" s="171"/>
      <c r="F1393" s="171"/>
      <c r="G1393" s="171"/>
    </row>
    <row r="1394" spans="2:7">
      <c r="B1394" s="172"/>
      <c r="C1394" s="173"/>
      <c r="D1394" s="133"/>
      <c r="E1394" s="171"/>
      <c r="F1394" s="171"/>
      <c r="G1394" s="171"/>
    </row>
    <row r="1395" spans="2:7">
      <c r="B1395" s="172"/>
      <c r="C1395" s="173"/>
      <c r="D1395" s="133"/>
      <c r="E1395" s="171"/>
      <c r="F1395" s="171"/>
      <c r="G1395" s="171"/>
    </row>
    <row r="1396" spans="2:7">
      <c r="B1396" s="172"/>
      <c r="C1396" s="173"/>
      <c r="D1396" s="133"/>
      <c r="E1396" s="171"/>
      <c r="F1396" s="171"/>
      <c r="G1396" s="171"/>
    </row>
    <row r="1397" spans="2:7">
      <c r="B1397" s="172"/>
      <c r="C1397" s="173"/>
      <c r="D1397" s="133"/>
      <c r="E1397" s="171"/>
      <c r="F1397" s="171"/>
      <c r="G1397" s="171"/>
    </row>
    <row r="1398" spans="2:7">
      <c r="B1398" s="172"/>
      <c r="C1398" s="173"/>
      <c r="D1398" s="133"/>
      <c r="E1398" s="171"/>
      <c r="F1398" s="171"/>
      <c r="G1398" s="171"/>
    </row>
    <row r="1399" spans="2:7">
      <c r="B1399" s="172"/>
      <c r="C1399" s="173"/>
      <c r="D1399" s="133"/>
      <c r="E1399" s="171"/>
      <c r="F1399" s="171"/>
      <c r="G1399" s="171"/>
    </row>
    <row r="1400" spans="2:7">
      <c r="B1400" s="172"/>
      <c r="C1400" s="173"/>
      <c r="D1400" s="133"/>
      <c r="E1400" s="171"/>
      <c r="F1400" s="171"/>
      <c r="G1400" s="171"/>
    </row>
    <row r="1401" spans="2:7">
      <c r="B1401" s="172"/>
      <c r="C1401" s="173"/>
      <c r="D1401" s="133"/>
      <c r="E1401" s="171"/>
      <c r="F1401" s="171"/>
      <c r="G1401" s="171"/>
    </row>
    <row r="1402" spans="2:7">
      <c r="B1402" s="172"/>
      <c r="C1402" s="173"/>
      <c r="D1402" s="133"/>
      <c r="E1402" s="171"/>
      <c r="F1402" s="171"/>
      <c r="G1402" s="171"/>
    </row>
    <row r="1403" spans="2:7">
      <c r="B1403" s="172"/>
      <c r="C1403" s="173"/>
      <c r="D1403" s="133"/>
      <c r="E1403" s="171"/>
      <c r="F1403" s="171"/>
      <c r="G1403" s="171"/>
    </row>
    <row r="1404" spans="2:7">
      <c r="B1404" s="172"/>
      <c r="C1404" s="173"/>
      <c r="D1404" s="133"/>
      <c r="E1404" s="171"/>
      <c r="F1404" s="171"/>
      <c r="G1404" s="171"/>
    </row>
    <row r="1405" spans="2:7">
      <c r="B1405" s="172"/>
      <c r="C1405" s="173"/>
      <c r="D1405" s="133"/>
      <c r="E1405" s="171"/>
      <c r="F1405" s="171"/>
      <c r="G1405" s="171"/>
    </row>
    <row r="1406" spans="2:7">
      <c r="B1406" s="172"/>
      <c r="C1406" s="173"/>
      <c r="D1406" s="133"/>
      <c r="E1406" s="171"/>
      <c r="F1406" s="171"/>
      <c r="G1406" s="171"/>
    </row>
    <row r="1407" spans="2:7">
      <c r="B1407" s="172"/>
      <c r="C1407" s="173"/>
      <c r="D1407" s="133"/>
      <c r="E1407" s="171"/>
      <c r="F1407" s="171"/>
      <c r="G1407" s="171"/>
    </row>
    <row r="1408" spans="2:7">
      <c r="B1408" s="172"/>
      <c r="C1408" s="173"/>
      <c r="D1408" s="133"/>
      <c r="E1408" s="171"/>
      <c r="F1408" s="171"/>
      <c r="G1408" s="171"/>
    </row>
    <row r="1409" spans="2:7">
      <c r="B1409" s="172"/>
      <c r="C1409" s="173"/>
      <c r="D1409" s="133"/>
      <c r="E1409" s="171"/>
      <c r="F1409" s="171"/>
      <c r="G1409" s="171"/>
    </row>
    <row r="1410" spans="2:7">
      <c r="B1410" s="172"/>
      <c r="C1410" s="173"/>
      <c r="D1410" s="133"/>
      <c r="E1410" s="171"/>
      <c r="F1410" s="171"/>
      <c r="G1410" s="171"/>
    </row>
    <row r="1411" spans="2:7">
      <c r="B1411" s="172"/>
      <c r="C1411" s="173"/>
      <c r="D1411" s="133"/>
      <c r="E1411" s="171"/>
      <c r="F1411" s="171"/>
      <c r="G1411" s="171"/>
    </row>
    <row r="1412" spans="2:7">
      <c r="B1412" s="172"/>
      <c r="C1412" s="173"/>
      <c r="D1412" s="133"/>
      <c r="E1412" s="171"/>
      <c r="F1412" s="171"/>
      <c r="G1412" s="171"/>
    </row>
    <row r="1413" spans="2:7">
      <c r="B1413" s="172"/>
      <c r="C1413" s="173"/>
      <c r="D1413" s="133"/>
      <c r="E1413" s="171"/>
      <c r="F1413" s="171"/>
      <c r="G1413" s="171"/>
    </row>
    <row r="1414" spans="2:7">
      <c r="B1414" s="172"/>
      <c r="C1414" s="173"/>
      <c r="D1414" s="133"/>
      <c r="E1414" s="171"/>
      <c r="F1414" s="171"/>
      <c r="G1414" s="171"/>
    </row>
    <row r="1415" spans="2:7">
      <c r="B1415" s="172"/>
      <c r="C1415" s="173"/>
      <c r="D1415" s="133"/>
      <c r="E1415" s="171"/>
      <c r="F1415" s="171"/>
      <c r="G1415" s="171"/>
    </row>
    <row r="1416" spans="2:7">
      <c r="B1416" s="172"/>
      <c r="C1416" s="173"/>
      <c r="D1416" s="133"/>
      <c r="E1416" s="171"/>
      <c r="F1416" s="171"/>
      <c r="G1416" s="171"/>
    </row>
    <row r="1417" spans="2:7">
      <c r="B1417" s="172"/>
      <c r="C1417" s="173"/>
      <c r="D1417" s="133"/>
      <c r="E1417" s="171"/>
      <c r="F1417" s="171"/>
      <c r="G1417" s="171"/>
    </row>
    <row r="1418" spans="2:7">
      <c r="B1418" s="172"/>
      <c r="C1418" s="173"/>
      <c r="D1418" s="133"/>
      <c r="E1418" s="171"/>
      <c r="F1418" s="171"/>
      <c r="G1418" s="171"/>
    </row>
    <row r="1419" spans="2:7">
      <c r="B1419" s="172"/>
      <c r="C1419" s="173"/>
      <c r="D1419" s="133"/>
      <c r="E1419" s="171"/>
      <c r="F1419" s="171"/>
      <c r="G1419" s="171"/>
    </row>
    <row r="1420" spans="2:7">
      <c r="B1420" s="172"/>
      <c r="C1420" s="173"/>
      <c r="D1420" s="133"/>
      <c r="E1420" s="171"/>
      <c r="F1420" s="171"/>
      <c r="G1420" s="171"/>
    </row>
    <row r="1421" spans="2:7">
      <c r="B1421" s="172"/>
      <c r="C1421" s="173"/>
      <c r="D1421" s="133"/>
      <c r="E1421" s="171"/>
      <c r="F1421" s="171"/>
      <c r="G1421" s="171"/>
    </row>
    <row r="1422" spans="2:7">
      <c r="B1422" s="172"/>
      <c r="C1422" s="173"/>
      <c r="D1422" s="133"/>
      <c r="E1422" s="171"/>
      <c r="F1422" s="171"/>
      <c r="G1422" s="171"/>
    </row>
    <row r="1423" spans="2:7">
      <c r="B1423" s="172"/>
      <c r="C1423" s="173"/>
      <c r="D1423" s="133"/>
      <c r="E1423" s="171"/>
      <c r="F1423" s="171"/>
      <c r="G1423" s="171"/>
    </row>
    <row r="1424" spans="2:7">
      <c r="B1424" s="172"/>
      <c r="C1424" s="173"/>
      <c r="D1424" s="133"/>
      <c r="E1424" s="171"/>
      <c r="F1424" s="171"/>
      <c r="G1424" s="171"/>
    </row>
    <row r="1425" spans="2:7">
      <c r="B1425" s="172"/>
      <c r="C1425" s="173"/>
      <c r="D1425" s="133"/>
      <c r="E1425" s="171"/>
      <c r="F1425" s="171"/>
      <c r="G1425" s="171"/>
    </row>
    <row r="1426" spans="2:7">
      <c r="B1426" s="172"/>
      <c r="C1426" s="173"/>
      <c r="D1426" s="133"/>
      <c r="E1426" s="171"/>
      <c r="F1426" s="171"/>
      <c r="G1426" s="171"/>
    </row>
    <row r="1427" spans="2:7">
      <c r="B1427" s="172"/>
      <c r="C1427" s="173"/>
      <c r="D1427" s="133"/>
      <c r="E1427" s="171"/>
      <c r="F1427" s="171"/>
      <c r="G1427" s="171"/>
    </row>
    <row r="1428" spans="2:7">
      <c r="B1428" s="172"/>
      <c r="C1428" s="173"/>
      <c r="D1428" s="133"/>
      <c r="E1428" s="171"/>
      <c r="F1428" s="171"/>
      <c r="G1428" s="171"/>
    </row>
    <row r="1429" spans="2:7">
      <c r="B1429" s="172"/>
      <c r="C1429" s="173"/>
      <c r="D1429" s="133"/>
      <c r="E1429" s="171"/>
      <c r="F1429" s="171"/>
      <c r="G1429" s="171"/>
    </row>
    <row r="1430" spans="2:7">
      <c r="B1430" s="172"/>
      <c r="C1430" s="173"/>
      <c r="D1430" s="133"/>
      <c r="E1430" s="171"/>
      <c r="F1430" s="171"/>
      <c r="G1430" s="171"/>
    </row>
    <row r="1431" spans="2:7">
      <c r="B1431" s="172"/>
      <c r="C1431" s="173"/>
      <c r="D1431" s="133"/>
      <c r="E1431" s="171"/>
      <c r="F1431" s="171"/>
      <c r="G1431" s="171"/>
    </row>
    <row r="1432" spans="2:7">
      <c r="B1432" s="172"/>
      <c r="C1432" s="173"/>
      <c r="D1432" s="133"/>
      <c r="E1432" s="171"/>
      <c r="F1432" s="171"/>
      <c r="G1432" s="171"/>
    </row>
    <row r="1433" spans="2:7">
      <c r="B1433" s="172"/>
      <c r="C1433" s="173"/>
      <c r="D1433" s="133"/>
      <c r="E1433" s="171"/>
      <c r="F1433" s="171"/>
      <c r="G1433" s="171"/>
    </row>
    <row r="1434" spans="2:7">
      <c r="B1434" s="172"/>
      <c r="C1434" s="173"/>
      <c r="D1434" s="133"/>
      <c r="E1434" s="171"/>
      <c r="F1434" s="171"/>
      <c r="G1434" s="171"/>
    </row>
    <row r="1435" spans="2:7">
      <c r="B1435" s="172"/>
      <c r="C1435" s="173"/>
      <c r="D1435" s="133"/>
      <c r="E1435" s="171"/>
      <c r="F1435" s="171"/>
      <c r="G1435" s="171"/>
    </row>
    <row r="1436" spans="2:7">
      <c r="B1436" s="172"/>
      <c r="C1436" s="173"/>
      <c r="D1436" s="133"/>
      <c r="E1436" s="171"/>
      <c r="F1436" s="171"/>
      <c r="G1436" s="171"/>
    </row>
    <row r="1437" spans="2:7">
      <c r="B1437" s="172"/>
      <c r="C1437" s="173"/>
      <c r="D1437" s="133"/>
      <c r="E1437" s="171"/>
      <c r="F1437" s="171"/>
      <c r="G1437" s="171"/>
    </row>
    <row r="1438" spans="2:7">
      <c r="B1438" s="172"/>
      <c r="C1438" s="173"/>
      <c r="D1438" s="133"/>
      <c r="E1438" s="171"/>
      <c r="F1438" s="171"/>
      <c r="G1438" s="171"/>
    </row>
    <row r="1439" spans="2:7">
      <c r="B1439" s="172"/>
      <c r="C1439" s="173"/>
      <c r="D1439" s="133"/>
      <c r="E1439" s="171"/>
      <c r="F1439" s="171"/>
      <c r="G1439" s="171"/>
    </row>
    <row r="1440" spans="2:7">
      <c r="B1440" s="172"/>
      <c r="C1440" s="173"/>
      <c r="D1440" s="133"/>
      <c r="E1440" s="171"/>
      <c r="F1440" s="171"/>
      <c r="G1440" s="171"/>
    </row>
    <row r="1441" spans="2:7">
      <c r="B1441" s="172"/>
      <c r="C1441" s="173"/>
      <c r="D1441" s="133"/>
      <c r="E1441" s="171"/>
      <c r="F1441" s="171"/>
      <c r="G1441" s="171"/>
    </row>
    <row r="1442" spans="2:7">
      <c r="B1442" s="172"/>
      <c r="C1442" s="173"/>
      <c r="D1442" s="133"/>
      <c r="E1442" s="171"/>
      <c r="F1442" s="171"/>
      <c r="G1442" s="171"/>
    </row>
    <row r="1443" spans="2:7">
      <c r="B1443" s="172"/>
      <c r="C1443" s="173"/>
      <c r="D1443" s="133"/>
      <c r="E1443" s="171"/>
      <c r="F1443" s="171"/>
      <c r="G1443" s="171"/>
    </row>
    <row r="1444" spans="2:7">
      <c r="B1444" s="172"/>
      <c r="C1444" s="173"/>
      <c r="D1444" s="133"/>
      <c r="E1444" s="171"/>
      <c r="F1444" s="171"/>
      <c r="G1444" s="171"/>
    </row>
    <row r="1445" spans="2:7">
      <c r="B1445" s="172"/>
      <c r="C1445" s="173"/>
      <c r="D1445" s="133"/>
      <c r="E1445" s="171"/>
      <c r="F1445" s="171"/>
      <c r="G1445" s="171"/>
    </row>
    <row r="1446" spans="2:7">
      <c r="B1446" s="172"/>
      <c r="C1446" s="173"/>
      <c r="D1446" s="133"/>
      <c r="E1446" s="171"/>
      <c r="F1446" s="171"/>
      <c r="G1446" s="171"/>
    </row>
    <row r="1447" spans="2:7">
      <c r="B1447" s="172"/>
      <c r="C1447" s="173"/>
      <c r="D1447" s="133"/>
      <c r="E1447" s="171"/>
      <c r="F1447" s="171"/>
      <c r="G1447" s="171"/>
    </row>
    <row r="1448" spans="2:7">
      <c r="B1448" s="172"/>
      <c r="C1448" s="173"/>
      <c r="D1448" s="133"/>
      <c r="E1448" s="171"/>
      <c r="F1448" s="171"/>
      <c r="G1448" s="171"/>
    </row>
    <row r="1449" spans="2:7">
      <c r="B1449" s="172"/>
      <c r="C1449" s="173"/>
      <c r="D1449" s="133"/>
      <c r="E1449" s="171"/>
      <c r="F1449" s="171"/>
      <c r="G1449" s="171"/>
    </row>
    <row r="1450" spans="2:7">
      <c r="B1450" s="172"/>
      <c r="C1450" s="173"/>
      <c r="D1450" s="133"/>
      <c r="E1450" s="171"/>
      <c r="F1450" s="171"/>
      <c r="G1450" s="171"/>
    </row>
    <row r="1451" spans="2:7">
      <c r="B1451" s="172"/>
      <c r="C1451" s="173"/>
      <c r="D1451" s="133"/>
      <c r="E1451" s="171"/>
      <c r="F1451" s="171"/>
      <c r="G1451" s="171"/>
    </row>
    <row r="1452" spans="2:7">
      <c r="B1452" s="172"/>
      <c r="C1452" s="173"/>
      <c r="D1452" s="133"/>
      <c r="E1452" s="171"/>
      <c r="F1452" s="171"/>
      <c r="G1452" s="171"/>
    </row>
    <row r="1453" spans="2:7">
      <c r="B1453" s="172"/>
      <c r="C1453" s="173"/>
      <c r="D1453" s="133"/>
      <c r="E1453" s="171"/>
      <c r="F1453" s="171"/>
      <c r="G1453" s="171"/>
    </row>
    <row r="1454" spans="2:7">
      <c r="B1454" s="172"/>
      <c r="C1454" s="173"/>
      <c r="D1454" s="133"/>
      <c r="E1454" s="171"/>
      <c r="F1454" s="171"/>
      <c r="G1454" s="171"/>
    </row>
    <row r="1455" spans="2:7">
      <c r="B1455" s="172"/>
      <c r="C1455" s="173"/>
      <c r="D1455" s="133"/>
      <c r="E1455" s="171"/>
      <c r="F1455" s="171"/>
      <c r="G1455" s="171"/>
    </row>
    <row r="1456" spans="2:7">
      <c r="B1456" s="172"/>
      <c r="C1456" s="173"/>
      <c r="D1456" s="133"/>
      <c r="E1456" s="171"/>
      <c r="F1456" s="171"/>
      <c r="G1456" s="171"/>
    </row>
    <row r="1457" spans="2:7">
      <c r="B1457" s="172"/>
      <c r="C1457" s="173"/>
      <c r="D1457" s="133"/>
      <c r="E1457" s="171"/>
      <c r="F1457" s="171"/>
      <c r="G1457" s="171"/>
    </row>
    <row r="1458" spans="2:7">
      <c r="B1458" s="172"/>
      <c r="C1458" s="173"/>
      <c r="D1458" s="133"/>
      <c r="E1458" s="171"/>
      <c r="F1458" s="171"/>
      <c r="G1458" s="171"/>
    </row>
    <row r="1459" spans="2:7">
      <c r="B1459" s="172"/>
      <c r="C1459" s="173"/>
      <c r="D1459" s="133"/>
      <c r="E1459" s="171"/>
      <c r="F1459" s="171"/>
      <c r="G1459" s="171"/>
    </row>
    <row r="1460" spans="2:7">
      <c r="B1460" s="172"/>
      <c r="C1460" s="173"/>
      <c r="D1460" s="133"/>
      <c r="E1460" s="171"/>
      <c r="F1460" s="171"/>
      <c r="G1460" s="171"/>
    </row>
    <row r="1461" spans="2:7">
      <c r="B1461" s="172"/>
      <c r="C1461" s="173"/>
      <c r="D1461" s="133"/>
      <c r="E1461" s="171"/>
      <c r="F1461" s="171"/>
      <c r="G1461" s="171"/>
    </row>
    <row r="1462" spans="2:7">
      <c r="B1462" s="172"/>
      <c r="C1462" s="173"/>
      <c r="D1462" s="133"/>
      <c r="E1462" s="171"/>
      <c r="F1462" s="171"/>
      <c r="G1462" s="171"/>
    </row>
    <row r="1463" spans="2:7">
      <c r="B1463" s="172"/>
      <c r="C1463" s="173"/>
      <c r="D1463" s="133"/>
      <c r="E1463" s="171"/>
      <c r="F1463" s="171"/>
      <c r="G1463" s="171"/>
    </row>
    <row r="1464" spans="2:7">
      <c r="B1464" s="172"/>
      <c r="C1464" s="173"/>
      <c r="D1464" s="133"/>
      <c r="E1464" s="171"/>
      <c r="F1464" s="171"/>
      <c r="G1464" s="171"/>
    </row>
    <row r="1465" spans="2:7">
      <c r="B1465" s="172"/>
      <c r="C1465" s="173"/>
      <c r="D1465" s="133"/>
      <c r="E1465" s="171"/>
      <c r="F1465" s="171"/>
      <c r="G1465" s="171"/>
    </row>
    <row r="1466" spans="2:7">
      <c r="B1466" s="172"/>
      <c r="C1466" s="173"/>
      <c r="D1466" s="133"/>
      <c r="E1466" s="171"/>
      <c r="F1466" s="171"/>
      <c r="G1466" s="171"/>
    </row>
    <row r="1467" spans="2:7">
      <c r="B1467" s="172"/>
      <c r="C1467" s="173"/>
      <c r="D1467" s="133"/>
      <c r="E1467" s="171"/>
      <c r="F1467" s="171"/>
      <c r="G1467" s="171"/>
    </row>
    <row r="1468" spans="2:7">
      <c r="B1468" s="172"/>
      <c r="C1468" s="173"/>
      <c r="D1468" s="133"/>
      <c r="E1468" s="171"/>
      <c r="F1468" s="171"/>
      <c r="G1468" s="171"/>
    </row>
    <row r="1469" spans="2:7">
      <c r="B1469" s="172"/>
      <c r="C1469" s="173"/>
      <c r="D1469" s="133"/>
      <c r="E1469" s="171"/>
      <c r="F1469" s="171"/>
      <c r="G1469" s="171"/>
    </row>
    <row r="1470" spans="2:7">
      <c r="B1470" s="172"/>
      <c r="C1470" s="173"/>
      <c r="D1470" s="133"/>
      <c r="E1470" s="171"/>
      <c r="F1470" s="171"/>
      <c r="G1470" s="171"/>
    </row>
    <row r="1471" spans="2:7">
      <c r="B1471" s="172"/>
      <c r="C1471" s="173"/>
      <c r="D1471" s="133"/>
      <c r="E1471" s="171"/>
      <c r="F1471" s="171"/>
      <c r="G1471" s="171"/>
    </row>
    <row r="1472" spans="2:7">
      <c r="B1472" s="172"/>
      <c r="C1472" s="173"/>
      <c r="D1472" s="133"/>
      <c r="E1472" s="171"/>
      <c r="F1472" s="171"/>
      <c r="G1472" s="171"/>
    </row>
    <row r="1473" spans="2:7">
      <c r="B1473" s="172"/>
      <c r="C1473" s="173"/>
      <c r="D1473" s="133"/>
      <c r="E1473" s="171"/>
      <c r="F1473" s="171"/>
      <c r="G1473" s="171"/>
    </row>
    <row r="1474" spans="2:7">
      <c r="B1474" s="172"/>
      <c r="C1474" s="173"/>
      <c r="D1474" s="133"/>
      <c r="E1474" s="171"/>
      <c r="F1474" s="171"/>
      <c r="G1474" s="171"/>
    </row>
    <row r="1475" spans="2:7">
      <c r="B1475" s="172"/>
      <c r="C1475" s="173"/>
      <c r="D1475" s="133"/>
      <c r="E1475" s="171"/>
      <c r="F1475" s="171"/>
      <c r="G1475" s="171"/>
    </row>
    <row r="1476" spans="2:7">
      <c r="B1476" s="172"/>
      <c r="C1476" s="173"/>
      <c r="D1476" s="133"/>
      <c r="E1476" s="171"/>
      <c r="F1476" s="171"/>
      <c r="G1476" s="171"/>
    </row>
    <row r="1477" spans="2:7">
      <c r="B1477" s="172"/>
      <c r="C1477" s="173"/>
      <c r="D1477" s="133"/>
      <c r="E1477" s="171"/>
      <c r="F1477" s="171"/>
      <c r="G1477" s="171"/>
    </row>
    <row r="1478" spans="2:7">
      <c r="B1478" s="172"/>
      <c r="C1478" s="173"/>
      <c r="D1478" s="133"/>
      <c r="E1478" s="171"/>
      <c r="F1478" s="171"/>
      <c r="G1478" s="171"/>
    </row>
    <row r="1479" spans="2:7">
      <c r="B1479" s="172"/>
      <c r="C1479" s="173"/>
      <c r="D1479" s="133"/>
      <c r="E1479" s="171"/>
      <c r="F1479" s="171"/>
      <c r="G1479" s="171"/>
    </row>
    <row r="1480" spans="2:7">
      <c r="B1480" s="172"/>
      <c r="C1480" s="173"/>
      <c r="D1480" s="133"/>
      <c r="E1480" s="171"/>
      <c r="F1480" s="171"/>
      <c r="G1480" s="171"/>
    </row>
    <row r="1481" spans="2:7">
      <c r="B1481" s="172"/>
      <c r="C1481" s="173"/>
      <c r="D1481" s="133"/>
      <c r="E1481" s="171"/>
      <c r="F1481" s="171"/>
      <c r="G1481" s="171"/>
    </row>
    <row r="1482" spans="2:7">
      <c r="B1482" s="172"/>
      <c r="C1482" s="173"/>
      <c r="D1482" s="133"/>
      <c r="E1482" s="171"/>
      <c r="F1482" s="171"/>
      <c r="G1482" s="171"/>
    </row>
    <row r="1483" spans="2:7">
      <c r="B1483" s="172"/>
      <c r="C1483" s="173"/>
      <c r="D1483" s="133"/>
      <c r="E1483" s="171"/>
      <c r="F1483" s="171"/>
      <c r="G1483" s="171"/>
    </row>
    <row r="1484" spans="2:7">
      <c r="B1484" s="172"/>
      <c r="C1484" s="173"/>
      <c r="D1484" s="133"/>
      <c r="E1484" s="171"/>
      <c r="F1484" s="171"/>
      <c r="G1484" s="171"/>
    </row>
    <row r="1485" spans="2:7">
      <c r="B1485" s="172"/>
      <c r="C1485" s="173"/>
      <c r="D1485" s="133"/>
      <c r="E1485" s="171"/>
      <c r="F1485" s="171"/>
      <c r="G1485" s="171"/>
    </row>
    <row r="1486" spans="2:7">
      <c r="B1486" s="172"/>
      <c r="C1486" s="173"/>
      <c r="D1486" s="133"/>
      <c r="E1486" s="171"/>
      <c r="F1486" s="171"/>
      <c r="G1486" s="171"/>
    </row>
    <row r="1487" spans="2:7">
      <c r="B1487" s="172"/>
      <c r="C1487" s="173"/>
      <c r="D1487" s="133"/>
      <c r="E1487" s="171"/>
      <c r="F1487" s="171"/>
      <c r="G1487" s="171"/>
    </row>
    <row r="1488" spans="2:7">
      <c r="B1488" s="172"/>
      <c r="C1488" s="173"/>
      <c r="D1488" s="133"/>
      <c r="E1488" s="171"/>
      <c r="F1488" s="171"/>
      <c r="G1488" s="171"/>
    </row>
    <row r="1489" spans="2:7">
      <c r="B1489" s="172"/>
      <c r="C1489" s="173"/>
      <c r="D1489" s="133"/>
      <c r="E1489" s="171"/>
      <c r="F1489" s="171"/>
      <c r="G1489" s="171"/>
    </row>
    <row r="1490" spans="2:7">
      <c r="B1490" s="172"/>
      <c r="C1490" s="173"/>
      <c r="D1490" s="133"/>
      <c r="E1490" s="171"/>
      <c r="F1490" s="171"/>
      <c r="G1490" s="171"/>
    </row>
    <row r="1491" spans="2:7">
      <c r="B1491" s="172"/>
      <c r="C1491" s="173"/>
      <c r="D1491" s="133"/>
      <c r="E1491" s="171"/>
      <c r="F1491" s="171"/>
      <c r="G1491" s="171"/>
    </row>
    <row r="1492" spans="2:7">
      <c r="B1492" s="172"/>
      <c r="C1492" s="173"/>
      <c r="D1492" s="133"/>
      <c r="E1492" s="171"/>
      <c r="F1492" s="171"/>
      <c r="G1492" s="171"/>
    </row>
    <row r="1493" spans="2:7">
      <c r="B1493" s="172"/>
      <c r="C1493" s="173"/>
      <c r="D1493" s="133"/>
      <c r="E1493" s="171"/>
      <c r="F1493" s="171"/>
      <c r="G1493" s="171"/>
    </row>
    <row r="1494" spans="2:7">
      <c r="B1494" s="172"/>
      <c r="C1494" s="173"/>
      <c r="D1494" s="133"/>
      <c r="E1494" s="171"/>
      <c r="F1494" s="171"/>
      <c r="G1494" s="171"/>
    </row>
    <row r="1495" spans="2:7">
      <c r="B1495" s="172"/>
      <c r="C1495" s="173"/>
      <c r="D1495" s="133"/>
      <c r="E1495" s="171"/>
      <c r="F1495" s="171"/>
      <c r="G1495" s="171"/>
    </row>
    <row r="1496" spans="2:7">
      <c r="B1496" s="172"/>
      <c r="C1496" s="173"/>
      <c r="D1496" s="133"/>
      <c r="E1496" s="171"/>
      <c r="F1496" s="171"/>
      <c r="G1496" s="171"/>
    </row>
    <row r="1497" spans="2:7">
      <c r="B1497" s="172"/>
      <c r="C1497" s="173"/>
      <c r="D1497" s="133"/>
      <c r="E1497" s="171"/>
      <c r="F1497" s="171"/>
      <c r="G1497" s="171"/>
    </row>
    <row r="1498" spans="2:7">
      <c r="B1498" s="172"/>
      <c r="C1498" s="173"/>
      <c r="D1498" s="133"/>
      <c r="E1498" s="171"/>
      <c r="F1498" s="171"/>
      <c r="G1498" s="171"/>
    </row>
    <row r="1499" spans="2:7">
      <c r="B1499" s="172"/>
      <c r="C1499" s="173"/>
      <c r="D1499" s="133"/>
      <c r="E1499" s="171"/>
      <c r="F1499" s="171"/>
      <c r="G1499" s="171"/>
    </row>
    <row r="1500" spans="2:7">
      <c r="B1500" s="172"/>
      <c r="C1500" s="173"/>
      <c r="D1500" s="133"/>
      <c r="E1500" s="171"/>
      <c r="F1500" s="171"/>
      <c r="G1500" s="171"/>
    </row>
    <row r="1501" spans="2:7">
      <c r="B1501" s="172"/>
      <c r="C1501" s="173"/>
      <c r="D1501" s="133"/>
      <c r="E1501" s="171"/>
      <c r="F1501" s="171"/>
      <c r="G1501" s="171"/>
    </row>
    <row r="1502" spans="2:7">
      <c r="B1502" s="172"/>
      <c r="C1502" s="173"/>
      <c r="D1502" s="133"/>
      <c r="E1502" s="171"/>
      <c r="F1502" s="171"/>
      <c r="G1502" s="171"/>
    </row>
    <row r="1503" spans="2:7">
      <c r="B1503" s="172"/>
      <c r="C1503" s="173"/>
      <c r="D1503" s="133"/>
      <c r="E1503" s="171"/>
      <c r="F1503" s="171"/>
      <c r="G1503" s="171"/>
    </row>
    <row r="1504" spans="2:7">
      <c r="B1504" s="172"/>
      <c r="C1504" s="173"/>
      <c r="D1504" s="133"/>
      <c r="E1504" s="171"/>
      <c r="F1504" s="171"/>
      <c r="G1504" s="171"/>
    </row>
    <row r="1505" spans="2:7">
      <c r="B1505" s="172"/>
      <c r="C1505" s="173"/>
      <c r="D1505" s="133"/>
      <c r="E1505" s="171"/>
      <c r="F1505" s="171"/>
      <c r="G1505" s="171"/>
    </row>
    <row r="1506" spans="2:7">
      <c r="B1506" s="172"/>
      <c r="C1506" s="173"/>
      <c r="D1506" s="133"/>
      <c r="E1506" s="171"/>
      <c r="F1506" s="171"/>
      <c r="G1506" s="171"/>
    </row>
    <row r="1507" spans="2:7">
      <c r="B1507" s="172"/>
      <c r="C1507" s="173"/>
      <c r="D1507" s="133"/>
      <c r="E1507" s="171"/>
      <c r="F1507" s="171"/>
      <c r="G1507" s="171"/>
    </row>
    <row r="1508" spans="2:7">
      <c r="B1508" s="172"/>
      <c r="C1508" s="173"/>
      <c r="D1508" s="133"/>
      <c r="E1508" s="171"/>
      <c r="F1508" s="171"/>
      <c r="G1508" s="171"/>
    </row>
    <row r="1509" spans="2:7">
      <c r="B1509" s="172"/>
      <c r="C1509" s="173"/>
      <c r="D1509" s="133"/>
      <c r="E1509" s="171"/>
      <c r="F1509" s="171"/>
      <c r="G1509" s="171"/>
    </row>
    <row r="1510" spans="2:7">
      <c r="B1510" s="172"/>
      <c r="C1510" s="173"/>
      <c r="D1510" s="133"/>
      <c r="E1510" s="171"/>
      <c r="F1510" s="171"/>
      <c r="G1510" s="171"/>
    </row>
    <row r="1511" spans="2:7">
      <c r="B1511" s="172"/>
      <c r="C1511" s="173"/>
      <c r="D1511" s="133"/>
      <c r="E1511" s="171"/>
      <c r="F1511" s="171"/>
      <c r="G1511" s="171"/>
    </row>
    <row r="1512" spans="2:7">
      <c r="B1512" s="172"/>
      <c r="C1512" s="173"/>
      <c r="D1512" s="133"/>
      <c r="E1512" s="171"/>
      <c r="F1512" s="171"/>
      <c r="G1512" s="171"/>
    </row>
    <row r="1513" spans="2:7">
      <c r="B1513" s="172"/>
      <c r="C1513" s="173"/>
      <c r="D1513" s="133"/>
      <c r="E1513" s="171"/>
      <c r="F1513" s="171"/>
      <c r="G1513" s="171"/>
    </row>
    <row r="1514" spans="2:7">
      <c r="B1514" s="172"/>
      <c r="C1514" s="173"/>
      <c r="D1514" s="133"/>
      <c r="E1514" s="171"/>
      <c r="F1514" s="171"/>
      <c r="G1514" s="171"/>
    </row>
    <row r="1515" spans="2:7">
      <c r="B1515" s="172"/>
      <c r="C1515" s="173"/>
      <c r="D1515" s="133"/>
      <c r="E1515" s="171"/>
      <c r="F1515" s="171"/>
      <c r="G1515" s="171"/>
    </row>
    <row r="1516" spans="2:7">
      <c r="B1516" s="172"/>
      <c r="C1516" s="173"/>
      <c r="D1516" s="133"/>
      <c r="E1516" s="171"/>
      <c r="F1516" s="171"/>
      <c r="G1516" s="171"/>
    </row>
    <row r="1517" spans="2:7">
      <c r="B1517" s="172"/>
      <c r="C1517" s="173"/>
      <c r="D1517" s="133"/>
      <c r="E1517" s="171"/>
      <c r="F1517" s="171"/>
      <c r="G1517" s="171"/>
    </row>
  </sheetData>
  <mergeCells count="157">
    <mergeCell ref="I30:M30"/>
    <mergeCell ref="H33:Q34"/>
    <mergeCell ref="B11:Q12"/>
    <mergeCell ref="H35:Q35"/>
    <mergeCell ref="H36:Q36"/>
    <mergeCell ref="B2:D2"/>
    <mergeCell ref="B4:D4"/>
    <mergeCell ref="C3:D3"/>
    <mergeCell ref="C5:D5"/>
    <mergeCell ref="B7:D7"/>
    <mergeCell ref="D27:E27"/>
    <mergeCell ref="G14:H14"/>
    <mergeCell ref="G15:H15"/>
    <mergeCell ref="G18:H18"/>
    <mergeCell ref="G19:H19"/>
    <mergeCell ref="F5:G5"/>
    <mergeCell ref="B9:D9"/>
    <mergeCell ref="B6:D6"/>
    <mergeCell ref="B31:I31"/>
    <mergeCell ref="D33:G34"/>
    <mergeCell ref="D36:G36"/>
    <mergeCell ref="B33:C33"/>
    <mergeCell ref="H28:K28"/>
    <mergeCell ref="H29:K29"/>
    <mergeCell ref="B44:Q45"/>
    <mergeCell ref="C49:D49"/>
    <mergeCell ref="H47:M48"/>
    <mergeCell ref="C50:D50"/>
    <mergeCell ref="C56:D56"/>
    <mergeCell ref="C57:D57"/>
    <mergeCell ref="E47:F47"/>
    <mergeCell ref="C47:D48"/>
    <mergeCell ref="B47:B48"/>
    <mergeCell ref="G47:G48"/>
    <mergeCell ref="H57:M57"/>
    <mergeCell ref="C51:D51"/>
    <mergeCell ref="C52:D52"/>
    <mergeCell ref="N47:Q48"/>
    <mergeCell ref="N49:Q49"/>
    <mergeCell ref="H49:M49"/>
    <mergeCell ref="H53:M53"/>
    <mergeCell ref="H54:M54"/>
    <mergeCell ref="H50:M50"/>
    <mergeCell ref="H51:M51"/>
    <mergeCell ref="H52:M52"/>
    <mergeCell ref="N50:Q50"/>
    <mergeCell ref="N51:Q51"/>
    <mergeCell ref="N52:Q52"/>
    <mergeCell ref="N81:Q81"/>
    <mergeCell ref="N82:Q82"/>
    <mergeCell ref="F65:Q65"/>
    <mergeCell ref="F66:Q66"/>
    <mergeCell ref="H55:M55"/>
    <mergeCell ref="B75:Q75"/>
    <mergeCell ref="C73:D73"/>
    <mergeCell ref="F73:Q73"/>
    <mergeCell ref="C72:D72"/>
    <mergeCell ref="D42:G42"/>
    <mergeCell ref="D37:G37"/>
    <mergeCell ref="D38:G38"/>
    <mergeCell ref="D39:G39"/>
    <mergeCell ref="D40:G40"/>
    <mergeCell ref="D41:G41"/>
    <mergeCell ref="H37:Q37"/>
    <mergeCell ref="H38:Q38"/>
    <mergeCell ref="H39:Q39"/>
    <mergeCell ref="H40:Q40"/>
    <mergeCell ref="H41:Q41"/>
    <mergeCell ref="H42:Q42"/>
    <mergeCell ref="A1:R1"/>
    <mergeCell ref="I15:N15"/>
    <mergeCell ref="J25:M25"/>
    <mergeCell ref="B77:B78"/>
    <mergeCell ref="C77:F77"/>
    <mergeCell ref="G77:M77"/>
    <mergeCell ref="C66:D66"/>
    <mergeCell ref="C67:D67"/>
    <mergeCell ref="C68:D68"/>
    <mergeCell ref="C70:D70"/>
    <mergeCell ref="C71:D71"/>
    <mergeCell ref="C58:D58"/>
    <mergeCell ref="C65:D65"/>
    <mergeCell ref="C53:D53"/>
    <mergeCell ref="C54:D54"/>
    <mergeCell ref="C55:D55"/>
    <mergeCell ref="I18:L18"/>
    <mergeCell ref="I19:L19"/>
    <mergeCell ref="G25:I25"/>
    <mergeCell ref="F28:G28"/>
    <mergeCell ref="F29:G29"/>
    <mergeCell ref="N77:Q78"/>
    <mergeCell ref="D35:G35"/>
    <mergeCell ref="F67:Q67"/>
    <mergeCell ref="D95:G95"/>
    <mergeCell ref="D96:G96"/>
    <mergeCell ref="I85:M85"/>
    <mergeCell ref="I86:M86"/>
    <mergeCell ref="I87:M87"/>
    <mergeCell ref="I88:M88"/>
    <mergeCell ref="B90:R90"/>
    <mergeCell ref="B96:C96"/>
    <mergeCell ref="H93:Q93"/>
    <mergeCell ref="I89:M89"/>
    <mergeCell ref="B92:C92"/>
    <mergeCell ref="B95:C95"/>
    <mergeCell ref="H92:Q92"/>
    <mergeCell ref="B93:C94"/>
    <mergeCell ref="F91:Q91"/>
    <mergeCell ref="G85:H85"/>
    <mergeCell ref="G86:H86"/>
    <mergeCell ref="G87:H87"/>
    <mergeCell ref="G88:H88"/>
    <mergeCell ref="G89:H89"/>
    <mergeCell ref="N87:Q87"/>
    <mergeCell ref="N86:Q86"/>
    <mergeCell ref="N85:Q85"/>
    <mergeCell ref="D93:G93"/>
    <mergeCell ref="D94:G94"/>
    <mergeCell ref="I78:M78"/>
    <mergeCell ref="I79:M79"/>
    <mergeCell ref="I80:M80"/>
    <mergeCell ref="I81:M81"/>
    <mergeCell ref="I82:M82"/>
    <mergeCell ref="G78:H78"/>
    <mergeCell ref="G79:H79"/>
    <mergeCell ref="G80:H80"/>
    <mergeCell ref="G81:H81"/>
    <mergeCell ref="G82:H82"/>
    <mergeCell ref="I83:M83"/>
    <mergeCell ref="G83:H83"/>
    <mergeCell ref="G84:H84"/>
    <mergeCell ref="I84:M84"/>
    <mergeCell ref="D92:G92"/>
    <mergeCell ref="N88:Q88"/>
    <mergeCell ref="N89:Q89"/>
    <mergeCell ref="N84:Q84"/>
    <mergeCell ref="N83:Q83"/>
    <mergeCell ref="F72:Q72"/>
    <mergeCell ref="C69:D69"/>
    <mergeCell ref="N53:Q53"/>
    <mergeCell ref="N54:Q54"/>
    <mergeCell ref="N55:Q55"/>
    <mergeCell ref="N56:Q56"/>
    <mergeCell ref="N57:Q57"/>
    <mergeCell ref="N58:Q58"/>
    <mergeCell ref="F68:Q68"/>
    <mergeCell ref="F70:Q70"/>
    <mergeCell ref="F71:Q71"/>
    <mergeCell ref="B61:Q61"/>
    <mergeCell ref="B64:Q64"/>
    <mergeCell ref="H56:M56"/>
    <mergeCell ref="H58:M58"/>
    <mergeCell ref="B60:Q60"/>
    <mergeCell ref="B62:Q62"/>
    <mergeCell ref="F69:Q69"/>
    <mergeCell ref="N79:Q79"/>
    <mergeCell ref="N80:Q80"/>
  </mergeCells>
  <hyperlinks>
    <hyperlink ref="B31:I31" location="Them_QTCT!A1" display="21) TÓM TẮT QUÁ TRÌNH HOẠT ĐỘNG VÀ CÔNG TÁC"/>
    <hyperlink ref="B44:Q45" location="Them_QTDT!A1" display="Them_QTDT!A1"/>
    <hyperlink ref="B60:Q60" location="Them_KyLuat!A1" display="23) Kỷ luật (Đảng, chính quyền, pháp luật):"/>
    <hyperlink ref="B62:Q62" location="Them_QHGD!A1" display="25) QUAN HỆ GIA ĐÌNH"/>
    <hyperlink ref="B75:Q75" location="Them_KQXL!A1" display="26) KẾT QUẢ ĐÁNH GIÁ, XẾP LOẠI HẰNG NĂM "/>
  </hyperlinks>
  <pageMargins left="0.3" right="0.25" top="0.74803149606299202" bottom="0.74803149606299202" header="0.31496062992126" footer="0.31496062992126"/>
  <pageSetup paperSize="9" scale="65" fitToHeight="0" orientation="portrait" r:id="rId1"/>
  <drawing r:id="rId2"/>
  <legacyDrawing r:id="rId3"/>
  <controls>
    <mc:AlternateContent xmlns:mc="http://schemas.openxmlformats.org/markup-compatibility/2006">
      <mc:Choice Requires="x14">
        <control shapeId="3074" r:id="rId4" name="ComboBox1">
          <controlPr defaultSize="0" print="0" autoLine="0" r:id="rId5">
            <anchor moveWithCells="1">
              <from>
                <xdr:col>20</xdr:col>
                <xdr:colOff>847725</xdr:colOff>
                <xdr:row>0</xdr:row>
                <xdr:rowOff>190500</xdr:rowOff>
              </from>
              <to>
                <xdr:col>21</xdr:col>
                <xdr:colOff>676275</xdr:colOff>
                <xdr:row>0</xdr:row>
                <xdr:rowOff>447675</xdr:rowOff>
              </to>
            </anchor>
          </controlPr>
        </control>
      </mc:Choice>
      <mc:Fallback>
        <control shapeId="3074" r:id="rId4" name="ComboBox1"/>
      </mc:Fallback>
    </mc:AlternateContent>
    <mc:AlternateContent xmlns:mc="http://schemas.openxmlformats.org/markup-compatibility/2006">
      <mc:Choice Requires="x14">
        <control shapeId="3075" r:id="rId6" name="Button 3">
          <controlPr defaultSize="0" print="0" autoFill="0" autoPict="0" macro="[0]!SaveRangeAsPDF">
            <anchor>
              <from>
                <xdr:col>21</xdr:col>
                <xdr:colOff>895350</xdr:colOff>
                <xdr:row>0</xdr:row>
                <xdr:rowOff>57150</xdr:rowOff>
              </from>
              <to>
                <xdr:col>22</xdr:col>
                <xdr:colOff>647700</xdr:colOff>
                <xdr:row>0</xdr:row>
                <xdr:rowOff>552450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7" id="{DA03F08C-1131-49D8-B567-4A16000616DD}">
            <xm:f>AND(#REF!&lt;&gt;"",#REF!=ThietLap!$B$23)</xm:f>
            <x14:dxf>
              <fill>
                <patternFill>
                  <bgColor theme="0" tint="-0.14996795556505021"/>
                </patternFill>
              </fill>
            </x14:dxf>
          </x14:cfRule>
          <x14:cfRule type="expression" priority="8" id="{32940EF8-798E-4256-9262-0A54CEB21BFC}">
            <xm:f>AND($AO35&lt;&gt;"",$AO35&gt;=DK!$C$19,$AO35&lt;=DK!$C$20)</xm:f>
            <x14:dxf>
              <fill>
                <patternFill>
                  <bgColor theme="7" tint="0.79998168889431442"/>
                </patternFill>
              </fill>
            </x14:dxf>
          </x14:cfRule>
          <x14:cfRule type="expression" priority="9" id="{15106781-A527-4D61-93A0-276C5848142A}">
            <xm:f>AND(#REF!&lt;&gt;"",#REF!&gt;=DK!$C$19,#REF!&lt;=DK!$C$20)</xm:f>
            <x14:dxf>
              <fill>
                <patternFill>
                  <bgColor theme="4" tint="0.59996337778862885"/>
                </patternFill>
              </fill>
            </x14:dxf>
          </x14:cfRule>
          <xm:sqref>B35</xm:sqref>
        </x14:conditionalFormatting>
        <x14:conditionalFormatting xmlns:xm="http://schemas.microsoft.com/office/excel/2006/main">
          <x14:cfRule type="expression" priority="4" id="{E53DB843-C05C-4CC6-993D-216FFCF81635}">
            <xm:f>AND(#REF!&lt;&gt;"",#REF!=ThietLap!$B$23)</xm:f>
            <x14:dxf>
              <fill>
                <patternFill>
                  <bgColor theme="0" tint="-0.14996795556505021"/>
                </patternFill>
              </fill>
            </x14:dxf>
          </x14:cfRule>
          <x14:cfRule type="expression" priority="5" id="{4EE07C86-C102-492A-8BF3-885FC024B168}">
            <xm:f>AND($AO35&lt;&gt;"",$AO35&gt;=DK!$C$19,$AO35&lt;=DK!$C$20)</xm:f>
            <x14:dxf>
              <fill>
                <patternFill>
                  <bgColor theme="7" tint="0.79998168889431442"/>
                </patternFill>
              </fill>
            </x14:dxf>
          </x14:cfRule>
          <x14:cfRule type="expression" priority="6" id="{5CF368C2-66B0-4822-8CED-81DBC035DB88}">
            <xm:f>AND(#REF!&lt;&gt;"",#REF!&gt;=DK!$C$19,#REF!&lt;=DK!$C$20)</xm:f>
            <x14:dxf>
              <fill>
                <patternFill>
                  <bgColor theme="4" tint="0.59996337778862885"/>
                </patternFill>
              </fill>
            </x14:dxf>
          </x14:cfRule>
          <xm:sqref>C35</xm:sqref>
        </x14:conditionalFormatting>
        <x14:conditionalFormatting xmlns:xm="http://schemas.microsoft.com/office/excel/2006/main">
          <x14:cfRule type="expression" priority="90" id="{692E78BE-EADA-423F-9914-1D03AA20E958}">
            <xm:f>AND(DSDV!#REF!&lt;&gt;"",DSDV!#REF!=ThietLap!$B$23)</xm:f>
            <x14:dxf>
              <fill>
                <patternFill>
                  <bgColor theme="0" tint="-0.14996795556505021"/>
                </patternFill>
              </fill>
            </x14:dxf>
          </x14:cfRule>
          <x14:cfRule type="expression" priority="91" id="{C8BE0E24-365C-4911-ADBA-74CB0BB60430}">
            <xm:f>AND(DSDV!#REF!&lt;&gt;"",DSDV!#REF!&gt;=DK!$C$19,DSDV!#REF!&lt;=DK!$C$20)</xm:f>
            <x14:dxf>
              <fill>
                <patternFill>
                  <bgColor theme="7" tint="0.79998168889431442"/>
                </patternFill>
              </fill>
            </x14:dxf>
          </x14:cfRule>
          <x14:cfRule type="expression" priority="92" id="{EDF4FCE3-C7AB-443A-A1B9-E3C5AA2987D1}">
            <xm:f>AND(DSDV!#REF!&lt;&gt;"",DSDV!#REF!&gt;=DK!$C$19,DSDV!#REF!&lt;=DK!$C$20)</xm:f>
            <x14:dxf>
              <fill>
                <patternFill>
                  <bgColor theme="4" tint="0.59996337778862885"/>
                </patternFill>
              </fill>
            </x14:dxf>
          </x14:cfRule>
          <xm:sqref>D36:D42</xm:sqref>
        </x14:conditionalFormatting>
        <x14:conditionalFormatting xmlns:xm="http://schemas.microsoft.com/office/excel/2006/main">
          <x14:cfRule type="expression" priority="93" id="{2F9ECC94-8F78-43C7-AE47-0AA3D41C0273}">
            <xm:f>AND(DSDV!#REF!&lt;&gt;"",DSDV!#REF!=ThietLap!$B$23)</xm:f>
            <x14:dxf>
              <fill>
                <patternFill>
                  <bgColor theme="0" tint="-0.14996795556505021"/>
                </patternFill>
              </fill>
            </x14:dxf>
          </x14:cfRule>
          <x14:cfRule type="expression" priority="94" id="{13E11F68-7005-463E-8EBC-3CEC4D384CE7}">
            <xm:f>AND(DSDV!#REF!&lt;&gt;"",DSDV!#REF!&gt;=DK!$C$19,DSDV!#REF!&lt;=DK!$C$20)</xm:f>
            <x14:dxf>
              <fill>
                <patternFill>
                  <bgColor theme="7" tint="0.79998168889431442"/>
                </patternFill>
              </fill>
            </x14:dxf>
          </x14:cfRule>
          <x14:cfRule type="expression" priority="95" id="{0249EEE7-539E-4E18-9A06-0302C5BA4F93}">
            <xm:f>AND(DSDV!#REF!&lt;&gt;"",DSDV!#REF!&gt;=DK!$C$19,DSDV!#REF!&lt;=DK!$C$20)</xm:f>
            <x14:dxf>
              <fill>
                <patternFill>
                  <bgColor theme="4" tint="0.59996337778862885"/>
                </patternFill>
              </fill>
            </x14:dxf>
          </x14:cfRule>
          <xm:sqref>D35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OFFSET(DSDV!#REF!,0,0,COUNTA(DSDV!$G$7:$G$216))</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57"/>
  <sheetViews>
    <sheetView showGridLines="0" workbookViewId="0">
      <pane ySplit="3" topLeftCell="A4" activePane="bottomLeft" state="frozen"/>
      <selection activeCell="C13" sqref="C13"/>
      <selection pane="bottomLeft" activeCell="E9" sqref="E9"/>
    </sheetView>
  </sheetViews>
  <sheetFormatPr defaultColWidth="9.140625" defaultRowHeight="15.75"/>
  <cols>
    <col min="1" max="1" width="24.5703125" style="5" customWidth="1"/>
    <col min="2" max="2" width="32.85546875" style="5" customWidth="1"/>
    <col min="3" max="3" width="30" style="5" customWidth="1"/>
    <col min="4" max="4" width="17.140625" style="5" customWidth="1"/>
    <col min="5" max="5" width="15.28515625" style="5" customWidth="1"/>
    <col min="6" max="6" width="22.85546875" style="5" customWidth="1"/>
    <col min="7" max="7" width="21.7109375" style="5" customWidth="1"/>
    <col min="8" max="8" width="22.5703125" style="5" customWidth="1"/>
    <col min="9" max="16384" width="9.140625" style="5"/>
  </cols>
  <sheetData>
    <row r="1" spans="1:7" ht="43.5" customHeight="1">
      <c r="A1" s="495" t="s">
        <v>247</v>
      </c>
      <c r="B1" s="495"/>
      <c r="C1" s="495"/>
    </row>
    <row r="2" spans="1:7" ht="18" customHeight="1">
      <c r="A2" s="498" t="s">
        <v>222</v>
      </c>
      <c r="B2" s="498" t="s">
        <v>217</v>
      </c>
      <c r="C2" s="498" t="s">
        <v>221</v>
      </c>
    </row>
    <row r="3" spans="1:7" ht="22.5" customHeight="1">
      <c r="A3" s="498"/>
      <c r="B3" s="498"/>
      <c r="C3" s="498"/>
      <c r="F3" s="305" t="s">
        <v>526</v>
      </c>
      <c r="G3" s="306" t="s">
        <v>511</v>
      </c>
    </row>
    <row r="4" spans="1:7" ht="19.899999999999999" customHeight="1">
      <c r="A4" s="496" t="s">
        <v>10</v>
      </c>
      <c r="B4" s="334" t="s">
        <v>218</v>
      </c>
      <c r="C4" s="335">
        <f>C5+C6</f>
        <v>1</v>
      </c>
    </row>
    <row r="5" spans="1:7" ht="19.899999999999999" customHeight="1">
      <c r="A5" s="496"/>
      <c r="B5" s="334" t="s">
        <v>6</v>
      </c>
      <c r="C5" s="335">
        <f>IF(G3&lt;&gt;"",COUNTIFS(DSDV!$H$7:$H$216,ThietLap!$C$9,DSDV!$W$7:$W$216,G3),COUNTIFS(DSDV!$H$7:$H$216,ThietLap!$C$9))</f>
        <v>1</v>
      </c>
    </row>
    <row r="6" spans="1:7" ht="19.899999999999999" customHeight="1">
      <c r="A6" s="496"/>
      <c r="B6" s="334" t="s">
        <v>7</v>
      </c>
      <c r="C6" s="335">
        <f>IF(G3&lt;&gt;"",COUNTIFS(DSDV!$H$7:$H$216,ThietLap!$C$10,DSDV!$W$7:$W$216,G3),COUNTIFS(DSDV!$H$7:$H$216,ThietLap!$C$9))</f>
        <v>0</v>
      </c>
    </row>
    <row r="7" spans="1:7" ht="18" customHeight="1">
      <c r="A7" s="499" t="s">
        <v>95</v>
      </c>
      <c r="B7" s="336" t="s">
        <v>219</v>
      </c>
      <c r="C7" s="337">
        <f>IF(G3&lt;&gt;"",COUNTIFS(DSDV!$X$7:$X$216,ThietLap!$S$2,DSDV!$W$7:$W$216,G3),COUNTIFS(DSDV!$X$7:$X$216,ThietLap!$S$2))</f>
        <v>1</v>
      </c>
    </row>
    <row r="8" spans="1:7" ht="18" customHeight="1">
      <c r="A8" s="499"/>
      <c r="B8" s="336" t="s">
        <v>161</v>
      </c>
      <c r="C8" s="337">
        <f>IF(G3&lt;&gt;"",COUNTIFS(DSDV!$X$7:$X$216,"&lt;&gt;"&amp;"",DSDV!$W$7:$W$216,G3),COUNTIFS(DSDV!$X$7:$X$216,"&lt;&gt;"&amp;""))-C7</f>
        <v>0</v>
      </c>
    </row>
    <row r="9" spans="1:7" ht="19.899999999999999" customHeight="1">
      <c r="A9" s="500" t="s">
        <v>220</v>
      </c>
      <c r="B9" s="338" t="s">
        <v>148</v>
      </c>
      <c r="C9" s="339">
        <f>IF(G3&lt;&gt;"",COUNTIFS(DSDV!$AC$7:$AC$216,ThietLap!$H$9,DSDV!$W$7:$W$216,G3),COUNTIFS(DSDV!$AC$7:$AC$216,ThietLap!$H$9))</f>
        <v>0</v>
      </c>
    </row>
    <row r="10" spans="1:7" ht="19.899999999999999" customHeight="1">
      <c r="A10" s="500"/>
      <c r="B10" s="338" t="s">
        <v>15</v>
      </c>
      <c r="C10" s="339">
        <f>IF(G3&lt;&gt;"",COUNTIFS(DSDV!$AC$7:$AC$216,ThietLap!$H$10,DSDV!$W$7:$W$216,G3),COUNTIFS(DSDV!$AC$7:$AC$216,ThietLap!$H$10))</f>
        <v>0</v>
      </c>
    </row>
    <row r="11" spans="1:7" ht="19.899999999999999" customHeight="1">
      <c r="A11" s="500"/>
      <c r="B11" s="338" t="s">
        <v>149</v>
      </c>
      <c r="C11" s="339">
        <f>IF(G3&lt;&gt;"",COUNTIFS(DSDV!$AC$7:$AC$216,ThietLap!$H$11,DSDV!$W$7:$W$216,G3),COUNTIFS(DSDV!$AC$7:$AC$216,ThietLap!$H$11))</f>
        <v>1</v>
      </c>
    </row>
    <row r="12" spans="1:7" ht="19.899999999999999" customHeight="1">
      <c r="A12" s="500"/>
      <c r="B12" s="338" t="s">
        <v>150</v>
      </c>
      <c r="C12" s="339">
        <f>IF(G3&lt;&gt;"",COUNTIFS(DSDV!$AC$7:$AC$216,ThietLap!$H$12,DSDV!$W$7:$W$216,G3),COUNTIFS(DSDV!$AC$7:$AC$216,ThietLap!$H$12))</f>
        <v>0</v>
      </c>
    </row>
    <row r="13" spans="1:7" ht="19.899999999999999" customHeight="1">
      <c r="A13" s="497" t="s">
        <v>112</v>
      </c>
      <c r="B13" s="340" t="s">
        <v>113</v>
      </c>
      <c r="C13" s="341">
        <f>IF(G3&lt;&gt;"",COUNTIFS(DSDV!$I$7:$I$216,ThietLap!$U$2,DSDV!$W$7:$W$216,G3),COUNTIFS(DSDV!$I$7:$I$216,ThietLap!$U$2))</f>
        <v>0</v>
      </c>
    </row>
    <row r="14" spans="1:7" ht="19.899999999999999" customHeight="1">
      <c r="A14" s="497"/>
      <c r="B14" s="340" t="s">
        <v>228</v>
      </c>
      <c r="C14" s="341">
        <f>IF(G3&lt;&gt;"",COUNTIFS(DSDV!$I$7:$I$216,ThietLap!$U$3,DSDV!$W$7:$W$216,G3),COUNTIFS(DSDV!$I$7:$I$216,ThietLap!$U$3))+IF(G3&lt;&gt;"",COUNTIFS(DSDV!$I$7:$I$216,ThietLap!$U$4,DSDV!$W$7:$W$216,G3),COUNTIFS(DSDV!$I$7:$I$216,ThietLap!$U$4))+IF(G3&lt;&gt;"",COUNTIFS(DSDV!$I$7:$I$216,ThietLap!$U$5,DSDV!$W$7:$W$216,G3),COUNTIFS(DSDV!$I$7:$I$216,ThietLap!$U$5))</f>
        <v>0</v>
      </c>
    </row>
    <row r="15" spans="1:7" ht="19.899999999999999" customHeight="1">
      <c r="A15" s="497"/>
      <c r="B15" s="340" t="s">
        <v>229</v>
      </c>
      <c r="C15" s="341">
        <f>IF(G3&lt;&gt;"",COUNTIFS(DSDV!$I$7:$I$216,ThietLap!$U$6,DSDV!$W$7:$W$216,G3),COUNTIFS(DSDV!$I$7:$I$216,ThietLap!$U$6))+IF(G3&lt;&gt;"",COUNTIFS(DSDV!$I$7:$I$216,ThietLap!$U$7,DSDV!$W$7:$W$216,G3),COUNTIFS(DSDV!$I$7:$I$216,ThietLap!$U$7))+IF(G3&lt;&gt;"",COUNTIFS(DSDV!$I$7:$I$216,ThietLap!$U$8,DSDV!$W$7:$W$216,G3),COUNTIFS(DSDV!$I$7:$I$216,ThietLap!$U$8))+IF(G3&lt;&gt;"",COUNTIFS(DSDV!$I$7:$I$216,ThietLap!$U$9,DSDV!$W$7:$W$216,G3),COUNTIFS(DSDV!$I$7:$I$216,ThietLap!$U$9))</f>
        <v>0</v>
      </c>
    </row>
    <row r="16" spans="1:7" ht="19.899999999999999" customHeight="1">
      <c r="A16" s="497"/>
      <c r="B16" s="340" t="s">
        <v>230</v>
      </c>
      <c r="C16" s="341">
        <f>IF(G3&lt;&gt;"",COUNTIFS(DSDV!$I$7:$I$216,ThietLap!$U$10,DSDV!$W$7:$W$216,G3),COUNTIFS(DSDV!$I$7:$I$216,ThietLap!$U$10))+IF(G3&lt;&gt;"",COUNTIFS(DSDV!$I$7:$I$216,ThietLap!$U$11,DSDV!$W$7:$W$216,G3),COUNTIFS(DSDV!$I$7:$I$216,ThietLap!$U$11))+IF(G3&lt;&gt;"",COUNTIFS(DSDV!$I$7:$I$216,ThietLap!$U$12,DSDV!$W$7:$W$216,G3),COUNTIFS(DSDV!$I$7:$I$216,ThietLap!$U$12))+IF(G3&lt;&gt;"",COUNTIFS(DSDV!$I$7:$I$216,ThietLap!$U$13,DSDV!$W$7:$W$216,G3),COUNTIFS(DSDV!$I$7:$I$216,ThietLap!$U$13))+IF(G3&lt;&gt;"",COUNTIFS(DSDV!$I$7:$I$216,ThietLap!$U$14,DSDV!$W$7:$W$216,G3),COUNTIFS(DSDV!$I$7:$I$216,ThietLap!$U$14))+IF(G3&lt;&gt;"",COUNTIFS(DSDV!$I$7:$I$216,ThietLap!$U$15,DSDV!$W$7:$W$216,G3),COUNTIFS(DSDV!$I$7:$I$216,ThietLap!$U$15))+IF(G3&lt;&gt;"",COUNTIFS(DSDV!$I$7:$I$216,ThietLap!$U$16,DSDV!$W$7:$W$216,G3),COUNTIFS(DSDV!$I$7:$I$216,ThietLap!$U$16))+IF(G3&lt;&gt;"",COUNTIFS(DSDV!$I$7:$I$216,ThietLap!$U$17,DSDV!$W$7:$W$216,G3),COUNTIFS(DSDV!$I$7:$I$216,ThietLap!$U$17))</f>
        <v>1</v>
      </c>
    </row>
    <row r="17" spans="1:3" ht="19.899999999999999" customHeight="1">
      <c r="A17" s="501" t="s">
        <v>119</v>
      </c>
      <c r="B17" s="342" t="s">
        <v>127</v>
      </c>
      <c r="C17" s="343">
        <f>IF(G3&lt;&gt;"",COUNTIFS(DSDV!$AF$7:$AF$216,ThietLap!$E$9,DSDV!$W$7:$W$216,G3),COUNTIFS(DSDV!$AF$7:$AF$216,ThietLap!$E$9))</f>
        <v>0</v>
      </c>
    </row>
    <row r="18" spans="1:3" ht="19.899999999999999" customHeight="1">
      <c r="A18" s="501"/>
      <c r="B18" s="342" t="s">
        <v>128</v>
      </c>
      <c r="C18" s="343">
        <f>IF(G3&lt;&gt;"",COUNTIFS(DSDV!$AF$7:$AF$216,ThietLap!$E$10,DSDV!$W$7:$W$216,G3),COUNTIFS(DSDV!$AF$7:$AF$216,ThietLap!$E$10))</f>
        <v>0</v>
      </c>
    </row>
    <row r="19" spans="1:3" ht="19.899999999999999" customHeight="1">
      <c r="A19" s="501"/>
      <c r="B19" s="342" t="s">
        <v>129</v>
      </c>
      <c r="C19" s="343">
        <f>IF(G3&lt;&gt;"",COUNTIFS(DSDV!$AF$7:$AF$216,ThietLap!$E$11,DSDV!$W$7:$W$216,G3),COUNTIFS(DSDV!$AF$7:$AF$216,ThietLap!$E$11))</f>
        <v>0</v>
      </c>
    </row>
    <row r="20" spans="1:3" ht="19.899999999999999" customHeight="1">
      <c r="A20" s="501"/>
      <c r="B20" s="342" t="s">
        <v>130</v>
      </c>
      <c r="C20" s="343">
        <f>IF(G2&lt;&gt;"",COUNTIFS(DSDV!$AF$7:$AF$216,ThietLap!$E$12,DSDV!$W$7:$W$216,G2),COUNTIFS(DSDV!$AF$7:$AF$216,ThietLap!$E$12))</f>
        <v>0</v>
      </c>
    </row>
    <row r="21" spans="1:3" ht="19.899999999999999" customHeight="1">
      <c r="A21" s="501"/>
      <c r="B21" s="342" t="s">
        <v>161</v>
      </c>
      <c r="C21" s="343">
        <f>IF(G3&lt;&gt;"",COUNTIFS(DSDV!$AF$7:$AF$216,ThietLap!$E$12,DSDV!$W$7:$W$216,G3),COUNTIFS(DSDV!$AF$7:$AF$216,ThietLap!$E$12))</f>
        <v>0</v>
      </c>
    </row>
    <row r="22" spans="1:3" ht="19.899999999999999" customHeight="1">
      <c r="A22" s="502" t="s">
        <v>231</v>
      </c>
      <c r="B22" s="344" t="s">
        <v>234</v>
      </c>
      <c r="C22" s="345">
        <f ca="1">IF(G3&lt;&gt;"",COUNTIFS(DSDV!$AK$7:$AK$216,"&gt;="&amp;12,DSDV!$W$7:$W$216,G3),COUNTIFS(DSDV!$AK$7:$AK$216,"&gt;="&amp;12))-IF(G3&lt;&gt;"",COUNTIFS(DSDV!$AK$7:$AK$216,"&gt;"&amp;24,DSDV!$W$7:$W$216,G3),COUNTIFS(DSDV!$AK$7:$AK$216,"&gt;"&amp;24))</f>
        <v>0</v>
      </c>
    </row>
    <row r="23" spans="1:3" ht="19.899999999999999" customHeight="1">
      <c r="A23" s="502"/>
      <c r="B23" s="344" t="s">
        <v>235</v>
      </c>
      <c r="C23" s="345">
        <f ca="1">IF(G3&lt;&gt;"",COUNTIFS(DSDV!$AK$7:$AK$216,"&gt;"&amp;24,DSDV!$W$7:$W$216,G3),COUNTIFS(DSDV!$AK$7:$AK$216,"&gt;"&amp;24))-IF(G3&lt;&gt;"",COUNTIFS(DSDV!$AK$7:$AK$216,"&gt;"&amp;36,DSDV!$W$7:$W$216,G3),COUNTIFS(DSDV!$AK$7:$AK$216,"&gt;"&amp;36))</f>
        <v>0</v>
      </c>
    </row>
    <row r="24" spans="1:3" ht="19.899999999999999" customHeight="1">
      <c r="A24" s="502"/>
      <c r="B24" s="344" t="s">
        <v>232</v>
      </c>
      <c r="C24" s="345">
        <f ca="1">IF(G3&lt;&gt;"",COUNTIFS(DSDV!$AK$7:$AK$216,"&gt;"&amp;36,DSDV!$W$7:$W$216,G3),COUNTIFS(DSDV!$AK$7:$AK$216,"&gt;"&amp;36))</f>
        <v>1</v>
      </c>
    </row>
    <row r="25" spans="1:3" ht="19.899999999999999" customHeight="1">
      <c r="A25" s="503" t="s">
        <v>118</v>
      </c>
      <c r="B25" s="346" t="s">
        <v>120</v>
      </c>
      <c r="C25" s="347">
        <f>COUNTIFS(DSDV!$J$7:$J$216,B25,DSDV!$W$7:$W$216,$G$3)</f>
        <v>0</v>
      </c>
    </row>
    <row r="26" spans="1:3" ht="19.899999999999999" customHeight="1">
      <c r="A26" s="503"/>
      <c r="B26" s="346" t="s">
        <v>121</v>
      </c>
      <c r="C26" s="347">
        <f>COUNTIFS(DSDV!$J$7:$J$216,B26,DSDV!$W$7:$W$216,$G$3)</f>
        <v>1</v>
      </c>
    </row>
    <row r="27" spans="1:3" ht="19.899999999999999" customHeight="1">
      <c r="A27" s="503"/>
      <c r="B27" s="346" t="s">
        <v>122</v>
      </c>
      <c r="C27" s="347">
        <f>COUNTIFS(DSDV!$J$7:$J$216,B27,DSDV!$W$7:$W$216,$G$3)</f>
        <v>0</v>
      </c>
    </row>
    <row r="28" spans="1:3" ht="19.899999999999999" customHeight="1">
      <c r="A28" s="503"/>
      <c r="B28" s="346" t="s">
        <v>123</v>
      </c>
      <c r="C28" s="347">
        <f>COUNTIFS(DSDV!$J$7:$J$216,B28,DSDV!$W$7:$W$216,$G$3)</f>
        <v>0</v>
      </c>
    </row>
    <row r="29" spans="1:3" ht="19.899999999999999" customHeight="1">
      <c r="A29" s="503"/>
      <c r="B29" s="346" t="s">
        <v>124</v>
      </c>
      <c r="C29" s="347">
        <f>COUNTIFS(DSDV!$J$7:$J$216,B29,DSDV!$W$7:$W$216,$G$3)</f>
        <v>0</v>
      </c>
    </row>
    <row r="30" spans="1:3" ht="19.899999999999999" customHeight="1">
      <c r="A30" s="503"/>
      <c r="B30" s="346" t="s">
        <v>731</v>
      </c>
      <c r="C30" s="347">
        <f>COUNTIFS(DSDV!$J$7:$J$216,B30,DSDV!$W$7:$W$216,$G$3)</f>
        <v>0</v>
      </c>
    </row>
    <row r="31" spans="1:3" ht="19.899999999999999" customHeight="1">
      <c r="A31" s="503"/>
      <c r="B31" s="346" t="s">
        <v>125</v>
      </c>
      <c r="C31" s="347">
        <f>COUNTIFS(DSDV!$J$7:$J$216,B31,DSDV!$W$7:$W$216,$G$3)</f>
        <v>0</v>
      </c>
    </row>
    <row r="32" spans="1:3" ht="19.899999999999999" customHeight="1">
      <c r="A32" s="504" t="s">
        <v>237</v>
      </c>
      <c r="B32" s="348" t="s">
        <v>15</v>
      </c>
      <c r="C32" s="349">
        <f>IF(G3&lt;&gt;"",COUNTIFS(DSDV!$AB$7:$AB$216,ThietLap!$G$13,DSDV!$W$7:$W$216,G3),COUNTIFS(DSDV!$AB$7:$AB$216,ThietLap!$G$13))</f>
        <v>1</v>
      </c>
    </row>
    <row r="33" spans="1:3" ht="19.899999999999999" customHeight="1">
      <c r="A33" s="504"/>
      <c r="B33" s="348" t="s">
        <v>153</v>
      </c>
      <c r="C33" s="349">
        <f>IF(G3&lt;&gt;"",COUNTIFS(DSDV!$AB$7:$AB$216,ThietLap!$G$12,DSDV!$W$7:$W$216,G3),COUNTIFS(DSDV!$AB$7:$AB$216,ThietLap!$G$12))</f>
        <v>0</v>
      </c>
    </row>
    <row r="34" spans="1:3" ht="19.899999999999999" customHeight="1">
      <c r="A34" s="504"/>
      <c r="B34" s="348" t="s">
        <v>4</v>
      </c>
      <c r="C34" s="349">
        <f>IF(G3&lt;&gt;"",COUNTIFS(DSDV!$AB$7:$AB$216,ThietLap!$G$11,DSDV!$W$7:$W$216,G3),COUNTIFS(DSDV!$AB$7:$AB$216,ThietLap!$G$11))</f>
        <v>0</v>
      </c>
    </row>
    <row r="35" spans="1:3" ht="19.899999999999999" customHeight="1">
      <c r="A35" s="504"/>
      <c r="B35" s="348" t="s">
        <v>152</v>
      </c>
      <c r="C35" s="349">
        <f>IF(G3&lt;&gt;"",COUNTIFS(DSDV!$AB$7:$AB$216,ThietLap!$G$10,DSDV!$W$7:$W$216,G3),COUNTIFS(DSDV!$AB$7:$AB$216,ThietLap!$G$10))</f>
        <v>0</v>
      </c>
    </row>
    <row r="36" spans="1:3" ht="19.899999999999999" customHeight="1">
      <c r="A36" s="504"/>
      <c r="B36" s="348" t="s">
        <v>151</v>
      </c>
      <c r="C36" s="349">
        <f>IF(G3&lt;&gt;"",COUNTIFS(DSDV!$AB$7:$AB$216,ThietLap!$G$9,DSDV!$W$7:$W$216,G3),COUNTIFS(DSDV!$AB$7:$AB$216,ThietLap!$G$9))</f>
        <v>0</v>
      </c>
    </row>
    <row r="37" spans="1:3" ht="19.899999999999999" customHeight="1">
      <c r="A37" s="497" t="s">
        <v>239</v>
      </c>
      <c r="B37" s="340" t="s">
        <v>240</v>
      </c>
      <c r="C37" s="341">
        <f ca="1">IF(G3&lt;&gt;"",COUNTIFS(DSDV!$AJ$7:$AJ$216,"&lt;="&amp;30,DSDV!$AJ$7:$AJ$216,"&gt;="&amp;18,DSDV!$W$7:$W$216,G3),COUNTIFS(DSDV!$AJ$7:$AJ$216,"&lt;="&amp;30,DSDV!$AJ$7:$AJ$216,"&gt;="&amp;18))</f>
        <v>0</v>
      </c>
    </row>
    <row r="38" spans="1:3" ht="19.899999999999999" customHeight="1">
      <c r="A38" s="497"/>
      <c r="B38" s="340" t="s">
        <v>241</v>
      </c>
      <c r="C38" s="341">
        <f ca="1">IF(G3&lt;&gt;"",COUNTIFS(DSDV!$AJ$7:$AJ$216,"&lt;="&amp;35,DSDV!$AJ$7:$AJ$216,"&gt;="&amp;31,DSDV!$W$7:$W$216,G3),COUNTIFS(DSDV!$AJ$7:$AJ$216,"&lt;="&amp;35,DSDV!$AJ$7:$AJ$216,"&gt;="&amp;31))</f>
        <v>0</v>
      </c>
    </row>
    <row r="39" spans="1:3" ht="19.899999999999999" customHeight="1">
      <c r="A39" s="497"/>
      <c r="B39" s="340" t="s">
        <v>242</v>
      </c>
      <c r="C39" s="341">
        <f ca="1">IF(G3&lt;&gt;"",COUNTIFS(DSDV!$AJ$7:$AJ$216,"&lt;="&amp;40,DSDV!$AJ$7:$AJ$216,"&gt;="&amp;36,DSDV!$W$7:$W$216,G3),COUNTIFS(DSDV!$AJ$7:$AJ$216,"&lt;="&amp;40,DSDV!$AJ$7:$AJ$216,"&gt;="&amp;36))</f>
        <v>1</v>
      </c>
    </row>
    <row r="40" spans="1:3" ht="19.899999999999999" customHeight="1">
      <c r="A40" s="497"/>
      <c r="B40" s="340" t="s">
        <v>243</v>
      </c>
      <c r="C40" s="341">
        <f ca="1">IF(G3&lt;&gt;"",COUNTIFS(DSDV!$AJ$7:$AJ$216,"&lt;="&amp;45,DSDV!$AJ$7:$AJ$216,"&gt;="&amp;41,DSDV!$W$7:$W$216,G3),COUNTIFS(DSDV!$AJ$7:$AJ$216,"&lt;="&amp;45,DSDV!$AJ$7:$AJ$216,"&gt;="&amp;41))</f>
        <v>0</v>
      </c>
    </row>
    <row r="41" spans="1:3" ht="19.899999999999999" customHeight="1">
      <c r="A41" s="497"/>
      <c r="B41" s="340" t="s">
        <v>244</v>
      </c>
      <c r="C41" s="341">
        <f ca="1">IF(G3&lt;&gt;"",COUNTIFS(DSDV!$AJ$7:$AJ$216,"&lt;="&amp;50,DSDV!$AJ$7:$AJ$216,"&gt;="&amp;46,DSDV!$W$7:$W$216,G3),COUNTIFS(DSDV!$AJ$7:$AJ$216,"&lt;="&amp;50,DSDV!$AJ$7:$AJ$216,"&gt;="&amp;46))</f>
        <v>0</v>
      </c>
    </row>
    <row r="42" spans="1:3" ht="19.899999999999999" customHeight="1">
      <c r="A42" s="497"/>
      <c r="B42" s="340" t="s">
        <v>245</v>
      </c>
      <c r="C42" s="341">
        <f ca="1">IF(G3&lt;&gt;"",COUNTIFS(DSDV!$AJ$7:$AJ$216,"&lt;="&amp;55,DSDV!$AJ$7:$AJ$216,"&gt;="&amp;51,DSDV!$W$7:$W$216,G3),COUNTIFS(DSDV!$AJ$7:$AJ$216,"&lt;="&amp;55,DSDV!$AJ$7:$AJ$216,"&gt;="&amp;51))</f>
        <v>0</v>
      </c>
    </row>
    <row r="43" spans="1:3" ht="19.899999999999999" customHeight="1">
      <c r="A43" s="497"/>
      <c r="B43" s="340" t="s">
        <v>246</v>
      </c>
      <c r="C43" s="341">
        <f ca="1">(SUM(DSDV!$AJ$7:$AJ$216))/COUNTIFS(DSDV!$AJ$7:$AJ$216,"&gt;"&amp;0)</f>
        <v>32</v>
      </c>
    </row>
    <row r="44" spans="1:3" ht="19.899999999999999" customHeight="1">
      <c r="A44" s="494" t="s">
        <v>131</v>
      </c>
      <c r="B44" s="350" t="s">
        <v>491</v>
      </c>
      <c r="C44" s="347">
        <f>IF(G3&lt;&gt;"",COUNTIFS(DSDV!$T$7:$T$216,ThietLap!$F$9,DSDV!$W$7:$W$216,G3),COUNTIFS(DSDV!$T$7:$T$216,ThietLap!$F$9))</f>
        <v>0</v>
      </c>
    </row>
    <row r="45" spans="1:3" ht="19.899999999999999" customHeight="1">
      <c r="A45" s="494"/>
      <c r="B45" s="350" t="s">
        <v>492</v>
      </c>
      <c r="C45" s="347">
        <f>IF(G3&lt;&gt;"",COUNTIFS(DSDV!$T$7:$T$216,ThietLap!$F$10,DSDV!$W$7:$W$216,G3),COUNTIFS(DSDV!$T$7:$T$216,ThietLap!$F$10))</f>
        <v>0</v>
      </c>
    </row>
    <row r="46" spans="1:3" ht="19.899999999999999" customHeight="1">
      <c r="A46" s="494"/>
      <c r="B46" s="350" t="s">
        <v>134</v>
      </c>
      <c r="C46" s="347">
        <f>IF(G3&lt;&gt;"",COUNTIFS(DSDV!$T$7:$T$216,ThietLap!$F$11,DSDV!$W$7:$W$216,G3),COUNTIFS(DSDV!$T$7:$T$216,ThietLap!$F$11))</f>
        <v>0</v>
      </c>
    </row>
    <row r="47" spans="1:3" ht="19.899999999999999" customHeight="1">
      <c r="A47" s="494"/>
      <c r="B47" s="350" t="s">
        <v>133</v>
      </c>
      <c r="C47" s="347">
        <f>IF(G3&lt;&gt;"",COUNTIFS(DSDV!$T$7:$T$216,ThietLap!$F$12,DSDV!$W$7:$W$216,G3),COUNTIFS(DSDV!$T$7:$T$216,ThietLap!$F$12))</f>
        <v>0</v>
      </c>
    </row>
    <row r="48" spans="1:3" ht="19.899999999999999" customHeight="1">
      <c r="A48" s="494"/>
      <c r="B48" s="350" t="s">
        <v>493</v>
      </c>
      <c r="C48" s="347">
        <f>IF(G3&lt;&gt;"",COUNTIFS(DSDV!$T$7:$T$216,ThietLap!$F$13,DSDV!$W$7:$W$216,G3),COUNTIFS(DSDV!$T$7:$T$216,ThietLap!$F$13))</f>
        <v>0</v>
      </c>
    </row>
    <row r="49" spans="1:3" ht="19.899999999999999" customHeight="1">
      <c r="A49" s="494"/>
      <c r="B49" s="350" t="s">
        <v>135</v>
      </c>
      <c r="C49" s="347">
        <f>IF(G3&lt;&gt;"",COUNTIFS(DSDV!$T$7:$T$216,ThietLap!$F$14,DSDV!$W$7:$W$216,G3),COUNTIFS(DSDV!$T$7:$T$216,ThietLap!$F$14))</f>
        <v>1</v>
      </c>
    </row>
    <row r="50" spans="1:3" ht="16.5">
      <c r="A50" s="494"/>
      <c r="B50" s="350" t="s">
        <v>531</v>
      </c>
      <c r="C50" s="347">
        <f>IF(G3&lt;&gt;"",COUNTIFS(DSDV!$T$7:$T$216,ThietLap!$F$15,DSDV!$W$7:$W$216,G3),COUNTIFS(DSDV!$T$7:$T$216,ThietLap!$F$15))</f>
        <v>0</v>
      </c>
    </row>
    <row r="51" spans="1:3">
      <c r="A51" s="62"/>
      <c r="B51" s="62"/>
      <c r="C51" s="63"/>
    </row>
    <row r="52" spans="1:3">
      <c r="A52" s="62"/>
      <c r="B52" s="62"/>
      <c r="C52" s="63"/>
    </row>
    <row r="53" spans="1:3">
      <c r="A53" s="62"/>
      <c r="B53" s="62"/>
      <c r="C53" s="63"/>
    </row>
    <row r="54" spans="1:3">
      <c r="C54" s="64"/>
    </row>
    <row r="55" spans="1:3">
      <c r="C55" s="64"/>
    </row>
    <row r="56" spans="1:3">
      <c r="C56" s="64"/>
    </row>
    <row r="57" spans="1:3">
      <c r="C57" s="64"/>
    </row>
  </sheetData>
  <mergeCells count="14">
    <mergeCell ref="A44:A50"/>
    <mergeCell ref="A1:C1"/>
    <mergeCell ref="A4:A6"/>
    <mergeCell ref="A13:A16"/>
    <mergeCell ref="B2:B3"/>
    <mergeCell ref="A2:A3"/>
    <mergeCell ref="A7:A8"/>
    <mergeCell ref="A9:A12"/>
    <mergeCell ref="C2:C3"/>
    <mergeCell ref="A17:A21"/>
    <mergeCell ref="A22:A24"/>
    <mergeCell ref="A25:A31"/>
    <mergeCell ref="A32:A36"/>
    <mergeCell ref="A37:A43"/>
  </mergeCells>
  <pageMargins left="0.7" right="0.7" top="0.75" bottom="0.75" header="0.3" footer="0.3"/>
  <pageSetup paperSize="9" scale="53"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'Danh muc Chi bo'!$F$2:$F$16</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36"/>
  <sheetViews>
    <sheetView showGridLines="0" zoomScaleNormal="100" workbookViewId="0">
      <selection activeCell="C5" sqref="C5:D5"/>
    </sheetView>
  </sheetViews>
  <sheetFormatPr defaultColWidth="9.140625" defaultRowHeight="15"/>
  <cols>
    <col min="1" max="1" width="16.85546875" style="1" customWidth="1"/>
    <col min="2" max="2" width="20.42578125" style="1" customWidth="1"/>
    <col min="3" max="3" width="18" style="1" customWidth="1"/>
    <col min="4" max="4" width="15.42578125" style="1" customWidth="1"/>
    <col min="5" max="5" width="24.28515625" style="1" customWidth="1"/>
    <col min="6" max="6" width="18" style="1" customWidth="1"/>
    <col min="7" max="7" width="14.42578125" style="1" customWidth="1"/>
    <col min="8" max="8" width="16" style="1" customWidth="1"/>
    <col min="9" max="9" width="3.42578125" style="1" customWidth="1"/>
    <col min="10" max="16384" width="9.140625" style="1"/>
  </cols>
  <sheetData>
    <row r="1" spans="1:17" ht="63" customHeight="1">
      <c r="A1" s="527" t="s">
        <v>144</v>
      </c>
      <c r="B1" s="528"/>
      <c r="C1" s="528"/>
      <c r="D1" s="528"/>
      <c r="E1" s="528"/>
      <c r="F1" s="528"/>
      <c r="G1" s="528"/>
      <c r="H1" s="528"/>
      <c r="I1" s="528"/>
      <c r="J1" s="32"/>
      <c r="K1" s="16"/>
      <c r="L1" s="16"/>
      <c r="M1" s="16"/>
      <c r="N1" s="16"/>
      <c r="O1" s="16"/>
      <c r="P1" s="16"/>
      <c r="Q1" s="16"/>
    </row>
    <row r="2" spans="1:17" ht="6" customHeight="1">
      <c r="A2" s="509" t="s">
        <v>157</v>
      </c>
      <c r="B2" s="49"/>
      <c r="C2" s="50"/>
      <c r="D2" s="50"/>
      <c r="E2" s="50"/>
      <c r="F2" s="50"/>
      <c r="G2" s="50"/>
      <c r="H2" s="50"/>
      <c r="I2" s="51"/>
      <c r="J2" s="32"/>
      <c r="K2" s="16"/>
      <c r="L2" s="16"/>
      <c r="M2" s="16"/>
      <c r="N2" s="16"/>
      <c r="O2" s="16"/>
      <c r="P2" s="16"/>
      <c r="Q2" s="16"/>
    </row>
    <row r="3" spans="1:17" ht="22.35" customHeight="1">
      <c r="A3" s="510"/>
      <c r="B3" s="52" t="s">
        <v>155</v>
      </c>
      <c r="C3" s="513"/>
      <c r="D3" s="514"/>
      <c r="E3" s="517" t="s">
        <v>158</v>
      </c>
      <c r="F3" s="518"/>
      <c r="G3" s="533"/>
      <c r="H3" s="534"/>
      <c r="I3" s="53"/>
      <c r="J3" s="32"/>
      <c r="K3" s="16"/>
      <c r="L3" s="16"/>
      <c r="M3" s="16"/>
      <c r="N3" s="16"/>
      <c r="O3" s="16"/>
      <c r="P3" s="16"/>
      <c r="Q3" s="16"/>
    </row>
    <row r="4" spans="1:17" ht="6" customHeight="1">
      <c r="A4" s="511"/>
      <c r="B4" s="108"/>
      <c r="C4" s="54"/>
      <c r="D4" s="54"/>
      <c r="E4" s="107"/>
      <c r="F4" s="107"/>
      <c r="G4" s="54"/>
      <c r="H4" s="54"/>
      <c r="I4" s="53"/>
      <c r="J4" s="32"/>
      <c r="K4" s="16"/>
      <c r="L4" s="16"/>
      <c r="M4" s="16"/>
      <c r="N4" s="16"/>
      <c r="O4" s="16"/>
      <c r="P4" s="16"/>
      <c r="Q4" s="16"/>
    </row>
    <row r="5" spans="1:17" ht="22.35" customHeight="1">
      <c r="A5" s="510"/>
      <c r="B5" s="52" t="s">
        <v>156</v>
      </c>
      <c r="C5" s="513"/>
      <c r="D5" s="514"/>
      <c r="E5" s="517" t="s">
        <v>159</v>
      </c>
      <c r="F5" s="518"/>
      <c r="G5" s="533"/>
      <c r="H5" s="534"/>
      <c r="I5" s="53"/>
      <c r="J5" s="32"/>
      <c r="K5" s="16"/>
      <c r="L5" s="16"/>
      <c r="M5" s="16"/>
      <c r="N5" s="16"/>
      <c r="O5" s="16"/>
      <c r="P5" s="16"/>
      <c r="Q5" s="16"/>
    </row>
    <row r="6" spans="1:17" ht="6" customHeight="1">
      <c r="A6" s="510"/>
      <c r="B6" s="108"/>
      <c r="C6" s="54"/>
      <c r="D6" s="107"/>
      <c r="E6" s="107"/>
      <c r="F6" s="107"/>
      <c r="G6" s="54"/>
      <c r="H6" s="54"/>
      <c r="I6" s="53"/>
      <c r="J6" s="32"/>
      <c r="K6" s="16"/>
      <c r="L6" s="16"/>
      <c r="M6" s="16"/>
      <c r="N6" s="16"/>
      <c r="O6" s="16"/>
      <c r="P6" s="16"/>
      <c r="Q6" s="16"/>
    </row>
    <row r="7" spans="1:17" ht="22.35" customHeight="1">
      <c r="A7" s="510"/>
      <c r="B7" s="52" t="s">
        <v>462</v>
      </c>
      <c r="C7" s="186"/>
      <c r="D7" s="535"/>
      <c r="E7" s="535"/>
      <c r="F7" s="535"/>
      <c r="G7" s="533"/>
      <c r="H7" s="534"/>
      <c r="I7" s="53"/>
      <c r="J7" s="32"/>
      <c r="K7" s="16"/>
      <c r="L7" s="16"/>
      <c r="M7" s="16"/>
      <c r="N7" s="16"/>
      <c r="O7" s="16"/>
      <c r="P7" s="16"/>
      <c r="Q7" s="16"/>
    </row>
    <row r="8" spans="1:17" ht="6.75" customHeight="1">
      <c r="A8" s="512"/>
      <c r="B8" s="54"/>
      <c r="C8" s="54"/>
      <c r="D8" s="54"/>
      <c r="E8" s="54"/>
      <c r="F8" s="54"/>
      <c r="G8" s="54"/>
      <c r="H8" s="54"/>
      <c r="I8" s="55"/>
      <c r="J8" s="32"/>
      <c r="K8" s="16"/>
      <c r="L8" s="16"/>
      <c r="M8" s="16"/>
      <c r="N8" s="16"/>
      <c r="O8" s="16"/>
      <c r="P8" s="16"/>
      <c r="Q8" s="16"/>
    </row>
    <row r="9" spans="1:17" ht="7.5" customHeight="1">
      <c r="A9" s="529" t="s">
        <v>19</v>
      </c>
      <c r="B9" s="33"/>
      <c r="C9" s="33"/>
      <c r="D9" s="33"/>
      <c r="E9" s="33"/>
      <c r="F9" s="33"/>
      <c r="G9" s="33"/>
      <c r="H9" s="33"/>
      <c r="I9" s="34"/>
      <c r="J9" s="32"/>
      <c r="K9" s="16"/>
      <c r="L9" s="16"/>
      <c r="M9" s="16"/>
      <c r="N9" s="16"/>
      <c r="O9" s="16"/>
      <c r="P9" s="16"/>
      <c r="Q9" s="16"/>
    </row>
    <row r="10" spans="1:17" ht="22.35" customHeight="1">
      <c r="A10" s="530"/>
      <c r="B10" s="31" t="s">
        <v>94</v>
      </c>
      <c r="C10" s="532"/>
      <c r="D10" s="532"/>
      <c r="E10" s="86" t="s">
        <v>249</v>
      </c>
      <c r="F10" s="532"/>
      <c r="G10" s="532"/>
      <c r="H10" s="88"/>
      <c r="I10" s="35"/>
      <c r="J10" s="32"/>
      <c r="K10" s="16"/>
      <c r="L10" s="16"/>
      <c r="M10" s="16"/>
      <c r="N10" s="16"/>
      <c r="O10" s="16"/>
      <c r="P10" s="16"/>
      <c r="Q10" s="16"/>
    </row>
    <row r="11" spans="1:17" ht="7.5" customHeight="1">
      <c r="A11" s="530"/>
      <c r="B11" s="36"/>
      <c r="C11" s="36"/>
      <c r="D11" s="36"/>
      <c r="E11" s="36"/>
      <c r="F11" s="36"/>
      <c r="G11" s="36"/>
      <c r="H11" s="88"/>
      <c r="I11" s="35"/>
      <c r="J11" s="32"/>
      <c r="K11" s="16"/>
      <c r="L11" s="16"/>
      <c r="M11" s="16"/>
      <c r="N11" s="16"/>
      <c r="O11" s="16"/>
      <c r="P11" s="16"/>
      <c r="Q11" s="16"/>
    </row>
    <row r="12" spans="1:17" ht="21" customHeight="1">
      <c r="A12" s="530"/>
      <c r="B12" s="31" t="s">
        <v>10</v>
      </c>
      <c r="C12" s="18"/>
      <c r="D12" s="59" t="s">
        <v>1</v>
      </c>
      <c r="E12" s="17"/>
      <c r="F12" s="86" t="s">
        <v>95</v>
      </c>
      <c r="G12" s="17"/>
      <c r="H12" s="88"/>
      <c r="I12" s="35"/>
      <c r="J12" s="32"/>
      <c r="K12" s="16"/>
      <c r="L12" s="16"/>
      <c r="M12" s="16"/>
      <c r="N12" s="16"/>
      <c r="O12" s="16"/>
      <c r="P12" s="16"/>
      <c r="Q12" s="16"/>
    </row>
    <row r="13" spans="1:17" ht="7.5" customHeight="1">
      <c r="A13" s="530"/>
      <c r="B13" s="36"/>
      <c r="C13" s="36"/>
      <c r="D13" s="36"/>
      <c r="E13" s="36"/>
      <c r="F13" s="36"/>
      <c r="G13" s="36"/>
      <c r="H13" s="36"/>
      <c r="I13" s="35"/>
      <c r="J13" s="32"/>
      <c r="K13" s="16"/>
      <c r="L13" s="16"/>
      <c r="M13" s="16"/>
      <c r="N13" s="16"/>
      <c r="O13" s="16"/>
      <c r="P13" s="16"/>
      <c r="Q13" s="16"/>
    </row>
    <row r="14" spans="1:17" ht="22.35" customHeight="1">
      <c r="A14" s="530"/>
      <c r="B14" s="31" t="s">
        <v>111</v>
      </c>
      <c r="C14" s="18"/>
      <c r="D14" s="59" t="s">
        <v>112</v>
      </c>
      <c r="E14" s="18"/>
      <c r="F14" s="31" t="s">
        <v>3</v>
      </c>
      <c r="G14" s="532"/>
      <c r="H14" s="532"/>
      <c r="I14" s="35"/>
      <c r="J14" s="32"/>
      <c r="K14" s="16"/>
      <c r="L14" s="16"/>
      <c r="M14" s="16"/>
      <c r="N14" s="16"/>
      <c r="O14" s="16"/>
      <c r="P14" s="16"/>
      <c r="Q14" s="16"/>
    </row>
    <row r="15" spans="1:17" ht="7.5" customHeight="1">
      <c r="A15" s="530"/>
      <c r="B15" s="36"/>
      <c r="C15" s="36"/>
      <c r="D15" s="36"/>
      <c r="E15" s="36"/>
      <c r="F15" s="36"/>
      <c r="G15" s="36"/>
      <c r="H15" s="36"/>
      <c r="I15" s="35"/>
      <c r="J15" s="32"/>
      <c r="K15" s="16"/>
      <c r="L15" s="16"/>
      <c r="M15" s="16"/>
      <c r="N15" s="16"/>
      <c r="O15" s="16"/>
      <c r="P15" s="16"/>
      <c r="Q15" s="16"/>
    </row>
    <row r="16" spans="1:17" ht="22.35" customHeight="1">
      <c r="A16" s="530"/>
      <c r="B16" s="87" t="s">
        <v>116</v>
      </c>
      <c r="C16" s="523"/>
      <c r="D16" s="524"/>
      <c r="E16" s="524"/>
      <c r="F16" s="524"/>
      <c r="G16" s="524"/>
      <c r="H16" s="525"/>
      <c r="I16" s="35"/>
      <c r="J16" s="32"/>
      <c r="K16" s="16"/>
      <c r="L16" s="16"/>
      <c r="M16" s="16"/>
      <c r="N16" s="16"/>
      <c r="O16" s="16"/>
      <c r="P16" s="16"/>
      <c r="Q16" s="16"/>
    </row>
    <row r="17" spans="1:17" ht="7.5" customHeight="1">
      <c r="A17" s="530"/>
      <c r="B17" s="36"/>
      <c r="C17" s="36"/>
      <c r="D17" s="36"/>
      <c r="E17" s="36"/>
      <c r="F17" s="36"/>
      <c r="G17" s="36"/>
      <c r="H17" s="36"/>
      <c r="I17" s="35"/>
      <c r="J17" s="32"/>
      <c r="K17" s="16"/>
      <c r="L17" s="16"/>
      <c r="M17" s="16"/>
      <c r="N17" s="16"/>
      <c r="O17" s="16"/>
      <c r="P17" s="16"/>
      <c r="Q17" s="16"/>
    </row>
    <row r="18" spans="1:17" ht="22.35" customHeight="1">
      <c r="A18" s="530"/>
      <c r="B18" s="31" t="s">
        <v>117</v>
      </c>
      <c r="C18" s="523"/>
      <c r="D18" s="524"/>
      <c r="E18" s="524"/>
      <c r="F18" s="524"/>
      <c r="G18" s="524"/>
      <c r="H18" s="525"/>
      <c r="I18" s="35"/>
      <c r="J18" s="32"/>
      <c r="K18" s="16"/>
      <c r="L18" s="16"/>
      <c r="M18" s="16"/>
      <c r="N18" s="16"/>
      <c r="O18" s="16"/>
      <c r="P18" s="16"/>
      <c r="Q18" s="16"/>
    </row>
    <row r="19" spans="1:17" ht="8.25" customHeight="1">
      <c r="A19" s="531"/>
      <c r="B19" s="37"/>
      <c r="C19" s="37"/>
      <c r="D19" s="37"/>
      <c r="E19" s="37"/>
      <c r="F19" s="37"/>
      <c r="G19" s="37"/>
      <c r="H19" s="38"/>
      <c r="I19" s="39"/>
      <c r="J19" s="32"/>
      <c r="K19" s="16"/>
      <c r="L19" s="16"/>
      <c r="M19" s="16"/>
      <c r="N19" s="16"/>
      <c r="O19" s="16"/>
      <c r="P19" s="16"/>
      <c r="Q19" s="16"/>
    </row>
    <row r="20" spans="1:17" ht="8.25" customHeight="1">
      <c r="A20" s="40"/>
      <c r="B20" s="41"/>
      <c r="C20" s="42"/>
      <c r="D20" s="42"/>
      <c r="E20" s="42"/>
      <c r="F20" s="42"/>
      <c r="G20" s="42"/>
      <c r="H20" s="42"/>
      <c r="I20" s="43"/>
      <c r="J20" s="32"/>
      <c r="K20" s="16"/>
      <c r="L20" s="16"/>
      <c r="M20" s="16"/>
      <c r="N20" s="16"/>
      <c r="O20" s="16"/>
      <c r="P20" s="16"/>
      <c r="Q20" s="16"/>
    </row>
    <row r="21" spans="1:17" ht="22.35" customHeight="1">
      <c r="A21" s="507"/>
      <c r="B21" s="44" t="s">
        <v>118</v>
      </c>
      <c r="C21" s="116"/>
      <c r="D21" s="44" t="s">
        <v>119</v>
      </c>
      <c r="E21" s="116"/>
      <c r="F21" s="44" t="s">
        <v>131</v>
      </c>
      <c r="G21" s="521"/>
      <c r="H21" s="522"/>
      <c r="I21" s="45"/>
      <c r="J21" s="32"/>
      <c r="K21" s="16"/>
      <c r="L21" s="16"/>
      <c r="M21" s="16"/>
      <c r="N21" s="16"/>
      <c r="O21" s="16"/>
      <c r="P21" s="16"/>
      <c r="Q21" s="16"/>
    </row>
    <row r="22" spans="1:17" ht="6.75" customHeight="1">
      <c r="A22" s="507"/>
      <c r="B22" s="106"/>
      <c r="C22" s="105"/>
      <c r="D22" s="44"/>
      <c r="E22" s="105"/>
      <c r="F22" s="105"/>
      <c r="G22" s="44"/>
      <c r="H22" s="105"/>
      <c r="I22" s="45"/>
      <c r="J22" s="32"/>
      <c r="K22" s="16"/>
      <c r="L22" s="16"/>
      <c r="M22" s="16"/>
      <c r="N22" s="16"/>
      <c r="O22" s="16"/>
      <c r="P22" s="16"/>
      <c r="Q22" s="16"/>
    </row>
    <row r="23" spans="1:17" ht="22.35" customHeight="1">
      <c r="A23" s="507"/>
      <c r="B23" s="44" t="s">
        <v>136</v>
      </c>
      <c r="C23" s="17"/>
      <c r="D23" s="44" t="s">
        <v>137</v>
      </c>
      <c r="E23" s="523"/>
      <c r="F23" s="524"/>
      <c r="G23" s="524"/>
      <c r="H23" s="525"/>
      <c r="I23" s="45"/>
      <c r="J23" s="32"/>
      <c r="K23" s="16"/>
      <c r="L23" s="16"/>
      <c r="M23" s="16"/>
      <c r="N23" s="16"/>
      <c r="O23" s="16"/>
      <c r="P23" s="16"/>
      <c r="Q23" s="16"/>
    </row>
    <row r="24" spans="1:17" ht="7.5" customHeight="1">
      <c r="A24" s="507"/>
      <c r="B24" s="106"/>
      <c r="C24" s="105"/>
      <c r="D24" s="44"/>
      <c r="E24" s="105"/>
      <c r="F24" s="105"/>
      <c r="G24" s="44"/>
      <c r="H24" s="105"/>
      <c r="I24" s="45"/>
      <c r="J24" s="32"/>
      <c r="K24" s="16"/>
      <c r="L24" s="16"/>
      <c r="M24" s="16"/>
      <c r="N24" s="16"/>
      <c r="O24" s="16"/>
      <c r="P24" s="16"/>
      <c r="Q24" s="16"/>
    </row>
    <row r="25" spans="1:17" ht="22.35" customHeight="1">
      <c r="A25" s="507"/>
      <c r="B25" s="44" t="s">
        <v>138</v>
      </c>
      <c r="C25" s="17"/>
      <c r="D25" s="44" t="s">
        <v>137</v>
      </c>
      <c r="E25" s="523"/>
      <c r="F25" s="524"/>
      <c r="G25" s="524"/>
      <c r="H25" s="525"/>
      <c r="I25" s="45"/>
      <c r="J25" s="32"/>
      <c r="K25" s="16"/>
      <c r="L25" s="16"/>
      <c r="M25" s="16"/>
      <c r="N25" s="16"/>
      <c r="O25" s="16"/>
      <c r="P25" s="16"/>
      <c r="Q25" s="16"/>
    </row>
    <row r="26" spans="1:17" ht="6" customHeight="1">
      <c r="A26" s="507"/>
      <c r="B26" s="106"/>
      <c r="C26" s="105"/>
      <c r="D26" s="44"/>
      <c r="E26" s="105"/>
      <c r="F26" s="105"/>
      <c r="G26" s="44"/>
      <c r="H26" s="105"/>
      <c r="I26" s="45"/>
      <c r="J26" s="32"/>
      <c r="K26" s="16"/>
      <c r="L26" s="16"/>
      <c r="M26" s="16"/>
      <c r="N26" s="16"/>
      <c r="O26" s="16"/>
      <c r="P26" s="16"/>
      <c r="Q26" s="16"/>
    </row>
    <row r="27" spans="1:17" ht="22.35" customHeight="1">
      <c r="A27" s="507"/>
      <c r="B27" s="44" t="s">
        <v>139</v>
      </c>
      <c r="C27" s="17"/>
      <c r="D27" s="44" t="s">
        <v>141</v>
      </c>
      <c r="E27" s="17"/>
      <c r="F27" s="44" t="s">
        <v>140</v>
      </c>
      <c r="G27" s="505"/>
      <c r="H27" s="506"/>
      <c r="I27" s="45"/>
      <c r="J27" s="32"/>
      <c r="K27" s="16"/>
      <c r="L27" s="16"/>
      <c r="M27" s="16"/>
      <c r="N27" s="16"/>
      <c r="O27" s="16"/>
      <c r="P27" s="16"/>
      <c r="Q27" s="16"/>
    </row>
    <row r="28" spans="1:17" ht="6" customHeight="1">
      <c r="A28" s="508"/>
      <c r="B28" s="46"/>
      <c r="C28" s="47"/>
      <c r="D28" s="46"/>
      <c r="E28" s="47"/>
      <c r="F28" s="47"/>
      <c r="G28" s="46"/>
      <c r="H28" s="47"/>
      <c r="I28" s="48"/>
      <c r="J28" s="32"/>
      <c r="K28" s="16"/>
      <c r="L28" s="16"/>
      <c r="M28" s="16"/>
      <c r="N28" s="16"/>
      <c r="O28" s="16"/>
      <c r="P28" s="16"/>
      <c r="Q28" s="16"/>
    </row>
    <row r="29" spans="1:17" ht="7.5" customHeight="1">
      <c r="A29" s="509" t="s">
        <v>154</v>
      </c>
      <c r="B29" s="49"/>
      <c r="C29" s="50"/>
      <c r="D29" s="50"/>
      <c r="E29" s="50"/>
      <c r="F29" s="50"/>
      <c r="G29" s="50"/>
      <c r="H29" s="50"/>
      <c r="I29" s="51"/>
      <c r="J29" s="32"/>
      <c r="K29" s="16"/>
      <c r="L29" s="16"/>
      <c r="M29" s="16"/>
      <c r="N29" s="16"/>
      <c r="O29" s="16"/>
      <c r="P29" s="16"/>
      <c r="Q29" s="16"/>
    </row>
    <row r="30" spans="1:17" ht="22.35" customHeight="1">
      <c r="A30" s="510"/>
      <c r="B30" s="52" t="s">
        <v>142</v>
      </c>
      <c r="C30" s="519"/>
      <c r="D30" s="520"/>
      <c r="E30" s="109" t="s">
        <v>143</v>
      </c>
      <c r="F30" s="515"/>
      <c r="G30" s="526"/>
      <c r="H30" s="516"/>
      <c r="I30" s="53"/>
      <c r="J30" s="32"/>
      <c r="K30" s="16"/>
      <c r="L30" s="16"/>
      <c r="M30" s="16"/>
      <c r="N30" s="16"/>
      <c r="O30" s="16"/>
      <c r="P30" s="16"/>
      <c r="Q30" s="16"/>
    </row>
    <row r="31" spans="1:17" ht="7.5" customHeight="1">
      <c r="A31" s="511"/>
      <c r="B31" s="108"/>
      <c r="C31" s="54"/>
      <c r="D31" s="54"/>
      <c r="E31" s="107"/>
      <c r="F31" s="107"/>
      <c r="G31" s="54"/>
      <c r="H31" s="54"/>
      <c r="I31" s="53"/>
      <c r="J31" s="32"/>
      <c r="K31" s="16"/>
      <c r="L31" s="16"/>
      <c r="M31" s="16"/>
      <c r="N31" s="16"/>
      <c r="O31" s="16"/>
      <c r="P31" s="16"/>
      <c r="Q31" s="16"/>
    </row>
    <row r="32" spans="1:17" ht="22.35" customHeight="1">
      <c r="A32" s="510"/>
      <c r="B32" s="52" t="s">
        <v>145</v>
      </c>
      <c r="C32" s="513"/>
      <c r="D32" s="514"/>
      <c r="E32" s="517" t="s">
        <v>146</v>
      </c>
      <c r="F32" s="518"/>
      <c r="G32" s="515"/>
      <c r="H32" s="516"/>
      <c r="I32" s="53"/>
      <c r="J32" s="32"/>
      <c r="K32" s="16"/>
      <c r="L32" s="16"/>
      <c r="M32" s="16"/>
      <c r="N32" s="16"/>
      <c r="O32" s="16"/>
      <c r="P32" s="16"/>
      <c r="Q32" s="16"/>
    </row>
    <row r="33" spans="1:17" ht="7.5" customHeight="1">
      <c r="A33" s="510"/>
      <c r="B33" s="108"/>
      <c r="C33" s="54"/>
      <c r="D33" s="54"/>
      <c r="E33" s="107"/>
      <c r="F33" s="107"/>
      <c r="G33" s="54"/>
      <c r="H33" s="54"/>
      <c r="I33" s="53"/>
      <c r="J33" s="32"/>
      <c r="K33" s="16"/>
      <c r="L33" s="16"/>
      <c r="M33" s="16"/>
      <c r="N33" s="16"/>
      <c r="O33" s="16"/>
      <c r="P33" s="16"/>
      <c r="Q33" s="16"/>
    </row>
    <row r="34" spans="1:17" ht="22.35" customHeight="1">
      <c r="A34" s="510"/>
      <c r="B34" s="52" t="s">
        <v>471</v>
      </c>
      <c r="C34" s="523"/>
      <c r="D34" s="524"/>
      <c r="E34" s="524"/>
      <c r="F34" s="524"/>
      <c r="G34" s="524"/>
      <c r="H34" s="525"/>
      <c r="I34" s="53"/>
      <c r="J34" s="32"/>
      <c r="K34" s="16"/>
      <c r="L34" s="16"/>
      <c r="M34" s="16"/>
      <c r="N34" s="16"/>
      <c r="O34" s="16"/>
      <c r="P34" s="16"/>
      <c r="Q34" s="16"/>
    </row>
    <row r="35" spans="1:17" ht="7.5" customHeight="1">
      <c r="A35" s="512"/>
      <c r="B35" s="54"/>
      <c r="C35" s="54"/>
      <c r="D35" s="54"/>
      <c r="E35" s="54"/>
      <c r="F35" s="54"/>
      <c r="G35" s="54"/>
      <c r="H35" s="54"/>
      <c r="I35" s="55"/>
      <c r="J35" s="32"/>
      <c r="K35" s="16"/>
      <c r="L35" s="16"/>
      <c r="M35" s="16"/>
      <c r="N35" s="16"/>
      <c r="O35" s="16"/>
      <c r="P35" s="16"/>
      <c r="Q35" s="16"/>
    </row>
    <row r="36" spans="1:17">
      <c r="A36" s="32"/>
      <c r="B36" s="32"/>
      <c r="C36" s="32"/>
      <c r="D36" s="32"/>
      <c r="E36" s="32"/>
      <c r="F36" s="32"/>
      <c r="G36" s="32"/>
      <c r="H36" s="32"/>
      <c r="I36" s="32"/>
      <c r="J36" s="32"/>
      <c r="K36" s="16"/>
      <c r="L36" s="16"/>
      <c r="M36" s="16"/>
      <c r="N36" s="16"/>
      <c r="O36" s="16"/>
      <c r="P36" s="16"/>
      <c r="Q36" s="16"/>
    </row>
  </sheetData>
  <sheetProtection sheet="1" objects="1" scenarios="1" selectLockedCells="1"/>
  <mergeCells count="28">
    <mergeCell ref="A1:I1"/>
    <mergeCell ref="A9:A19"/>
    <mergeCell ref="C10:D10"/>
    <mergeCell ref="F10:G10"/>
    <mergeCell ref="G14:H14"/>
    <mergeCell ref="C18:H18"/>
    <mergeCell ref="C16:H16"/>
    <mergeCell ref="A2:A8"/>
    <mergeCell ref="C3:D3"/>
    <mergeCell ref="E3:F3"/>
    <mergeCell ref="G3:H3"/>
    <mergeCell ref="C5:D5"/>
    <mergeCell ref="E5:F5"/>
    <mergeCell ref="G5:H5"/>
    <mergeCell ref="G7:H7"/>
    <mergeCell ref="D7:F7"/>
    <mergeCell ref="G27:H27"/>
    <mergeCell ref="A21:A28"/>
    <mergeCell ref="A29:A35"/>
    <mergeCell ref="C32:D32"/>
    <mergeCell ref="G32:H32"/>
    <mergeCell ref="E32:F32"/>
    <mergeCell ref="C30:D30"/>
    <mergeCell ref="G21:H21"/>
    <mergeCell ref="E23:H23"/>
    <mergeCell ref="E25:H25"/>
    <mergeCell ref="C34:H34"/>
    <mergeCell ref="F30:H30"/>
  </mergeCells>
  <dataValidations disablePrompts="1" count="4">
    <dataValidation type="date" operator="greaterThanOrEqual" allowBlank="1" showInputMessage="1" showErrorMessage="1" errorTitle="Lỗi nhập dữ liệu" error="Chỉ được nhập dữ liệu dạng ngày tháng" sqref="C23 E12 C25 C27 E27 G27">
      <formula1>1</formula1>
    </dataValidation>
    <dataValidation type="whole" operator="greaterThanOrEqual" allowBlank="1" showInputMessage="1" showErrorMessage="1" errorTitle="Lỗi nhập dữ liệu" error="Chỉ được nhập dữ liệu dạng số" sqref="G3">
      <formula1>0</formula1>
    </dataValidation>
    <dataValidation type="list" operator="greaterThanOrEqual" allowBlank="1" showInputMessage="1" showErrorMessage="1" errorTitle="Lỗi nhập dữ liệu" error="Chỉ được nhập dữ liệu dạng ngày tháng" sqref="G12">
      <formula1>Dân_tộc</formula1>
    </dataValidation>
    <dataValidation operator="greaterThanOrEqual" allowBlank="1" showInputMessage="1" showErrorMessage="1" errorTitle="Lỗi nhập dữ liệu" error="Chỉ được nhập dữ liệu dạng số" sqref="G7:H7 G5:H5"/>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boBox1">
          <controlPr defaultSize="0" print="0" autoLine="0" autoPict="0" r:id="rId5">
            <anchor moveWithCells="1">
              <from>
                <xdr:col>2</xdr:col>
                <xdr:colOff>9525</xdr:colOff>
                <xdr:row>5</xdr:row>
                <xdr:rowOff>66675</xdr:rowOff>
              </from>
              <to>
                <xdr:col>2</xdr:col>
                <xdr:colOff>1200150</xdr:colOff>
                <xdr:row>7</xdr:row>
                <xdr:rowOff>0</xdr:rowOff>
              </to>
            </anchor>
          </controlPr>
        </control>
      </mc:Choice>
      <mc:Fallback>
        <control shapeId="5122" r:id="rId4" name="ComboBox1"/>
      </mc:Fallback>
    </mc:AlternateContent>
  </controls>
  <extLst>
    <ext xmlns:x14="http://schemas.microsoft.com/office/spreadsheetml/2009/9/main" uri="{CCE6A557-97BC-4b89-ADB6-D9C93CAAB3DF}">
      <x14:dataValidations xmlns:xm="http://schemas.microsoft.com/office/excel/2006/main" disablePrompts="1" count="9">
        <x14:dataValidation type="list" allowBlank="1" showInputMessage="1" showErrorMessage="1">
          <x14:formula1>
            <xm:f>ThietLap!$C$9:$C$10</xm:f>
          </x14:formula1>
          <xm:sqref>C12</xm:sqref>
        </x14:dataValidation>
        <x14:dataValidation type="list" allowBlank="1" showInputMessage="1" showErrorMessage="1">
          <x14:formula1>
            <xm:f>ThietLap!$T$2:$T$14</xm:f>
          </x14:formula1>
          <xm:sqref>C14</xm:sqref>
        </x14:dataValidation>
        <x14:dataValidation type="list" allowBlank="1" showInputMessage="1" showErrorMessage="1">
          <x14:formula1>
            <xm:f>ThietLap!$U$2:$U$18</xm:f>
          </x14:formula1>
          <xm:sqref>E14</xm:sqref>
        </x14:dataValidation>
        <x14:dataValidation type="list" allowBlank="1" showInputMessage="1" showErrorMessage="1">
          <x14:formula1>
            <xm:f>ThietLap!$D$9:$D$14</xm:f>
          </x14:formula1>
          <xm:sqref>C21</xm:sqref>
        </x14:dataValidation>
        <x14:dataValidation type="list" operator="greaterThanOrEqual" allowBlank="1" showInputMessage="1" showErrorMessage="1" errorTitle="Lỗi nhập dữ liệu" error="Chỉ được nhập dữ liệu dạng số">
          <x14:formula1>
            <xm:f>ThietLap!$E$9:$E$12</xm:f>
          </x14:formula1>
          <xm:sqref>E21</xm:sqref>
        </x14:dataValidation>
        <x14:dataValidation type="list" allowBlank="1" showInputMessage="1" showErrorMessage="1">
          <x14:formula1>
            <xm:f>ThietLap!$H$9:$H$12</xm:f>
          </x14:formula1>
          <xm:sqref>C32:D32</xm:sqref>
        </x14:dataValidation>
        <x14:dataValidation type="list" operator="greaterThanOrEqual" allowBlank="1" showInputMessage="1" showErrorMessage="1" errorTitle="Lỗi nhập dữ liệu" error="Chỉ được nhập dữ liệu dạng số">
          <x14:formula1>
            <xm:f>OFFSET(ThietLap!$G$9,0,0,COUNTA(ThietLap!$G$9:$G$17))</xm:f>
          </x14:formula1>
          <xm:sqref>G32:H32</xm:sqref>
        </x14:dataValidation>
        <x14:dataValidation type="list" operator="greaterThanOrEqual" allowBlank="1" showInputMessage="1" showErrorMessage="1" errorTitle="Lỗi nhập dữ liệu" error="Chỉ được nhập dữ liệu dạng số">
          <x14:formula1>
            <xm:f>ThietLap!$F$9:$F$15</xm:f>
          </x14:formula1>
          <xm:sqref>G21:H21</xm:sqref>
        </x14:dataValidation>
        <x14:dataValidation type="list" allowBlank="1" showInputMessage="1" showErrorMessage="1">
          <x14:formula1>
            <xm:f>OFFSET(ThietLap!$I$9,0,0,COUNTA(ThietLap!$I$9:$I$17))</xm:f>
          </x14:formula1>
          <xm:sqref>F30:H30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615"/>
  <sheetViews>
    <sheetView workbookViewId="0">
      <selection activeCell="G8" sqref="G8"/>
    </sheetView>
  </sheetViews>
  <sheetFormatPr defaultRowHeight="15"/>
  <cols>
    <col min="2" max="2" width="31.7109375" customWidth="1"/>
    <col min="3" max="3" width="10.7109375" bestFit="1" customWidth="1"/>
    <col min="4" max="4" width="19.5703125" customWidth="1"/>
  </cols>
  <sheetData>
    <row r="1" spans="1:5">
      <c r="E1">
        <f>COUNTIFS(B2:B1610,"&lt;&gt;0")</f>
        <v>1609</v>
      </c>
    </row>
    <row r="2" spans="1:5">
      <c r="A2">
        <f>IF(DSDV!B7&lt;&gt;"",DSDV!B7,"")</f>
        <v>123456</v>
      </c>
      <c r="B2" t="str">
        <f>IF(DSDV!G7&lt;&gt;"",DSDV!G7,"")</f>
        <v>Cao Văn Hiệp</v>
      </c>
      <c r="C2" s="237">
        <f>IF(DSDV!K7&lt;&gt;"",DSDV!K7,"")</f>
        <v>34700</v>
      </c>
      <c r="D2" s="417" t="str">
        <f>IF(DSDV!W7&lt;&gt;"",DSDV!W7,"")</f>
        <v>BỘ THAM MƯU</v>
      </c>
    </row>
    <row r="3" spans="1:5">
      <c r="A3">
        <f>IF(DSDV!B8&lt;&gt;"",DSDV!B8,"")</f>
        <v>170608</v>
      </c>
      <c r="B3" t="str">
        <f>IF(DSDV!G8&lt;&gt;"",DSDV!G8,"")</f>
        <v>Nguyễn Khánh</v>
      </c>
      <c r="C3" s="237">
        <f>IF(DSDV!K8&lt;&gt;"",DSDV!K8,"")</f>
        <v>35001</v>
      </c>
      <c r="D3" s="417" t="str">
        <f>IF(DSDV!W8&lt;&gt;"",DSDV!W8,"")</f>
        <v>BỘ THAM MƯU</v>
      </c>
    </row>
    <row r="4" spans="1:5">
      <c r="A4">
        <f>IF(DSDV!B9&lt;&gt;"",DSDV!B9,"")</f>
        <v>920016</v>
      </c>
      <c r="B4" t="str">
        <f>IF(DSDV!G9&lt;&gt;"",DSDV!G9,"")</f>
        <v>Lê Duy Nguyện</v>
      </c>
      <c r="C4" s="237">
        <f>IF(DSDV!K9&lt;&gt;"",DSDV!K9,"")</f>
        <v>30339</v>
      </c>
      <c r="D4" s="417" t="str">
        <f>IF(DSDV!W9&lt;&gt;"",DSDV!W9,"")</f>
        <v>CỤC CHÍNH TRỊ</v>
      </c>
    </row>
    <row r="5" spans="1:5">
      <c r="A5" t="str">
        <f>IF(DSDV!B10&lt;&gt;"",DSDV!B10,"")</f>
        <v/>
      </c>
      <c r="B5" t="str">
        <f>IF(DSDV!G10&lt;&gt;"",DSDV!G10,"")</f>
        <v/>
      </c>
      <c r="C5" s="237" t="str">
        <f>IF(DSDV!K10&lt;&gt;"",DSDV!K10,"")</f>
        <v/>
      </c>
      <c r="D5" s="417" t="str">
        <f>IF(DSDV!W10&lt;&gt;"",DSDV!W10,"")</f>
        <v/>
      </c>
    </row>
    <row r="6" spans="1:5">
      <c r="A6" t="str">
        <f>IF(DSDV!B11&lt;&gt;"",DSDV!B11,"")</f>
        <v/>
      </c>
      <c r="B6" t="str">
        <f>IF(DSDV!G11&lt;&gt;"",DSDV!G11,"")</f>
        <v/>
      </c>
      <c r="C6" s="237" t="str">
        <f>IF(DSDV!K11&lt;&gt;"",DSDV!K11,"")</f>
        <v/>
      </c>
      <c r="D6" s="417" t="str">
        <f>IF(DSDV!W11&lt;&gt;"",DSDV!W11,"")</f>
        <v/>
      </c>
    </row>
    <row r="7" spans="1:5">
      <c r="A7" t="str">
        <f>IF(DSDV!B12&lt;&gt;"",DSDV!B12,"")</f>
        <v/>
      </c>
      <c r="B7" t="str">
        <f>IF(DSDV!G12&lt;&gt;"",DSDV!G12,"")</f>
        <v/>
      </c>
      <c r="C7" s="237" t="str">
        <f>IF(DSDV!K12&lt;&gt;"",DSDV!K12,"")</f>
        <v/>
      </c>
      <c r="D7" s="417" t="str">
        <f>IF(DSDV!W12&lt;&gt;"",DSDV!W12,"")</f>
        <v/>
      </c>
    </row>
    <row r="8" spans="1:5">
      <c r="A8" t="str">
        <f>IF(DSDV!B13&lt;&gt;"",DSDV!B13,"")</f>
        <v/>
      </c>
      <c r="B8" t="str">
        <f>IF(DSDV!G13&lt;&gt;"",DSDV!G13,"")</f>
        <v/>
      </c>
      <c r="C8" s="237" t="str">
        <f>IF(DSDV!K13&lt;&gt;"",DSDV!K13,"")</f>
        <v/>
      </c>
      <c r="D8" s="417" t="str">
        <f>IF(DSDV!W13&lt;&gt;"",DSDV!W13,"")</f>
        <v/>
      </c>
    </row>
    <row r="9" spans="1:5">
      <c r="A9" t="str">
        <f>IF(DSDV!B14&lt;&gt;"",DSDV!B14,"")</f>
        <v/>
      </c>
      <c r="B9" t="str">
        <f>IF(DSDV!G14&lt;&gt;"",DSDV!G14,"")</f>
        <v/>
      </c>
      <c r="C9" s="237" t="str">
        <f>IF(DSDV!K14&lt;&gt;"",DSDV!K14,"")</f>
        <v/>
      </c>
      <c r="D9" s="417" t="str">
        <f>IF(DSDV!W14&lt;&gt;"",DSDV!W14,"")</f>
        <v/>
      </c>
    </row>
    <row r="10" spans="1:5">
      <c r="A10" t="str">
        <f>IF(DSDV!B15&lt;&gt;"",DSDV!B15,"")</f>
        <v/>
      </c>
      <c r="B10" t="str">
        <f>IF(DSDV!G15&lt;&gt;"",DSDV!G15,"")</f>
        <v/>
      </c>
      <c r="C10" s="237" t="str">
        <f>IF(DSDV!K15&lt;&gt;"",DSDV!K15,"")</f>
        <v/>
      </c>
      <c r="D10" s="417" t="str">
        <f>IF(DSDV!W15&lt;&gt;"",DSDV!W15,"")</f>
        <v/>
      </c>
    </row>
    <row r="11" spans="1:5">
      <c r="A11" t="str">
        <f>IF(DSDV!B16&lt;&gt;"",DSDV!B16,"")</f>
        <v/>
      </c>
      <c r="B11" t="str">
        <f>IF(DSDV!G16&lt;&gt;"",DSDV!G16,"")</f>
        <v/>
      </c>
      <c r="C11" s="237" t="str">
        <f>IF(DSDV!K16&lt;&gt;"",DSDV!K16,"")</f>
        <v/>
      </c>
      <c r="D11" s="417" t="str">
        <f>IF(DSDV!W16&lt;&gt;"",DSDV!W16,"")</f>
        <v/>
      </c>
    </row>
    <row r="12" spans="1:5">
      <c r="A12" t="str">
        <f>IF(DSDV!B17&lt;&gt;"",DSDV!B17,"")</f>
        <v/>
      </c>
      <c r="B12" t="str">
        <f>IF(DSDV!G17&lt;&gt;"",DSDV!G17,"")</f>
        <v/>
      </c>
      <c r="C12" s="237" t="str">
        <f>IF(DSDV!K17&lt;&gt;"",DSDV!K17,"")</f>
        <v/>
      </c>
      <c r="D12" s="417" t="str">
        <f>IF(DSDV!W17&lt;&gt;"",DSDV!W17,"")</f>
        <v/>
      </c>
    </row>
    <row r="13" spans="1:5">
      <c r="A13" t="str">
        <f>IF(DSDV!B18&lt;&gt;"",DSDV!B18,"")</f>
        <v/>
      </c>
      <c r="B13" t="str">
        <f>IF(DSDV!G18&lt;&gt;"",DSDV!G18,"")</f>
        <v/>
      </c>
      <c r="C13" s="237" t="str">
        <f>IF(DSDV!K18&lt;&gt;"",DSDV!K18,"")</f>
        <v/>
      </c>
      <c r="D13" s="417" t="str">
        <f>IF(DSDV!W18&lt;&gt;"",DSDV!W18,"")</f>
        <v/>
      </c>
    </row>
    <row r="14" spans="1:5">
      <c r="A14" t="str">
        <f>IF(DSDV!B19&lt;&gt;"",DSDV!B19,"")</f>
        <v/>
      </c>
      <c r="B14" t="str">
        <f>IF(DSDV!G19&lt;&gt;"",DSDV!G19,"")</f>
        <v/>
      </c>
      <c r="C14" s="237" t="str">
        <f>IF(DSDV!K19&lt;&gt;"",DSDV!K19,"")</f>
        <v/>
      </c>
      <c r="D14" s="417" t="str">
        <f>IF(DSDV!W19&lt;&gt;"",DSDV!W19,"")</f>
        <v/>
      </c>
    </row>
    <row r="15" spans="1:5">
      <c r="A15" t="str">
        <f>IF(DSDV!B20&lt;&gt;"",DSDV!B20,"")</f>
        <v/>
      </c>
      <c r="B15" t="str">
        <f>IF(DSDV!G20&lt;&gt;"",DSDV!G20,"")</f>
        <v/>
      </c>
      <c r="C15" s="237" t="str">
        <f>IF(DSDV!K20&lt;&gt;"",DSDV!K20,"")</f>
        <v/>
      </c>
      <c r="D15" s="417" t="str">
        <f>IF(DSDV!W20&lt;&gt;"",DSDV!W20,"")</f>
        <v/>
      </c>
    </row>
    <row r="16" spans="1:5">
      <c r="A16" t="str">
        <f>IF(DSDV!B21&lt;&gt;"",DSDV!B21,"")</f>
        <v/>
      </c>
      <c r="B16" t="str">
        <f>IF(DSDV!G21&lt;&gt;"",DSDV!G21,"")</f>
        <v/>
      </c>
      <c r="C16" s="237" t="str">
        <f>IF(DSDV!K21&lt;&gt;"",DSDV!K21,"")</f>
        <v/>
      </c>
      <c r="D16" s="417" t="str">
        <f>IF(DSDV!W21&lt;&gt;"",DSDV!W21,"")</f>
        <v/>
      </c>
    </row>
    <row r="17" spans="1:4">
      <c r="A17" t="str">
        <f>IF(DSDV!B22&lt;&gt;"",DSDV!B22,"")</f>
        <v/>
      </c>
      <c r="B17" t="str">
        <f>IF(DSDV!G22&lt;&gt;"",DSDV!G22,"")</f>
        <v/>
      </c>
      <c r="C17" s="237" t="str">
        <f>IF(DSDV!K22&lt;&gt;"",DSDV!K22,"")</f>
        <v/>
      </c>
      <c r="D17" s="417" t="str">
        <f>IF(DSDV!W22&lt;&gt;"",DSDV!W22,"")</f>
        <v/>
      </c>
    </row>
    <row r="18" spans="1:4">
      <c r="A18" t="str">
        <f>IF(DSDV!B23&lt;&gt;"",DSDV!B23,"")</f>
        <v/>
      </c>
      <c r="B18" t="str">
        <f>IF(DSDV!G23&lt;&gt;"",DSDV!G23,"")</f>
        <v/>
      </c>
      <c r="C18" s="237" t="str">
        <f>IF(DSDV!K23&lt;&gt;"",DSDV!K23,"")</f>
        <v/>
      </c>
      <c r="D18" s="417" t="str">
        <f>IF(DSDV!W23&lt;&gt;"",DSDV!W23,"")</f>
        <v/>
      </c>
    </row>
    <row r="19" spans="1:4">
      <c r="A19" t="str">
        <f>IF(DSDV!B24&lt;&gt;"",DSDV!B24,"")</f>
        <v/>
      </c>
      <c r="B19" t="str">
        <f>IF(DSDV!G24&lt;&gt;"",DSDV!G24,"")</f>
        <v/>
      </c>
      <c r="C19" s="237" t="str">
        <f>IF(DSDV!K24&lt;&gt;"",DSDV!K24,"")</f>
        <v/>
      </c>
      <c r="D19" s="417" t="str">
        <f>IF(DSDV!W24&lt;&gt;"",DSDV!W24,"")</f>
        <v/>
      </c>
    </row>
    <row r="20" spans="1:4">
      <c r="A20" t="str">
        <f>IF(DSDV!B25&lt;&gt;"",DSDV!B25,"")</f>
        <v/>
      </c>
      <c r="B20" t="str">
        <f>IF(DSDV!G25&lt;&gt;"",DSDV!G25,"")</f>
        <v/>
      </c>
      <c r="C20" s="237" t="str">
        <f>IF(DSDV!K25&lt;&gt;"",DSDV!K25,"")</f>
        <v/>
      </c>
      <c r="D20" s="417" t="str">
        <f>IF(DSDV!W25&lt;&gt;"",DSDV!W25,"")</f>
        <v/>
      </c>
    </row>
    <row r="21" spans="1:4">
      <c r="A21" t="str">
        <f>IF(DSDV!B26&lt;&gt;"",DSDV!B26,"")</f>
        <v/>
      </c>
      <c r="B21" t="str">
        <f>IF(DSDV!G26&lt;&gt;"",DSDV!G26,"")</f>
        <v/>
      </c>
      <c r="C21" s="237" t="str">
        <f>IF(DSDV!K26&lt;&gt;"",DSDV!K26,"")</f>
        <v/>
      </c>
      <c r="D21" s="417" t="str">
        <f>IF(DSDV!W26&lt;&gt;"",DSDV!W26,"")</f>
        <v/>
      </c>
    </row>
    <row r="22" spans="1:4">
      <c r="A22" t="str">
        <f>IF(DSDV!B27&lt;&gt;"",DSDV!B27,"")</f>
        <v/>
      </c>
      <c r="B22" t="str">
        <f>IF(DSDV!G27&lt;&gt;"",DSDV!G27,"")</f>
        <v/>
      </c>
      <c r="C22" s="237" t="str">
        <f>IF(DSDV!K27&lt;&gt;"",DSDV!K27,"")</f>
        <v/>
      </c>
      <c r="D22" s="417" t="str">
        <f>IF(DSDV!W27&lt;&gt;"",DSDV!W27,"")</f>
        <v/>
      </c>
    </row>
    <row r="23" spans="1:4">
      <c r="A23" t="str">
        <f>IF(DSDV!B28&lt;&gt;"",DSDV!B28,"")</f>
        <v/>
      </c>
      <c r="B23" t="str">
        <f>IF(DSDV!G28&lt;&gt;"",DSDV!G28,"")</f>
        <v/>
      </c>
      <c r="C23" s="237" t="str">
        <f>IF(DSDV!K28&lt;&gt;"",DSDV!K28,"")</f>
        <v/>
      </c>
      <c r="D23" s="417" t="str">
        <f>IF(DSDV!W28&lt;&gt;"",DSDV!W28,"")</f>
        <v/>
      </c>
    </row>
    <row r="24" spans="1:4">
      <c r="A24" t="str">
        <f>IF(DSDV!B29&lt;&gt;"",DSDV!B29,"")</f>
        <v/>
      </c>
      <c r="B24" t="str">
        <f>IF(DSDV!G29&lt;&gt;"",DSDV!G29,"")</f>
        <v/>
      </c>
      <c r="C24" s="237" t="str">
        <f>IF(DSDV!K29&lt;&gt;"",DSDV!K29,"")</f>
        <v/>
      </c>
      <c r="D24" s="417" t="str">
        <f>IF(DSDV!W29&lt;&gt;"",DSDV!W29,"")</f>
        <v/>
      </c>
    </row>
    <row r="25" spans="1:4">
      <c r="A25" t="str">
        <f>IF(DSDV!B30&lt;&gt;"",DSDV!B30,"")</f>
        <v/>
      </c>
      <c r="B25" t="str">
        <f>IF(DSDV!G30&lt;&gt;"",DSDV!G30,"")</f>
        <v/>
      </c>
      <c r="C25" s="237" t="str">
        <f>IF(DSDV!K30&lt;&gt;"",DSDV!K30,"")</f>
        <v/>
      </c>
      <c r="D25" s="417" t="str">
        <f>IF(DSDV!W30&lt;&gt;"",DSDV!W30,"")</f>
        <v/>
      </c>
    </row>
    <row r="26" spans="1:4">
      <c r="A26" t="str">
        <f>IF(DSDV!B31&lt;&gt;"",DSDV!B31,"")</f>
        <v/>
      </c>
      <c r="B26" t="str">
        <f>IF(DSDV!G31&lt;&gt;"",DSDV!G31,"")</f>
        <v/>
      </c>
      <c r="C26" s="237" t="str">
        <f>IF(DSDV!K31&lt;&gt;"",DSDV!K31,"")</f>
        <v/>
      </c>
      <c r="D26" s="417" t="str">
        <f>IF(DSDV!W31&lt;&gt;"",DSDV!W31,"")</f>
        <v/>
      </c>
    </row>
    <row r="27" spans="1:4">
      <c r="A27" t="str">
        <f>IF(DSDV!B32&lt;&gt;"",DSDV!B32,"")</f>
        <v/>
      </c>
      <c r="B27" t="str">
        <f>IF(DSDV!G32&lt;&gt;"",DSDV!G32,"")</f>
        <v/>
      </c>
      <c r="C27" s="237" t="str">
        <f>IF(DSDV!K32&lt;&gt;"",DSDV!K32,"")</f>
        <v/>
      </c>
      <c r="D27" s="417" t="str">
        <f>IF(DSDV!W32&lt;&gt;"",DSDV!W32,"")</f>
        <v/>
      </c>
    </row>
    <row r="28" spans="1:4">
      <c r="A28" t="str">
        <f>IF(DSDV!B33&lt;&gt;"",DSDV!B33,"")</f>
        <v/>
      </c>
      <c r="B28" t="str">
        <f>IF(DSDV!G33&lt;&gt;"",DSDV!G33,"")</f>
        <v/>
      </c>
      <c r="C28" s="237" t="str">
        <f>IF(DSDV!K33&lt;&gt;"",DSDV!K33,"")</f>
        <v/>
      </c>
      <c r="D28" s="417" t="str">
        <f>IF(DSDV!W33&lt;&gt;"",DSDV!W33,"")</f>
        <v/>
      </c>
    </row>
    <row r="29" spans="1:4">
      <c r="A29" t="str">
        <f>IF(DSDV!B34&lt;&gt;"",DSDV!B34,"")</f>
        <v/>
      </c>
      <c r="B29" t="str">
        <f>IF(DSDV!G34&lt;&gt;"",DSDV!G34,"")</f>
        <v/>
      </c>
      <c r="C29" s="237" t="str">
        <f>IF(DSDV!K34&lt;&gt;"",DSDV!K34,"")</f>
        <v/>
      </c>
      <c r="D29" s="417" t="str">
        <f>IF(DSDV!W34&lt;&gt;"",DSDV!W34,"")</f>
        <v/>
      </c>
    </row>
    <row r="30" spans="1:4">
      <c r="A30" t="str">
        <f>IF(DSDV!B35&lt;&gt;"",DSDV!B35,"")</f>
        <v/>
      </c>
      <c r="B30" t="str">
        <f>IF(DSDV!G35&lt;&gt;"",DSDV!G35,"")</f>
        <v/>
      </c>
      <c r="C30" s="237" t="str">
        <f>IF(DSDV!K35&lt;&gt;"",DSDV!K35,"")</f>
        <v/>
      </c>
      <c r="D30" s="417" t="str">
        <f>IF(DSDV!W35&lt;&gt;"",DSDV!W35,"")</f>
        <v/>
      </c>
    </row>
    <row r="31" spans="1:4">
      <c r="A31" t="str">
        <f>IF(DSDV!B36&lt;&gt;"",DSDV!B36,"")</f>
        <v/>
      </c>
      <c r="B31" t="str">
        <f>IF(DSDV!G36&lt;&gt;"",DSDV!G36,"")</f>
        <v/>
      </c>
      <c r="C31" s="237" t="str">
        <f>IF(DSDV!K36&lt;&gt;"",DSDV!K36,"")</f>
        <v/>
      </c>
      <c r="D31" s="417" t="str">
        <f>IF(DSDV!W36&lt;&gt;"",DSDV!W36,"")</f>
        <v/>
      </c>
    </row>
    <row r="32" spans="1:4">
      <c r="A32" t="str">
        <f>IF(DSDV!B37&lt;&gt;"",DSDV!B37,"")</f>
        <v/>
      </c>
      <c r="B32" t="str">
        <f>IF(DSDV!G37&lt;&gt;"",DSDV!G37,"")</f>
        <v/>
      </c>
      <c r="C32" s="237" t="str">
        <f>IF(DSDV!K37&lt;&gt;"",DSDV!K37,"")</f>
        <v/>
      </c>
      <c r="D32" s="417" t="str">
        <f>IF(DSDV!W37&lt;&gt;"",DSDV!W37,"")</f>
        <v/>
      </c>
    </row>
    <row r="33" spans="1:4">
      <c r="A33" t="str">
        <f>IF(DSDV!B38&lt;&gt;"",DSDV!B38,"")</f>
        <v/>
      </c>
      <c r="B33" t="str">
        <f>IF(DSDV!G38&lt;&gt;"",DSDV!G38,"")</f>
        <v/>
      </c>
      <c r="C33" s="237" t="str">
        <f>IF(DSDV!K38&lt;&gt;"",DSDV!K38,"")</f>
        <v/>
      </c>
      <c r="D33" s="417" t="str">
        <f>IF(DSDV!W38&lt;&gt;"",DSDV!W38,"")</f>
        <v/>
      </c>
    </row>
    <row r="34" spans="1:4">
      <c r="A34" t="str">
        <f>IF(DSDV!B39&lt;&gt;"",DSDV!B39,"")</f>
        <v/>
      </c>
      <c r="B34" t="str">
        <f>IF(DSDV!G39&lt;&gt;"",DSDV!G39,"")</f>
        <v/>
      </c>
      <c r="C34" s="237" t="str">
        <f>IF(DSDV!K39&lt;&gt;"",DSDV!K39,"")</f>
        <v/>
      </c>
      <c r="D34" s="417" t="str">
        <f>IF(DSDV!W39&lt;&gt;"",DSDV!W39,"")</f>
        <v/>
      </c>
    </row>
    <row r="35" spans="1:4">
      <c r="A35" t="str">
        <f>IF(DSDV!B40&lt;&gt;"",DSDV!B40,"")</f>
        <v/>
      </c>
      <c r="B35" t="str">
        <f>IF(DSDV!G40&lt;&gt;"",DSDV!G40,"")</f>
        <v/>
      </c>
      <c r="C35" s="237" t="str">
        <f>IF(DSDV!K40&lt;&gt;"",DSDV!K40,"")</f>
        <v/>
      </c>
      <c r="D35" s="417" t="str">
        <f>IF(DSDV!W40&lt;&gt;"",DSDV!W40,"")</f>
        <v/>
      </c>
    </row>
    <row r="36" spans="1:4">
      <c r="A36" t="str">
        <f>IF(DSDV!B41&lt;&gt;"",DSDV!B41,"")</f>
        <v/>
      </c>
      <c r="B36" t="str">
        <f>IF(DSDV!G41&lt;&gt;"",DSDV!G41,"")</f>
        <v/>
      </c>
      <c r="C36" s="237" t="str">
        <f>IF(DSDV!K41&lt;&gt;"",DSDV!K41,"")</f>
        <v/>
      </c>
      <c r="D36" s="417" t="str">
        <f>IF(DSDV!W41&lt;&gt;"",DSDV!W41,"")</f>
        <v/>
      </c>
    </row>
    <row r="37" spans="1:4">
      <c r="A37" t="str">
        <f>IF(DSDV!B42&lt;&gt;"",DSDV!B42,"")</f>
        <v/>
      </c>
      <c r="B37" t="str">
        <f>IF(DSDV!G42&lt;&gt;"",DSDV!G42,"")</f>
        <v/>
      </c>
      <c r="C37" s="237" t="str">
        <f>IF(DSDV!K42&lt;&gt;"",DSDV!K42,"")</f>
        <v/>
      </c>
      <c r="D37" s="417" t="str">
        <f>IF(DSDV!W42&lt;&gt;"",DSDV!W42,"")</f>
        <v/>
      </c>
    </row>
    <row r="38" spans="1:4">
      <c r="A38" t="str">
        <f>IF(DSDV!B43&lt;&gt;"",DSDV!B43,"")</f>
        <v/>
      </c>
      <c r="B38" t="str">
        <f>IF(DSDV!G43&lt;&gt;"",DSDV!G43,"")</f>
        <v/>
      </c>
      <c r="C38" s="237" t="str">
        <f>IF(DSDV!K43&lt;&gt;"",DSDV!K43,"")</f>
        <v/>
      </c>
      <c r="D38" s="417" t="str">
        <f>IF(DSDV!W43&lt;&gt;"",DSDV!W43,"")</f>
        <v/>
      </c>
    </row>
    <row r="39" spans="1:4">
      <c r="A39" t="str">
        <f>IF(DSDV!B44&lt;&gt;"",DSDV!B44,"")</f>
        <v/>
      </c>
      <c r="B39" t="str">
        <f>IF(DSDV!G44&lt;&gt;"",DSDV!G44,"")</f>
        <v/>
      </c>
      <c r="C39" s="237" t="str">
        <f>IF(DSDV!K44&lt;&gt;"",DSDV!K44,"")</f>
        <v/>
      </c>
      <c r="D39" s="417" t="str">
        <f>IF(DSDV!W44&lt;&gt;"",DSDV!W44,"")</f>
        <v/>
      </c>
    </row>
    <row r="40" spans="1:4">
      <c r="A40" t="str">
        <f>IF(DSDV!B45&lt;&gt;"",DSDV!B45,"")</f>
        <v/>
      </c>
      <c r="B40" t="str">
        <f>IF(DSDV!G45&lt;&gt;"",DSDV!G45,"")</f>
        <v/>
      </c>
      <c r="C40" s="237" t="str">
        <f>IF(DSDV!K45&lt;&gt;"",DSDV!K45,"")</f>
        <v/>
      </c>
      <c r="D40" s="417" t="str">
        <f>IF(DSDV!W45&lt;&gt;"",DSDV!W45,"")</f>
        <v/>
      </c>
    </row>
    <row r="41" spans="1:4">
      <c r="A41" t="str">
        <f>IF(DSDV!B46&lt;&gt;"",DSDV!B46,"")</f>
        <v/>
      </c>
      <c r="B41" t="str">
        <f>IF(DSDV!G46&lt;&gt;"",DSDV!G46,"")</f>
        <v/>
      </c>
      <c r="C41" s="237" t="str">
        <f>IF(DSDV!K46&lt;&gt;"",DSDV!K46,"")</f>
        <v/>
      </c>
      <c r="D41" s="417" t="str">
        <f>IF(DSDV!W46&lt;&gt;"",DSDV!W46,"")</f>
        <v/>
      </c>
    </row>
    <row r="42" spans="1:4">
      <c r="A42" t="str">
        <f>IF(DSDV!B47&lt;&gt;"",DSDV!B47,"")</f>
        <v/>
      </c>
      <c r="B42" t="str">
        <f>IF(DSDV!G47&lt;&gt;"",DSDV!G47,"")</f>
        <v/>
      </c>
      <c r="C42" s="237" t="str">
        <f>IF(DSDV!K47&lt;&gt;"",DSDV!K47,"")</f>
        <v/>
      </c>
      <c r="D42" s="417" t="str">
        <f>IF(DSDV!W47&lt;&gt;"",DSDV!W47,"")</f>
        <v/>
      </c>
    </row>
    <row r="43" spans="1:4">
      <c r="A43" t="str">
        <f>IF(DSDV!B48&lt;&gt;"",DSDV!B48,"")</f>
        <v/>
      </c>
      <c r="B43" t="str">
        <f>IF(DSDV!G48&lt;&gt;"",DSDV!G48,"")</f>
        <v/>
      </c>
      <c r="C43" s="237" t="str">
        <f>IF(DSDV!K48&lt;&gt;"",DSDV!K48,"")</f>
        <v/>
      </c>
      <c r="D43" s="417" t="str">
        <f>IF(DSDV!W48&lt;&gt;"",DSDV!W48,"")</f>
        <v/>
      </c>
    </row>
    <row r="44" spans="1:4">
      <c r="A44" t="str">
        <f>IF(DSDV!B49&lt;&gt;"",DSDV!B49,"")</f>
        <v/>
      </c>
      <c r="B44" t="str">
        <f>IF(DSDV!G49&lt;&gt;"",DSDV!G49,"")</f>
        <v/>
      </c>
      <c r="C44" s="237" t="str">
        <f>IF(DSDV!K49&lt;&gt;"",DSDV!K49,"")</f>
        <v/>
      </c>
      <c r="D44" s="417" t="str">
        <f>IF(DSDV!W49&lt;&gt;"",DSDV!W49,"")</f>
        <v/>
      </c>
    </row>
    <row r="45" spans="1:4">
      <c r="A45" t="str">
        <f>IF(DSDV!B50&lt;&gt;"",DSDV!B50,"")</f>
        <v/>
      </c>
      <c r="B45" t="str">
        <f>IF(DSDV!G50&lt;&gt;"",DSDV!G50,"")</f>
        <v/>
      </c>
      <c r="C45" s="237" t="str">
        <f>IF(DSDV!K50&lt;&gt;"",DSDV!K50,"")</f>
        <v/>
      </c>
      <c r="D45" s="417" t="str">
        <f>IF(DSDV!W50&lt;&gt;"",DSDV!W50,"")</f>
        <v/>
      </c>
    </row>
    <row r="46" spans="1:4">
      <c r="A46" t="str">
        <f>IF(DSDV!B51&lt;&gt;"",DSDV!B51,"")</f>
        <v/>
      </c>
      <c r="B46" t="str">
        <f>IF(DSDV!G51&lt;&gt;"",DSDV!G51,"")</f>
        <v/>
      </c>
      <c r="C46" s="237" t="str">
        <f>IF(DSDV!K51&lt;&gt;"",DSDV!K51,"")</f>
        <v/>
      </c>
      <c r="D46" s="417" t="str">
        <f>IF(DSDV!W51&lt;&gt;"",DSDV!W51,"")</f>
        <v/>
      </c>
    </row>
    <row r="47" spans="1:4">
      <c r="A47" t="str">
        <f>IF(DSDV!B52&lt;&gt;"",DSDV!B52,"")</f>
        <v/>
      </c>
      <c r="B47" t="str">
        <f>IF(DSDV!G52&lt;&gt;"",DSDV!G52,"")</f>
        <v/>
      </c>
      <c r="C47" s="237" t="str">
        <f>IF(DSDV!K52&lt;&gt;"",DSDV!K52,"")</f>
        <v/>
      </c>
      <c r="D47" s="417" t="str">
        <f>IF(DSDV!W52&lt;&gt;"",DSDV!W52,"")</f>
        <v/>
      </c>
    </row>
    <row r="48" spans="1:4">
      <c r="A48" t="str">
        <f>IF(DSDV!B53&lt;&gt;"",DSDV!B53,"")</f>
        <v/>
      </c>
      <c r="B48" t="str">
        <f>IF(DSDV!G53&lt;&gt;"",DSDV!G53,"")</f>
        <v/>
      </c>
      <c r="C48" s="237" t="str">
        <f>IF(DSDV!K53&lt;&gt;"",DSDV!K53,"")</f>
        <v/>
      </c>
      <c r="D48" s="417" t="str">
        <f>IF(DSDV!W53&lt;&gt;"",DSDV!W53,"")</f>
        <v/>
      </c>
    </row>
    <row r="49" spans="1:4">
      <c r="A49" t="str">
        <f>IF(DSDV!B54&lt;&gt;"",DSDV!B54,"")</f>
        <v/>
      </c>
      <c r="B49" t="str">
        <f>IF(DSDV!G54&lt;&gt;"",DSDV!G54,"")</f>
        <v/>
      </c>
      <c r="C49" s="237" t="str">
        <f>IF(DSDV!K54&lt;&gt;"",DSDV!K54,"")</f>
        <v/>
      </c>
      <c r="D49" s="417" t="str">
        <f>IF(DSDV!W54&lt;&gt;"",DSDV!W54,"")</f>
        <v/>
      </c>
    </row>
    <row r="50" spans="1:4">
      <c r="A50" t="str">
        <f>IF(DSDV!B55&lt;&gt;"",DSDV!B55,"")</f>
        <v/>
      </c>
      <c r="B50" t="str">
        <f>IF(DSDV!G55&lt;&gt;"",DSDV!G55,"")</f>
        <v/>
      </c>
      <c r="C50" s="237" t="str">
        <f>IF(DSDV!K55&lt;&gt;"",DSDV!K55,"")</f>
        <v/>
      </c>
      <c r="D50" s="417" t="str">
        <f>IF(DSDV!W55&lt;&gt;"",DSDV!W55,"")</f>
        <v/>
      </c>
    </row>
    <row r="51" spans="1:4">
      <c r="A51" t="str">
        <f>IF(DSDV!B56&lt;&gt;"",DSDV!B56,"")</f>
        <v/>
      </c>
      <c r="B51" t="str">
        <f>IF(DSDV!G56&lt;&gt;"",DSDV!G56,"")</f>
        <v/>
      </c>
      <c r="C51" s="237" t="str">
        <f>IF(DSDV!K56&lt;&gt;"",DSDV!K56,"")</f>
        <v/>
      </c>
      <c r="D51" s="417" t="str">
        <f>IF(DSDV!W56&lt;&gt;"",DSDV!W56,"")</f>
        <v/>
      </c>
    </row>
    <row r="52" spans="1:4">
      <c r="A52" t="str">
        <f>IF(DSDV!B57&lt;&gt;"",DSDV!B57,"")</f>
        <v/>
      </c>
      <c r="B52" t="str">
        <f>IF(DSDV!G57&lt;&gt;"",DSDV!G57,"")</f>
        <v/>
      </c>
      <c r="C52" s="237" t="str">
        <f>IF(DSDV!K57&lt;&gt;"",DSDV!K57,"")</f>
        <v/>
      </c>
      <c r="D52" s="417" t="str">
        <f>IF(DSDV!W57&lt;&gt;"",DSDV!W57,"")</f>
        <v/>
      </c>
    </row>
    <row r="53" spans="1:4">
      <c r="A53" t="str">
        <f>IF(DSDV!B58&lt;&gt;"",DSDV!B58,"")</f>
        <v/>
      </c>
      <c r="B53" t="str">
        <f>IF(DSDV!G58&lt;&gt;"",DSDV!G58,"")</f>
        <v/>
      </c>
      <c r="C53" s="237" t="str">
        <f>IF(DSDV!K58&lt;&gt;"",DSDV!K58,"")</f>
        <v/>
      </c>
      <c r="D53" s="417" t="str">
        <f>IF(DSDV!W58&lt;&gt;"",DSDV!W58,"")</f>
        <v/>
      </c>
    </row>
    <row r="54" spans="1:4">
      <c r="A54" t="str">
        <f>IF(DSDV!B59&lt;&gt;"",DSDV!B59,"")</f>
        <v/>
      </c>
      <c r="B54" t="str">
        <f>IF(DSDV!G59&lt;&gt;"",DSDV!G59,"")</f>
        <v/>
      </c>
      <c r="C54" s="237" t="str">
        <f>IF(DSDV!K59&lt;&gt;"",DSDV!K59,"")</f>
        <v/>
      </c>
      <c r="D54" s="417" t="str">
        <f>IF(DSDV!W59&lt;&gt;"",DSDV!W59,"")</f>
        <v/>
      </c>
    </row>
    <row r="55" spans="1:4">
      <c r="A55" t="str">
        <f>IF(DSDV!B60&lt;&gt;"",DSDV!B60,"")</f>
        <v/>
      </c>
      <c r="B55" t="str">
        <f>IF(DSDV!G60&lt;&gt;"",DSDV!G60,"")</f>
        <v/>
      </c>
      <c r="C55" s="237" t="str">
        <f>IF(DSDV!K60&lt;&gt;"",DSDV!K60,"")</f>
        <v/>
      </c>
      <c r="D55" s="417" t="str">
        <f>IF(DSDV!W60&lt;&gt;"",DSDV!W60,"")</f>
        <v/>
      </c>
    </row>
    <row r="56" spans="1:4">
      <c r="A56" t="str">
        <f>IF(DSDV!B61&lt;&gt;"",DSDV!B61,"")</f>
        <v/>
      </c>
      <c r="B56" t="str">
        <f>IF(DSDV!G61&lt;&gt;"",DSDV!G61,"")</f>
        <v/>
      </c>
      <c r="C56" s="237" t="str">
        <f>IF(DSDV!K61&lt;&gt;"",DSDV!K61,"")</f>
        <v/>
      </c>
      <c r="D56" s="417" t="str">
        <f>IF(DSDV!W61&lt;&gt;"",DSDV!W61,"")</f>
        <v/>
      </c>
    </row>
    <row r="57" spans="1:4">
      <c r="A57" t="str">
        <f>IF(DSDV!B62&lt;&gt;"",DSDV!B62,"")</f>
        <v/>
      </c>
      <c r="B57" t="str">
        <f>IF(DSDV!G62&lt;&gt;"",DSDV!G62,"")</f>
        <v/>
      </c>
      <c r="C57" s="237" t="str">
        <f>IF(DSDV!K62&lt;&gt;"",DSDV!K62,"")</f>
        <v/>
      </c>
      <c r="D57" s="417" t="str">
        <f>IF(DSDV!W62&lt;&gt;"",DSDV!W62,"")</f>
        <v/>
      </c>
    </row>
    <row r="58" spans="1:4">
      <c r="A58" t="str">
        <f>IF(DSDV!B63&lt;&gt;"",DSDV!B63,"")</f>
        <v/>
      </c>
      <c r="B58" t="str">
        <f>IF(DSDV!G63&lt;&gt;"",DSDV!G63,"")</f>
        <v/>
      </c>
      <c r="C58" s="237" t="str">
        <f>IF(DSDV!K63&lt;&gt;"",DSDV!K63,"")</f>
        <v/>
      </c>
      <c r="D58" s="417" t="str">
        <f>IF(DSDV!W63&lt;&gt;"",DSDV!W63,"")</f>
        <v/>
      </c>
    </row>
    <row r="59" spans="1:4">
      <c r="A59" t="str">
        <f>IF(DSDV!B64&lt;&gt;"",DSDV!B64,"")</f>
        <v/>
      </c>
      <c r="B59" t="str">
        <f>IF(DSDV!G64&lt;&gt;"",DSDV!G64,"")</f>
        <v/>
      </c>
      <c r="C59" s="237" t="str">
        <f>IF(DSDV!K64&lt;&gt;"",DSDV!K64,"")</f>
        <v/>
      </c>
      <c r="D59" s="417" t="str">
        <f>IF(DSDV!W64&lt;&gt;"",DSDV!W64,"")</f>
        <v/>
      </c>
    </row>
    <row r="60" spans="1:4">
      <c r="A60" t="str">
        <f>IF(DSDV!B65&lt;&gt;"",DSDV!B65,"")</f>
        <v/>
      </c>
      <c r="B60" t="str">
        <f>IF(DSDV!G65&lt;&gt;"",DSDV!G65,"")</f>
        <v/>
      </c>
      <c r="C60" s="237" t="str">
        <f>IF(DSDV!K65&lt;&gt;"",DSDV!K65,"")</f>
        <v/>
      </c>
      <c r="D60" s="417" t="str">
        <f>IF(DSDV!W65&lt;&gt;"",DSDV!W65,"")</f>
        <v/>
      </c>
    </row>
    <row r="61" spans="1:4">
      <c r="A61" t="str">
        <f>IF(DSDV!B66&lt;&gt;"",DSDV!B66,"")</f>
        <v/>
      </c>
      <c r="B61" t="str">
        <f>IF(DSDV!G66&lt;&gt;"",DSDV!G66,"")</f>
        <v/>
      </c>
      <c r="C61" s="237" t="str">
        <f>IF(DSDV!K66&lt;&gt;"",DSDV!K66,"")</f>
        <v/>
      </c>
      <c r="D61" s="417" t="str">
        <f>IF(DSDV!W66&lt;&gt;"",DSDV!W66,"")</f>
        <v/>
      </c>
    </row>
    <row r="62" spans="1:4">
      <c r="A62" t="str">
        <f>IF(DSDV!B67&lt;&gt;"",DSDV!B67,"")</f>
        <v/>
      </c>
      <c r="B62" t="str">
        <f>IF(DSDV!G67&lt;&gt;"",DSDV!G67,"")</f>
        <v/>
      </c>
      <c r="C62" s="237" t="str">
        <f>IF(DSDV!K67&lt;&gt;"",DSDV!K67,"")</f>
        <v/>
      </c>
      <c r="D62" s="417" t="str">
        <f>IF(DSDV!W67&lt;&gt;"",DSDV!W67,"")</f>
        <v/>
      </c>
    </row>
    <row r="63" spans="1:4">
      <c r="A63" t="str">
        <f>IF(DSDV!B68&lt;&gt;"",DSDV!B68,"")</f>
        <v/>
      </c>
      <c r="B63" t="str">
        <f>IF(DSDV!G68&lt;&gt;"",DSDV!G68,"")</f>
        <v/>
      </c>
      <c r="C63" s="237" t="str">
        <f>IF(DSDV!K68&lt;&gt;"",DSDV!K68,"")</f>
        <v/>
      </c>
      <c r="D63" s="417" t="str">
        <f>IF(DSDV!W68&lt;&gt;"",DSDV!W68,"")</f>
        <v/>
      </c>
    </row>
    <row r="64" spans="1:4">
      <c r="A64" t="str">
        <f>IF(DSDV!B69&lt;&gt;"",DSDV!B69,"")</f>
        <v/>
      </c>
      <c r="B64" t="str">
        <f>IF(DSDV!G69&lt;&gt;"",DSDV!G69,"")</f>
        <v/>
      </c>
      <c r="C64" s="237" t="str">
        <f>IF(DSDV!K69&lt;&gt;"",DSDV!K69,"")</f>
        <v/>
      </c>
      <c r="D64" s="417" t="str">
        <f>IF(DSDV!W69&lt;&gt;"",DSDV!W69,"")</f>
        <v/>
      </c>
    </row>
    <row r="65" spans="1:4">
      <c r="A65" t="str">
        <f>IF(DSDV!B70&lt;&gt;"",DSDV!B70,"")</f>
        <v/>
      </c>
      <c r="B65" t="str">
        <f>IF(DSDV!G70&lt;&gt;"",DSDV!G70,"")</f>
        <v/>
      </c>
      <c r="C65" s="237" t="str">
        <f>IF(DSDV!K70&lt;&gt;"",DSDV!K70,"")</f>
        <v/>
      </c>
      <c r="D65" s="417" t="str">
        <f>IF(DSDV!W70&lt;&gt;"",DSDV!W70,"")</f>
        <v/>
      </c>
    </row>
    <row r="66" spans="1:4">
      <c r="A66" t="str">
        <f>IF(DSDV!B71&lt;&gt;"",DSDV!B71,"")</f>
        <v/>
      </c>
      <c r="B66" t="str">
        <f>IF(DSDV!G71&lt;&gt;"",DSDV!G71,"")</f>
        <v/>
      </c>
      <c r="C66" s="237" t="str">
        <f>IF(DSDV!K71&lt;&gt;"",DSDV!K71,"")</f>
        <v/>
      </c>
      <c r="D66" s="417" t="str">
        <f>IF(DSDV!W71&lt;&gt;"",DSDV!W71,"")</f>
        <v/>
      </c>
    </row>
    <row r="67" spans="1:4">
      <c r="A67" t="str">
        <f>IF(DSDV!B72&lt;&gt;"",DSDV!B72,"")</f>
        <v/>
      </c>
      <c r="B67" t="str">
        <f>IF(DSDV!G72&lt;&gt;"",DSDV!G72,"")</f>
        <v/>
      </c>
      <c r="C67" s="237" t="str">
        <f>IF(DSDV!K72&lt;&gt;"",DSDV!K72,"")</f>
        <v/>
      </c>
      <c r="D67" s="417" t="str">
        <f>IF(DSDV!W72&lt;&gt;"",DSDV!W72,"")</f>
        <v/>
      </c>
    </row>
    <row r="68" spans="1:4">
      <c r="A68" t="str">
        <f>IF(DSDV!B73&lt;&gt;"",DSDV!B73,"")</f>
        <v/>
      </c>
      <c r="B68" t="str">
        <f>IF(DSDV!G73&lt;&gt;"",DSDV!G73,"")</f>
        <v/>
      </c>
      <c r="C68" s="237" t="str">
        <f>IF(DSDV!K73&lt;&gt;"",DSDV!K73,"")</f>
        <v/>
      </c>
      <c r="D68" s="417" t="str">
        <f>IF(DSDV!W73&lt;&gt;"",DSDV!W73,"")</f>
        <v/>
      </c>
    </row>
    <row r="69" spans="1:4">
      <c r="A69" t="str">
        <f>IF(DSDV!B74&lt;&gt;"",DSDV!B74,"")</f>
        <v/>
      </c>
      <c r="B69" t="str">
        <f>IF(DSDV!G74&lt;&gt;"",DSDV!G74,"")</f>
        <v/>
      </c>
      <c r="C69" s="237" t="str">
        <f>IF(DSDV!K74&lt;&gt;"",DSDV!K74,"")</f>
        <v/>
      </c>
      <c r="D69" s="417" t="str">
        <f>IF(DSDV!W74&lt;&gt;"",DSDV!W74,"")</f>
        <v/>
      </c>
    </row>
    <row r="70" spans="1:4">
      <c r="A70" t="str">
        <f>IF(DSDV!B75&lt;&gt;"",DSDV!B75,"")</f>
        <v/>
      </c>
      <c r="B70" t="str">
        <f>IF(DSDV!G75&lt;&gt;"",DSDV!G75,"")</f>
        <v/>
      </c>
      <c r="C70" s="237" t="str">
        <f>IF(DSDV!K75&lt;&gt;"",DSDV!K75,"")</f>
        <v/>
      </c>
      <c r="D70" s="417" t="str">
        <f>IF(DSDV!W75&lt;&gt;"",DSDV!W75,"")</f>
        <v/>
      </c>
    </row>
    <row r="71" spans="1:4">
      <c r="A71" t="str">
        <f>IF(DSDV!B76&lt;&gt;"",DSDV!B76,"")</f>
        <v/>
      </c>
      <c r="B71" t="str">
        <f>IF(DSDV!G76&lt;&gt;"",DSDV!G76,"")</f>
        <v/>
      </c>
      <c r="C71" s="237" t="str">
        <f>IF(DSDV!K76&lt;&gt;"",DSDV!K76,"")</f>
        <v/>
      </c>
      <c r="D71" s="417" t="str">
        <f>IF(DSDV!W76&lt;&gt;"",DSDV!W76,"")</f>
        <v/>
      </c>
    </row>
    <row r="72" spans="1:4">
      <c r="A72" t="str">
        <f>IF(DSDV!B77&lt;&gt;"",DSDV!B77,"")</f>
        <v/>
      </c>
      <c r="B72" t="str">
        <f>IF(DSDV!G77&lt;&gt;"",DSDV!G77,"")</f>
        <v/>
      </c>
      <c r="C72" s="237" t="str">
        <f>IF(DSDV!K77&lt;&gt;"",DSDV!K77,"")</f>
        <v/>
      </c>
      <c r="D72" s="417" t="str">
        <f>IF(DSDV!W77&lt;&gt;"",DSDV!W77,"")</f>
        <v/>
      </c>
    </row>
    <row r="73" spans="1:4">
      <c r="A73" t="str">
        <f>IF(DSDV!B78&lt;&gt;"",DSDV!B78,"")</f>
        <v/>
      </c>
      <c r="B73" t="str">
        <f>IF(DSDV!G78&lt;&gt;"",DSDV!G78,"")</f>
        <v/>
      </c>
      <c r="C73" s="237" t="str">
        <f>IF(DSDV!K78&lt;&gt;"",DSDV!K78,"")</f>
        <v/>
      </c>
      <c r="D73" s="417" t="str">
        <f>IF(DSDV!W78&lt;&gt;"",DSDV!W78,"")</f>
        <v/>
      </c>
    </row>
    <row r="74" spans="1:4">
      <c r="A74" t="str">
        <f>IF(DSDV!B79&lt;&gt;"",DSDV!B79,"")</f>
        <v/>
      </c>
      <c r="B74" t="str">
        <f>IF(DSDV!G79&lt;&gt;"",DSDV!G79,"")</f>
        <v/>
      </c>
      <c r="C74" s="237" t="str">
        <f>IF(DSDV!K79&lt;&gt;"",DSDV!K79,"")</f>
        <v/>
      </c>
      <c r="D74" s="417" t="str">
        <f>IF(DSDV!W79&lt;&gt;"",DSDV!W79,"")</f>
        <v/>
      </c>
    </row>
    <row r="75" spans="1:4">
      <c r="A75" t="str">
        <f>IF(DSDV!B80&lt;&gt;"",DSDV!B80,"")</f>
        <v/>
      </c>
      <c r="B75" t="str">
        <f>IF(DSDV!G80&lt;&gt;"",DSDV!G80,"")</f>
        <v/>
      </c>
      <c r="C75" s="237" t="str">
        <f>IF(DSDV!K80&lt;&gt;"",DSDV!K80,"")</f>
        <v/>
      </c>
      <c r="D75" s="417" t="str">
        <f>IF(DSDV!W80&lt;&gt;"",DSDV!W80,"")</f>
        <v/>
      </c>
    </row>
    <row r="76" spans="1:4">
      <c r="A76" t="str">
        <f>IF(DSDV!B81&lt;&gt;"",DSDV!B81,"")</f>
        <v/>
      </c>
      <c r="B76" t="str">
        <f>IF(DSDV!G81&lt;&gt;"",DSDV!G81,"")</f>
        <v/>
      </c>
      <c r="C76" s="237" t="str">
        <f>IF(DSDV!K81&lt;&gt;"",DSDV!K81,"")</f>
        <v/>
      </c>
      <c r="D76" s="417" t="str">
        <f>IF(DSDV!W81&lt;&gt;"",DSDV!W81,"")</f>
        <v/>
      </c>
    </row>
    <row r="77" spans="1:4">
      <c r="A77" t="str">
        <f>IF(DSDV!B82&lt;&gt;"",DSDV!B82,"")</f>
        <v/>
      </c>
      <c r="B77" t="str">
        <f>IF(DSDV!G82&lt;&gt;"",DSDV!G82,"")</f>
        <v/>
      </c>
      <c r="C77" s="237" t="str">
        <f>IF(DSDV!K82&lt;&gt;"",DSDV!K82,"")</f>
        <v/>
      </c>
      <c r="D77" s="417" t="str">
        <f>IF(DSDV!W82&lt;&gt;"",DSDV!W82,"")</f>
        <v/>
      </c>
    </row>
    <row r="78" spans="1:4">
      <c r="A78" t="str">
        <f>IF(DSDV!B83&lt;&gt;"",DSDV!B83,"")</f>
        <v/>
      </c>
      <c r="B78" t="str">
        <f>IF(DSDV!G83&lt;&gt;"",DSDV!G83,"")</f>
        <v/>
      </c>
      <c r="C78" s="237" t="str">
        <f>IF(DSDV!K83&lt;&gt;"",DSDV!K83,"")</f>
        <v/>
      </c>
      <c r="D78" s="417" t="str">
        <f>IF(DSDV!W83&lt;&gt;"",DSDV!W83,"")</f>
        <v/>
      </c>
    </row>
    <row r="79" spans="1:4">
      <c r="A79" t="str">
        <f>IF(DSDV!B84&lt;&gt;"",DSDV!B84,"")</f>
        <v/>
      </c>
      <c r="B79" t="str">
        <f>IF(DSDV!G84&lt;&gt;"",DSDV!G84,"")</f>
        <v/>
      </c>
      <c r="C79" s="237" t="str">
        <f>IF(DSDV!K84&lt;&gt;"",DSDV!K84,"")</f>
        <v/>
      </c>
      <c r="D79" s="417" t="str">
        <f>IF(DSDV!W84&lt;&gt;"",DSDV!W84,"")</f>
        <v/>
      </c>
    </row>
    <row r="80" spans="1:4">
      <c r="A80" t="str">
        <f>IF(DSDV!B85&lt;&gt;"",DSDV!B85,"")</f>
        <v/>
      </c>
      <c r="B80" t="str">
        <f>IF(DSDV!G85&lt;&gt;"",DSDV!G85,"")</f>
        <v/>
      </c>
      <c r="C80" s="237" t="str">
        <f>IF(DSDV!K85&lt;&gt;"",DSDV!K85,"")</f>
        <v/>
      </c>
      <c r="D80" s="417" t="str">
        <f>IF(DSDV!W85&lt;&gt;"",DSDV!W85,"")</f>
        <v/>
      </c>
    </row>
    <row r="81" spans="1:4">
      <c r="A81" t="str">
        <f>IF(DSDV!B86&lt;&gt;"",DSDV!B86,"")</f>
        <v/>
      </c>
      <c r="B81" t="str">
        <f>IF(DSDV!G86&lt;&gt;"",DSDV!G86,"")</f>
        <v/>
      </c>
      <c r="C81" s="237" t="str">
        <f>IF(DSDV!K86&lt;&gt;"",DSDV!K86,"")</f>
        <v/>
      </c>
      <c r="D81" s="417" t="str">
        <f>IF(DSDV!W86&lt;&gt;"",DSDV!W86,"")</f>
        <v/>
      </c>
    </row>
    <row r="82" spans="1:4">
      <c r="A82" t="str">
        <f>IF(DSDV!B87&lt;&gt;"",DSDV!B87,"")</f>
        <v/>
      </c>
      <c r="B82" t="str">
        <f>IF(DSDV!G87&lt;&gt;"",DSDV!G87,"")</f>
        <v/>
      </c>
      <c r="C82" s="237" t="str">
        <f>IF(DSDV!K87&lt;&gt;"",DSDV!K87,"")</f>
        <v/>
      </c>
      <c r="D82" s="417" t="str">
        <f>IF(DSDV!W87&lt;&gt;"",DSDV!W87,"")</f>
        <v/>
      </c>
    </row>
    <row r="83" spans="1:4">
      <c r="A83" t="str">
        <f>IF(DSDV!B88&lt;&gt;"",DSDV!B88,"")</f>
        <v/>
      </c>
      <c r="B83" t="str">
        <f>IF(DSDV!G88&lt;&gt;"",DSDV!G88,"")</f>
        <v/>
      </c>
      <c r="C83" s="237" t="str">
        <f>IF(DSDV!K88&lt;&gt;"",DSDV!K88,"")</f>
        <v/>
      </c>
      <c r="D83" s="417" t="str">
        <f>IF(DSDV!W88&lt;&gt;"",DSDV!W88,"")</f>
        <v/>
      </c>
    </row>
    <row r="84" spans="1:4">
      <c r="A84" t="str">
        <f>IF(DSDV!B89&lt;&gt;"",DSDV!B89,"")</f>
        <v/>
      </c>
      <c r="B84" t="str">
        <f>IF(DSDV!G89&lt;&gt;"",DSDV!G89,"")</f>
        <v/>
      </c>
      <c r="C84" s="237" t="str">
        <f>IF(DSDV!K89&lt;&gt;"",DSDV!K89,"")</f>
        <v/>
      </c>
      <c r="D84" s="417" t="str">
        <f>IF(DSDV!W89&lt;&gt;"",DSDV!W89,"")</f>
        <v/>
      </c>
    </row>
    <row r="85" spans="1:4">
      <c r="A85" t="str">
        <f>IF(DSDV!B90&lt;&gt;"",DSDV!B90,"")</f>
        <v/>
      </c>
      <c r="B85" t="str">
        <f>IF(DSDV!G90&lt;&gt;"",DSDV!G90,"")</f>
        <v/>
      </c>
      <c r="C85" s="237" t="str">
        <f>IF(DSDV!K90&lt;&gt;"",DSDV!K90,"")</f>
        <v/>
      </c>
      <c r="D85" s="417" t="str">
        <f>IF(DSDV!W90&lt;&gt;"",DSDV!W90,"")</f>
        <v/>
      </c>
    </row>
    <row r="86" spans="1:4">
      <c r="A86" t="str">
        <f>IF(DSDV!B91&lt;&gt;"",DSDV!B91,"")</f>
        <v/>
      </c>
      <c r="B86" t="str">
        <f>IF(DSDV!G91&lt;&gt;"",DSDV!G91,"")</f>
        <v/>
      </c>
      <c r="C86" s="237" t="str">
        <f>IF(DSDV!K91&lt;&gt;"",DSDV!K91,"")</f>
        <v/>
      </c>
      <c r="D86" s="417" t="str">
        <f>IF(DSDV!W91&lt;&gt;"",DSDV!W91,"")</f>
        <v/>
      </c>
    </row>
    <row r="87" spans="1:4">
      <c r="A87" t="str">
        <f>IF(DSDV!B92&lt;&gt;"",DSDV!B92,"")</f>
        <v/>
      </c>
      <c r="B87" t="str">
        <f>IF(DSDV!G92&lt;&gt;"",DSDV!G92,"")</f>
        <v/>
      </c>
      <c r="C87" s="237" t="str">
        <f>IF(DSDV!K92&lt;&gt;"",DSDV!K92,"")</f>
        <v/>
      </c>
      <c r="D87" s="417" t="str">
        <f>IF(DSDV!W92&lt;&gt;"",DSDV!W92,"")</f>
        <v/>
      </c>
    </row>
    <row r="88" spans="1:4">
      <c r="A88" t="str">
        <f>IF(DSDV!B93&lt;&gt;"",DSDV!B93,"")</f>
        <v/>
      </c>
      <c r="B88" t="str">
        <f>IF(DSDV!G93&lt;&gt;"",DSDV!G93,"")</f>
        <v/>
      </c>
      <c r="C88" s="237" t="str">
        <f>IF(DSDV!K93&lt;&gt;"",DSDV!K93,"")</f>
        <v/>
      </c>
      <c r="D88" s="417" t="str">
        <f>IF(DSDV!W93&lt;&gt;"",DSDV!W93,"")</f>
        <v/>
      </c>
    </row>
    <row r="89" spans="1:4">
      <c r="A89" t="str">
        <f>IF(DSDV!B94&lt;&gt;"",DSDV!B94,"")</f>
        <v/>
      </c>
      <c r="B89" t="str">
        <f>IF(DSDV!G94&lt;&gt;"",DSDV!G94,"")</f>
        <v/>
      </c>
      <c r="C89" s="237" t="str">
        <f>IF(DSDV!K94&lt;&gt;"",DSDV!K94,"")</f>
        <v/>
      </c>
      <c r="D89" s="417" t="str">
        <f>IF(DSDV!W94&lt;&gt;"",DSDV!W94,"")</f>
        <v/>
      </c>
    </row>
    <row r="90" spans="1:4">
      <c r="A90" t="str">
        <f>IF(DSDV!B95&lt;&gt;"",DSDV!B95,"")</f>
        <v/>
      </c>
      <c r="B90" t="str">
        <f>IF(DSDV!G95&lt;&gt;"",DSDV!G95,"")</f>
        <v/>
      </c>
      <c r="C90" s="237" t="str">
        <f>IF(DSDV!K95&lt;&gt;"",DSDV!K95,"")</f>
        <v/>
      </c>
      <c r="D90" s="417" t="str">
        <f>IF(DSDV!W95&lt;&gt;"",DSDV!W95,"")</f>
        <v/>
      </c>
    </row>
    <row r="91" spans="1:4">
      <c r="A91" t="str">
        <f>IF(DSDV!B96&lt;&gt;"",DSDV!B96,"")</f>
        <v/>
      </c>
      <c r="B91" t="str">
        <f>IF(DSDV!G96&lt;&gt;"",DSDV!G96,"")</f>
        <v/>
      </c>
      <c r="C91" s="237" t="str">
        <f>IF(DSDV!K96&lt;&gt;"",DSDV!K96,"")</f>
        <v/>
      </c>
      <c r="D91" s="417" t="str">
        <f>IF(DSDV!W96&lt;&gt;"",DSDV!W96,"")</f>
        <v/>
      </c>
    </row>
    <row r="92" spans="1:4">
      <c r="A92" t="str">
        <f>IF(DSDV!B97&lt;&gt;"",DSDV!B97,"")</f>
        <v/>
      </c>
      <c r="B92" t="str">
        <f>IF(DSDV!G97&lt;&gt;"",DSDV!G97,"")</f>
        <v/>
      </c>
      <c r="C92" s="237" t="str">
        <f>IF(DSDV!K97&lt;&gt;"",DSDV!K97,"")</f>
        <v/>
      </c>
      <c r="D92" s="417" t="str">
        <f>IF(DSDV!W97&lt;&gt;"",DSDV!W97,"")</f>
        <v/>
      </c>
    </row>
    <row r="93" spans="1:4">
      <c r="A93" t="str">
        <f>IF(DSDV!B98&lt;&gt;"",DSDV!B98,"")</f>
        <v/>
      </c>
      <c r="B93" t="str">
        <f>IF(DSDV!G98&lt;&gt;"",DSDV!G98,"")</f>
        <v/>
      </c>
      <c r="C93" s="237" t="str">
        <f>IF(DSDV!K98&lt;&gt;"",DSDV!K98,"")</f>
        <v/>
      </c>
      <c r="D93" s="417" t="str">
        <f>IF(DSDV!W98&lt;&gt;"",DSDV!W98,"")</f>
        <v/>
      </c>
    </row>
    <row r="94" spans="1:4">
      <c r="A94" t="str">
        <f>IF(DSDV!B99&lt;&gt;"",DSDV!B99,"")</f>
        <v/>
      </c>
      <c r="B94" t="str">
        <f>IF(DSDV!G99&lt;&gt;"",DSDV!G99,"")</f>
        <v/>
      </c>
      <c r="C94" s="237" t="str">
        <f>IF(DSDV!K99&lt;&gt;"",DSDV!K99,"")</f>
        <v/>
      </c>
      <c r="D94" s="417" t="str">
        <f>IF(DSDV!W99&lt;&gt;"",DSDV!W99,"")</f>
        <v/>
      </c>
    </row>
    <row r="95" spans="1:4">
      <c r="A95" t="str">
        <f>IF(DSDV!B100&lt;&gt;"",DSDV!B100,"")</f>
        <v/>
      </c>
      <c r="B95" t="str">
        <f>IF(DSDV!G100&lt;&gt;"",DSDV!G100,"")</f>
        <v/>
      </c>
      <c r="C95" s="237" t="str">
        <f>IF(DSDV!K100&lt;&gt;"",DSDV!K100,"")</f>
        <v/>
      </c>
      <c r="D95" s="417" t="str">
        <f>IF(DSDV!W100&lt;&gt;"",DSDV!W100,"")</f>
        <v/>
      </c>
    </row>
    <row r="96" spans="1:4">
      <c r="A96" t="str">
        <f>IF(DSDV!B101&lt;&gt;"",DSDV!B101,"")</f>
        <v/>
      </c>
      <c r="B96" t="str">
        <f>IF(DSDV!G101&lt;&gt;"",DSDV!G101,"")</f>
        <v/>
      </c>
      <c r="C96" s="237" t="str">
        <f>IF(DSDV!K101&lt;&gt;"",DSDV!K101,"")</f>
        <v/>
      </c>
      <c r="D96" s="417" t="str">
        <f>IF(DSDV!W101&lt;&gt;"",DSDV!W101,"")</f>
        <v/>
      </c>
    </row>
    <row r="97" spans="1:4">
      <c r="A97" t="str">
        <f>IF(DSDV!B102&lt;&gt;"",DSDV!B102,"")</f>
        <v/>
      </c>
      <c r="B97" t="str">
        <f>IF(DSDV!G102&lt;&gt;"",DSDV!G102,"")</f>
        <v/>
      </c>
      <c r="C97" s="237" t="str">
        <f>IF(DSDV!K102&lt;&gt;"",DSDV!K102,"")</f>
        <v/>
      </c>
      <c r="D97" s="417" t="str">
        <f>IF(DSDV!W102&lt;&gt;"",DSDV!W102,"")</f>
        <v/>
      </c>
    </row>
    <row r="98" spans="1:4">
      <c r="A98" t="str">
        <f>IF(DSDV!B103&lt;&gt;"",DSDV!B103,"")</f>
        <v/>
      </c>
      <c r="B98" t="str">
        <f>IF(DSDV!G103&lt;&gt;"",DSDV!G103,"")</f>
        <v/>
      </c>
      <c r="C98" s="237" t="str">
        <f>IF(DSDV!K103&lt;&gt;"",DSDV!K103,"")</f>
        <v/>
      </c>
      <c r="D98" s="417" t="str">
        <f>IF(DSDV!W103&lt;&gt;"",DSDV!W103,"")</f>
        <v/>
      </c>
    </row>
    <row r="99" spans="1:4">
      <c r="A99" t="str">
        <f>IF(DSDV!B104&lt;&gt;"",DSDV!B104,"")</f>
        <v/>
      </c>
      <c r="B99" t="str">
        <f>IF(DSDV!G104&lt;&gt;"",DSDV!G104,"")</f>
        <v/>
      </c>
      <c r="C99" s="237" t="str">
        <f>IF(DSDV!K104&lt;&gt;"",DSDV!K104,"")</f>
        <v/>
      </c>
      <c r="D99" s="417" t="str">
        <f>IF(DSDV!W104&lt;&gt;"",DSDV!W104,"")</f>
        <v/>
      </c>
    </row>
    <row r="100" spans="1:4">
      <c r="A100" t="str">
        <f>IF(DSDV!B105&lt;&gt;"",DSDV!B105,"")</f>
        <v/>
      </c>
      <c r="B100" t="str">
        <f>IF(DSDV!G105&lt;&gt;"",DSDV!G105,"")</f>
        <v/>
      </c>
      <c r="C100" s="237" t="str">
        <f>IF(DSDV!K105&lt;&gt;"",DSDV!K105,"")</f>
        <v/>
      </c>
      <c r="D100" s="417" t="str">
        <f>IF(DSDV!W105&lt;&gt;"",DSDV!W105,"")</f>
        <v/>
      </c>
    </row>
    <row r="101" spans="1:4">
      <c r="A101" t="str">
        <f>IF(DSDV!B106&lt;&gt;"",DSDV!B106,"")</f>
        <v/>
      </c>
      <c r="B101" t="str">
        <f>IF(DSDV!G106&lt;&gt;"",DSDV!G106,"")</f>
        <v/>
      </c>
      <c r="C101" s="237" t="str">
        <f>IF(DSDV!K106&lt;&gt;"",DSDV!K106,"")</f>
        <v/>
      </c>
      <c r="D101" s="417" t="str">
        <f>IF(DSDV!W106&lt;&gt;"",DSDV!W106,"")</f>
        <v/>
      </c>
    </row>
    <row r="102" spans="1:4">
      <c r="A102" t="str">
        <f>IF(DSDV!B107&lt;&gt;"",DSDV!B107,"")</f>
        <v/>
      </c>
      <c r="B102" t="str">
        <f>IF(DSDV!G107&lt;&gt;"",DSDV!G107,"")</f>
        <v/>
      </c>
      <c r="C102" s="237" t="str">
        <f>IF(DSDV!K107&lt;&gt;"",DSDV!K107,"")</f>
        <v/>
      </c>
      <c r="D102" s="417" t="str">
        <f>IF(DSDV!W107&lt;&gt;"",DSDV!W107,"")</f>
        <v/>
      </c>
    </row>
    <row r="103" spans="1:4">
      <c r="A103" t="str">
        <f>IF(DSDV!B108&lt;&gt;"",DSDV!B108,"")</f>
        <v/>
      </c>
      <c r="B103" t="str">
        <f>IF(DSDV!G108&lt;&gt;"",DSDV!G108,"")</f>
        <v/>
      </c>
      <c r="C103" s="237" t="str">
        <f>IF(DSDV!K108&lt;&gt;"",DSDV!K108,"")</f>
        <v/>
      </c>
      <c r="D103" s="417" t="str">
        <f>IF(DSDV!W108&lt;&gt;"",DSDV!W108,"")</f>
        <v/>
      </c>
    </row>
    <row r="104" spans="1:4">
      <c r="A104" t="str">
        <f>IF(DSDV!B109&lt;&gt;"",DSDV!B109,"")</f>
        <v/>
      </c>
      <c r="B104" t="str">
        <f>IF(DSDV!G109&lt;&gt;"",DSDV!G109,"")</f>
        <v/>
      </c>
      <c r="C104" s="237" t="str">
        <f>IF(DSDV!K109&lt;&gt;"",DSDV!K109,"")</f>
        <v/>
      </c>
      <c r="D104" s="417" t="str">
        <f>IF(DSDV!W109&lt;&gt;"",DSDV!W109,"")</f>
        <v/>
      </c>
    </row>
    <row r="105" spans="1:4">
      <c r="A105" t="str">
        <f>IF(DSDV!B110&lt;&gt;"",DSDV!B110,"")</f>
        <v/>
      </c>
      <c r="B105" t="str">
        <f>IF(DSDV!G110&lt;&gt;"",DSDV!G110,"")</f>
        <v/>
      </c>
      <c r="C105" s="237" t="str">
        <f>IF(DSDV!K110&lt;&gt;"",DSDV!K110,"")</f>
        <v/>
      </c>
      <c r="D105" s="417" t="str">
        <f>IF(DSDV!W110&lt;&gt;"",DSDV!W110,"")</f>
        <v/>
      </c>
    </row>
    <row r="106" spans="1:4">
      <c r="A106" t="str">
        <f>IF(DSDV!B111&lt;&gt;"",DSDV!B111,"")</f>
        <v/>
      </c>
      <c r="B106" t="str">
        <f>IF(DSDV!G111&lt;&gt;"",DSDV!G111,"")</f>
        <v/>
      </c>
      <c r="C106" s="237" t="str">
        <f>IF(DSDV!K111&lt;&gt;"",DSDV!K111,"")</f>
        <v/>
      </c>
      <c r="D106" s="417" t="str">
        <f>IF(DSDV!W111&lt;&gt;"",DSDV!W111,"")</f>
        <v/>
      </c>
    </row>
    <row r="107" spans="1:4">
      <c r="A107" t="str">
        <f>IF(DSDV!B112&lt;&gt;"",DSDV!B112,"")</f>
        <v/>
      </c>
      <c r="B107" t="str">
        <f>IF(DSDV!G112&lt;&gt;"",DSDV!G112,"")</f>
        <v/>
      </c>
      <c r="C107" s="237" t="str">
        <f>IF(DSDV!K112&lt;&gt;"",DSDV!K112,"")</f>
        <v/>
      </c>
      <c r="D107" s="417" t="str">
        <f>IF(DSDV!W112&lt;&gt;"",DSDV!W112,"")</f>
        <v/>
      </c>
    </row>
    <row r="108" spans="1:4">
      <c r="A108" t="str">
        <f>IF(DSDV!B113&lt;&gt;"",DSDV!B113,"")</f>
        <v/>
      </c>
      <c r="B108" t="str">
        <f>IF(DSDV!G113&lt;&gt;"",DSDV!G113,"")</f>
        <v/>
      </c>
      <c r="C108" s="237" t="str">
        <f>IF(DSDV!K113&lt;&gt;"",DSDV!K113,"")</f>
        <v/>
      </c>
      <c r="D108" s="417" t="str">
        <f>IF(DSDV!W113&lt;&gt;"",DSDV!W113,"")</f>
        <v/>
      </c>
    </row>
    <row r="109" spans="1:4">
      <c r="A109" t="str">
        <f>IF(DSDV!B114&lt;&gt;"",DSDV!B114,"")</f>
        <v/>
      </c>
      <c r="B109" t="str">
        <f>IF(DSDV!G114&lt;&gt;"",DSDV!G114,"")</f>
        <v/>
      </c>
      <c r="C109" s="237" t="str">
        <f>IF(DSDV!K114&lt;&gt;"",DSDV!K114,"")</f>
        <v/>
      </c>
      <c r="D109" s="417" t="str">
        <f>IF(DSDV!W114&lt;&gt;"",DSDV!W114,"")</f>
        <v/>
      </c>
    </row>
    <row r="110" spans="1:4">
      <c r="A110" t="str">
        <f>IF(DSDV!B115&lt;&gt;"",DSDV!B115,"")</f>
        <v/>
      </c>
      <c r="B110" t="str">
        <f>IF(DSDV!G115&lt;&gt;"",DSDV!G115,"")</f>
        <v/>
      </c>
      <c r="C110" s="237" t="str">
        <f>IF(DSDV!K115&lt;&gt;"",DSDV!K115,"")</f>
        <v/>
      </c>
      <c r="D110" s="417" t="str">
        <f>IF(DSDV!W115&lt;&gt;"",DSDV!W115,"")</f>
        <v/>
      </c>
    </row>
    <row r="111" spans="1:4">
      <c r="A111" t="str">
        <f>IF(DSDV!B116&lt;&gt;"",DSDV!B116,"")</f>
        <v/>
      </c>
      <c r="B111" t="str">
        <f>IF(DSDV!G116&lt;&gt;"",DSDV!G116,"")</f>
        <v/>
      </c>
      <c r="C111" s="237" t="str">
        <f>IF(DSDV!K116&lt;&gt;"",DSDV!K116,"")</f>
        <v/>
      </c>
      <c r="D111" s="417" t="str">
        <f>IF(DSDV!W116&lt;&gt;"",DSDV!W116,"")</f>
        <v/>
      </c>
    </row>
    <row r="112" spans="1:4">
      <c r="A112" t="str">
        <f>IF(DSDV!B117&lt;&gt;"",DSDV!B117,"")</f>
        <v/>
      </c>
      <c r="B112" t="str">
        <f>IF(DSDV!G117&lt;&gt;"",DSDV!G117,"")</f>
        <v/>
      </c>
      <c r="C112" s="237" t="str">
        <f>IF(DSDV!K117&lt;&gt;"",DSDV!K117,"")</f>
        <v/>
      </c>
      <c r="D112" s="417" t="str">
        <f>IF(DSDV!W117&lt;&gt;"",DSDV!W117,"")</f>
        <v/>
      </c>
    </row>
    <row r="113" spans="1:4">
      <c r="A113" t="str">
        <f>IF(DSDV!B118&lt;&gt;"",DSDV!B118,"")</f>
        <v/>
      </c>
      <c r="B113" t="str">
        <f>IF(DSDV!G118&lt;&gt;"",DSDV!G118,"")</f>
        <v/>
      </c>
      <c r="C113" s="237" t="str">
        <f>IF(DSDV!K118&lt;&gt;"",DSDV!K118,"")</f>
        <v/>
      </c>
      <c r="D113" s="417" t="str">
        <f>IF(DSDV!W118&lt;&gt;"",DSDV!W118,"")</f>
        <v/>
      </c>
    </row>
    <row r="114" spans="1:4">
      <c r="A114" t="str">
        <f>IF(DSDV!B119&lt;&gt;"",DSDV!B119,"")</f>
        <v/>
      </c>
      <c r="B114" t="str">
        <f>IF(DSDV!G119&lt;&gt;"",DSDV!G119,"")</f>
        <v/>
      </c>
      <c r="C114" s="237" t="str">
        <f>IF(DSDV!K119&lt;&gt;"",DSDV!K119,"")</f>
        <v/>
      </c>
      <c r="D114" s="417" t="str">
        <f>IF(DSDV!W119&lt;&gt;"",DSDV!W119,"")</f>
        <v/>
      </c>
    </row>
    <row r="115" spans="1:4">
      <c r="A115" t="str">
        <f>IF(DSDV!B120&lt;&gt;"",DSDV!B120,"")</f>
        <v/>
      </c>
      <c r="B115" t="str">
        <f>IF(DSDV!G120&lt;&gt;"",DSDV!G120,"")</f>
        <v/>
      </c>
      <c r="C115" s="237" t="str">
        <f>IF(DSDV!K120&lt;&gt;"",DSDV!K120,"")</f>
        <v/>
      </c>
      <c r="D115" s="417" t="str">
        <f>IF(DSDV!W120&lt;&gt;"",DSDV!W120,"")</f>
        <v/>
      </c>
    </row>
    <row r="116" spans="1:4">
      <c r="A116" t="str">
        <f>IF(DSDV!B121&lt;&gt;"",DSDV!B121,"")</f>
        <v/>
      </c>
      <c r="B116" t="str">
        <f>IF(DSDV!G121&lt;&gt;"",DSDV!G121,"")</f>
        <v/>
      </c>
      <c r="C116" s="237" t="str">
        <f>IF(DSDV!K121&lt;&gt;"",DSDV!K121,"")</f>
        <v/>
      </c>
      <c r="D116" s="417" t="str">
        <f>IF(DSDV!W121&lt;&gt;"",DSDV!W121,"")</f>
        <v/>
      </c>
    </row>
    <row r="117" spans="1:4">
      <c r="A117" t="str">
        <f>IF(DSDV!B122&lt;&gt;"",DSDV!B122,"")</f>
        <v/>
      </c>
      <c r="B117" t="str">
        <f>IF(DSDV!G122&lt;&gt;"",DSDV!G122,"")</f>
        <v/>
      </c>
      <c r="C117" s="237" t="str">
        <f>IF(DSDV!K122&lt;&gt;"",DSDV!K122,"")</f>
        <v/>
      </c>
      <c r="D117" s="417" t="str">
        <f>IF(DSDV!W122&lt;&gt;"",DSDV!W122,"")</f>
        <v/>
      </c>
    </row>
    <row r="118" spans="1:4">
      <c r="A118" t="str">
        <f>IF(DSDV!B123&lt;&gt;"",DSDV!B123,"")</f>
        <v/>
      </c>
      <c r="B118" t="str">
        <f>IF(DSDV!G123&lt;&gt;"",DSDV!G123,"")</f>
        <v/>
      </c>
      <c r="C118" s="237" t="str">
        <f>IF(DSDV!K123&lt;&gt;"",DSDV!K123,"")</f>
        <v/>
      </c>
      <c r="D118" s="417" t="str">
        <f>IF(DSDV!W123&lt;&gt;"",DSDV!W123,"")</f>
        <v/>
      </c>
    </row>
    <row r="119" spans="1:4">
      <c r="A119" t="str">
        <f>IF(DSDV!B124&lt;&gt;"",DSDV!B124,"")</f>
        <v/>
      </c>
      <c r="B119" t="str">
        <f>IF(DSDV!G124&lt;&gt;"",DSDV!G124,"")</f>
        <v/>
      </c>
      <c r="C119" s="237" t="str">
        <f>IF(DSDV!K124&lt;&gt;"",DSDV!K124,"")</f>
        <v/>
      </c>
      <c r="D119" s="417" t="str">
        <f>IF(DSDV!W124&lt;&gt;"",DSDV!W124,"")</f>
        <v/>
      </c>
    </row>
    <row r="120" spans="1:4">
      <c r="A120" t="str">
        <f>IF(DSDV!B125&lt;&gt;"",DSDV!B125,"")</f>
        <v/>
      </c>
      <c r="B120" t="str">
        <f>IF(DSDV!G125&lt;&gt;"",DSDV!G125,"")</f>
        <v/>
      </c>
      <c r="C120" s="237" t="str">
        <f>IF(DSDV!K125&lt;&gt;"",DSDV!K125,"")</f>
        <v/>
      </c>
      <c r="D120" s="417" t="str">
        <f>IF(DSDV!W125&lt;&gt;"",DSDV!W125,"")</f>
        <v/>
      </c>
    </row>
    <row r="121" spans="1:4">
      <c r="A121" t="str">
        <f>IF(DSDV!B126&lt;&gt;"",DSDV!B126,"")</f>
        <v/>
      </c>
      <c r="B121" t="str">
        <f>IF(DSDV!G126&lt;&gt;"",DSDV!G126,"")</f>
        <v/>
      </c>
      <c r="C121" s="237" t="str">
        <f>IF(DSDV!K126&lt;&gt;"",DSDV!K126,"")</f>
        <v/>
      </c>
      <c r="D121" s="417" t="str">
        <f>IF(DSDV!W126&lt;&gt;"",DSDV!W126,"")</f>
        <v/>
      </c>
    </row>
    <row r="122" spans="1:4">
      <c r="A122" t="str">
        <f>IF(DSDV!B127&lt;&gt;"",DSDV!B127,"")</f>
        <v/>
      </c>
      <c r="B122" t="str">
        <f>IF(DSDV!G127&lt;&gt;"",DSDV!G127,"")</f>
        <v/>
      </c>
      <c r="C122" s="237" t="str">
        <f>IF(DSDV!K127&lt;&gt;"",DSDV!K127,"")</f>
        <v/>
      </c>
      <c r="D122" s="417" t="str">
        <f>IF(DSDV!W127&lt;&gt;"",DSDV!W127,"")</f>
        <v/>
      </c>
    </row>
    <row r="123" spans="1:4">
      <c r="A123" t="str">
        <f>IF(DSDV!B128&lt;&gt;"",DSDV!B128,"")</f>
        <v/>
      </c>
      <c r="B123" t="str">
        <f>IF(DSDV!G128&lt;&gt;"",DSDV!G128,"")</f>
        <v/>
      </c>
      <c r="C123" s="237" t="str">
        <f>IF(DSDV!K128&lt;&gt;"",DSDV!K128,"")</f>
        <v/>
      </c>
      <c r="D123" s="417" t="str">
        <f>IF(DSDV!W128&lt;&gt;"",DSDV!W128,"")</f>
        <v/>
      </c>
    </row>
    <row r="124" spans="1:4">
      <c r="A124" t="str">
        <f>IF(DSDV!B129&lt;&gt;"",DSDV!B129,"")</f>
        <v/>
      </c>
      <c r="B124" t="str">
        <f>IF(DSDV!G129&lt;&gt;"",DSDV!G129,"")</f>
        <v/>
      </c>
      <c r="C124" s="237" t="str">
        <f>IF(DSDV!K129&lt;&gt;"",DSDV!K129,"")</f>
        <v/>
      </c>
      <c r="D124" s="417" t="str">
        <f>IF(DSDV!W129&lt;&gt;"",DSDV!W129,"")</f>
        <v/>
      </c>
    </row>
    <row r="125" spans="1:4">
      <c r="A125" t="str">
        <f>IF(DSDV!B130&lt;&gt;"",DSDV!B130,"")</f>
        <v/>
      </c>
      <c r="B125" t="str">
        <f>IF(DSDV!G130&lt;&gt;"",DSDV!G130,"")</f>
        <v/>
      </c>
      <c r="C125" s="237" t="str">
        <f>IF(DSDV!K130&lt;&gt;"",DSDV!K130,"")</f>
        <v/>
      </c>
      <c r="D125" s="417" t="str">
        <f>IF(DSDV!W130&lt;&gt;"",DSDV!W130,"")</f>
        <v/>
      </c>
    </row>
    <row r="126" spans="1:4">
      <c r="A126" t="str">
        <f>IF(DSDV!B131&lt;&gt;"",DSDV!B131,"")</f>
        <v/>
      </c>
      <c r="B126" t="str">
        <f>IF(DSDV!G131&lt;&gt;"",DSDV!G131,"")</f>
        <v/>
      </c>
      <c r="C126" s="237" t="str">
        <f>IF(DSDV!K131&lt;&gt;"",DSDV!K131,"")</f>
        <v/>
      </c>
      <c r="D126" s="417" t="str">
        <f>IF(DSDV!W131&lt;&gt;"",DSDV!W131,"")</f>
        <v/>
      </c>
    </row>
    <row r="127" spans="1:4">
      <c r="A127" t="str">
        <f>IF(DSDV!B132&lt;&gt;"",DSDV!B132,"")</f>
        <v/>
      </c>
      <c r="B127" t="str">
        <f>IF(DSDV!G132&lt;&gt;"",DSDV!G132,"")</f>
        <v/>
      </c>
      <c r="C127" s="237" t="str">
        <f>IF(DSDV!K132&lt;&gt;"",DSDV!K132,"")</f>
        <v/>
      </c>
      <c r="D127" s="417" t="str">
        <f>IF(DSDV!W132&lt;&gt;"",DSDV!W132,"")</f>
        <v/>
      </c>
    </row>
    <row r="128" spans="1:4">
      <c r="A128" t="str">
        <f>IF(DSDV!B133&lt;&gt;"",DSDV!B133,"")</f>
        <v/>
      </c>
      <c r="B128" t="str">
        <f>IF(DSDV!G133&lt;&gt;"",DSDV!G133,"")</f>
        <v/>
      </c>
      <c r="C128" s="237" t="str">
        <f>IF(DSDV!K133&lt;&gt;"",DSDV!K133,"")</f>
        <v/>
      </c>
      <c r="D128" s="417" t="str">
        <f>IF(DSDV!W133&lt;&gt;"",DSDV!W133,"")</f>
        <v/>
      </c>
    </row>
    <row r="129" spans="1:4">
      <c r="A129" t="str">
        <f>IF(DSDV!B134&lt;&gt;"",DSDV!B134,"")</f>
        <v/>
      </c>
      <c r="B129" t="str">
        <f>IF(DSDV!G134&lt;&gt;"",DSDV!G134,"")</f>
        <v/>
      </c>
      <c r="C129" s="237" t="str">
        <f>IF(DSDV!K134&lt;&gt;"",DSDV!K134,"")</f>
        <v/>
      </c>
      <c r="D129" s="417" t="str">
        <f>IF(DSDV!W134&lt;&gt;"",DSDV!W134,"")</f>
        <v/>
      </c>
    </row>
    <row r="130" spans="1:4">
      <c r="A130" t="str">
        <f>IF(DSDV!B135&lt;&gt;"",DSDV!B135,"")</f>
        <v/>
      </c>
      <c r="B130" t="str">
        <f>IF(DSDV!G135&lt;&gt;"",DSDV!G135,"")</f>
        <v/>
      </c>
      <c r="C130" s="237" t="str">
        <f>IF(DSDV!K135&lt;&gt;"",DSDV!K135,"")</f>
        <v/>
      </c>
      <c r="D130" s="417" t="str">
        <f>IF(DSDV!W135&lt;&gt;"",DSDV!W135,"")</f>
        <v/>
      </c>
    </row>
    <row r="131" spans="1:4">
      <c r="A131" t="str">
        <f>IF(DSDV!B136&lt;&gt;"",DSDV!B136,"")</f>
        <v/>
      </c>
      <c r="B131" t="str">
        <f>IF(DSDV!G136&lt;&gt;"",DSDV!G136,"")</f>
        <v/>
      </c>
      <c r="C131" s="237" t="str">
        <f>IF(DSDV!K136&lt;&gt;"",DSDV!K136,"")</f>
        <v/>
      </c>
      <c r="D131" s="417" t="str">
        <f>IF(DSDV!W136&lt;&gt;"",DSDV!W136,"")</f>
        <v/>
      </c>
    </row>
    <row r="132" spans="1:4">
      <c r="A132" t="str">
        <f>IF(DSDV!B137&lt;&gt;"",DSDV!B137,"")</f>
        <v/>
      </c>
      <c r="B132" t="str">
        <f>IF(DSDV!G137&lt;&gt;"",DSDV!G137,"")</f>
        <v/>
      </c>
      <c r="C132" s="237" t="str">
        <f>IF(DSDV!K137&lt;&gt;"",DSDV!K137,"")</f>
        <v/>
      </c>
      <c r="D132" s="417" t="str">
        <f>IF(DSDV!W137&lt;&gt;"",DSDV!W137,"")</f>
        <v/>
      </c>
    </row>
    <row r="133" spans="1:4">
      <c r="A133" t="str">
        <f>IF(DSDV!B138&lt;&gt;"",DSDV!B138,"")</f>
        <v/>
      </c>
      <c r="B133" t="str">
        <f>IF(DSDV!G138&lt;&gt;"",DSDV!G138,"")</f>
        <v/>
      </c>
      <c r="C133" s="237" t="str">
        <f>IF(DSDV!K138&lt;&gt;"",DSDV!K138,"")</f>
        <v/>
      </c>
      <c r="D133" s="417" t="str">
        <f>IF(DSDV!W138&lt;&gt;"",DSDV!W138,"")</f>
        <v/>
      </c>
    </row>
    <row r="134" spans="1:4">
      <c r="A134" t="str">
        <f>IF(DSDV!B139&lt;&gt;"",DSDV!B139,"")</f>
        <v/>
      </c>
      <c r="B134" t="str">
        <f>IF(DSDV!G139&lt;&gt;"",DSDV!G139,"")</f>
        <v/>
      </c>
      <c r="C134" s="237" t="str">
        <f>IF(DSDV!K139&lt;&gt;"",DSDV!K139,"")</f>
        <v/>
      </c>
      <c r="D134" s="417" t="str">
        <f>IF(DSDV!W139&lt;&gt;"",DSDV!W139,"")</f>
        <v/>
      </c>
    </row>
    <row r="135" spans="1:4">
      <c r="A135" t="str">
        <f>IF(DSDV!B140&lt;&gt;"",DSDV!B140,"")</f>
        <v/>
      </c>
      <c r="B135" t="str">
        <f>IF(DSDV!G140&lt;&gt;"",DSDV!G140,"")</f>
        <v/>
      </c>
      <c r="C135" s="237" t="str">
        <f>IF(DSDV!K140&lt;&gt;"",DSDV!K140,"")</f>
        <v/>
      </c>
      <c r="D135" s="417" t="str">
        <f>IF(DSDV!W140&lt;&gt;"",DSDV!W140,"")</f>
        <v/>
      </c>
    </row>
    <row r="136" spans="1:4">
      <c r="A136" t="str">
        <f>IF(DSDV!B141&lt;&gt;"",DSDV!B141,"")</f>
        <v/>
      </c>
      <c r="B136" t="str">
        <f>IF(DSDV!G141&lt;&gt;"",DSDV!G141,"")</f>
        <v/>
      </c>
      <c r="C136" s="237" t="str">
        <f>IF(DSDV!K141&lt;&gt;"",DSDV!K141,"")</f>
        <v/>
      </c>
      <c r="D136" s="417" t="str">
        <f>IF(DSDV!W141&lt;&gt;"",DSDV!W141,"")</f>
        <v/>
      </c>
    </row>
    <row r="137" spans="1:4">
      <c r="A137" t="str">
        <f>IF(DSDV!B142&lt;&gt;"",DSDV!B142,"")</f>
        <v/>
      </c>
      <c r="B137" t="str">
        <f>IF(DSDV!G142&lt;&gt;"",DSDV!G142,"")</f>
        <v/>
      </c>
      <c r="C137" s="237" t="str">
        <f>IF(DSDV!K142&lt;&gt;"",DSDV!K142,"")</f>
        <v/>
      </c>
      <c r="D137" s="417" t="str">
        <f>IF(DSDV!W142&lt;&gt;"",DSDV!W142,"")</f>
        <v/>
      </c>
    </row>
    <row r="138" spans="1:4">
      <c r="A138" t="str">
        <f>IF(DSDV!B143&lt;&gt;"",DSDV!B143,"")</f>
        <v/>
      </c>
      <c r="B138" t="str">
        <f>IF(DSDV!G143&lt;&gt;"",DSDV!G143,"")</f>
        <v/>
      </c>
      <c r="C138" s="237" t="str">
        <f>IF(DSDV!K143&lt;&gt;"",DSDV!K143,"")</f>
        <v/>
      </c>
      <c r="D138" s="417" t="str">
        <f>IF(DSDV!W143&lt;&gt;"",DSDV!W143,"")</f>
        <v/>
      </c>
    </row>
    <row r="139" spans="1:4">
      <c r="A139" t="str">
        <f>IF(DSDV!B144&lt;&gt;"",DSDV!B144,"")</f>
        <v/>
      </c>
      <c r="B139" t="str">
        <f>IF(DSDV!G144&lt;&gt;"",DSDV!G144,"")</f>
        <v/>
      </c>
      <c r="C139" s="237" t="str">
        <f>IF(DSDV!K144&lt;&gt;"",DSDV!K144,"")</f>
        <v/>
      </c>
      <c r="D139" s="417" t="str">
        <f>IF(DSDV!W144&lt;&gt;"",DSDV!W144,"")</f>
        <v/>
      </c>
    </row>
    <row r="140" spans="1:4">
      <c r="A140" t="str">
        <f>IF(DSDV!B145&lt;&gt;"",DSDV!B145,"")</f>
        <v/>
      </c>
      <c r="B140" t="str">
        <f>IF(DSDV!G145&lt;&gt;"",DSDV!G145,"")</f>
        <v/>
      </c>
      <c r="C140" s="237" t="str">
        <f>IF(DSDV!K145&lt;&gt;"",DSDV!K145,"")</f>
        <v/>
      </c>
      <c r="D140" s="417" t="str">
        <f>IF(DSDV!W145&lt;&gt;"",DSDV!W145,"")</f>
        <v/>
      </c>
    </row>
    <row r="141" spans="1:4">
      <c r="A141" t="str">
        <f>IF(DSDV!B146&lt;&gt;"",DSDV!B146,"")</f>
        <v/>
      </c>
      <c r="B141" t="str">
        <f>IF(DSDV!G146&lt;&gt;"",DSDV!G146,"")</f>
        <v/>
      </c>
      <c r="C141" s="237" t="str">
        <f>IF(DSDV!K146&lt;&gt;"",DSDV!K146,"")</f>
        <v/>
      </c>
      <c r="D141" s="417" t="str">
        <f>IF(DSDV!W146&lt;&gt;"",DSDV!W146,"")</f>
        <v/>
      </c>
    </row>
    <row r="142" spans="1:4">
      <c r="A142" t="str">
        <f>IF(DSDV!B147&lt;&gt;"",DSDV!B147,"")</f>
        <v/>
      </c>
      <c r="B142" t="str">
        <f>IF(DSDV!G147&lt;&gt;"",DSDV!G147,"")</f>
        <v/>
      </c>
      <c r="C142" s="237" t="str">
        <f>IF(DSDV!K147&lt;&gt;"",DSDV!K147,"")</f>
        <v/>
      </c>
      <c r="D142" s="417" t="str">
        <f>IF(DSDV!W147&lt;&gt;"",DSDV!W147,"")</f>
        <v/>
      </c>
    </row>
    <row r="143" spans="1:4">
      <c r="A143" t="str">
        <f>IF(DSDV!B148&lt;&gt;"",DSDV!B148,"")</f>
        <v/>
      </c>
      <c r="B143" t="str">
        <f>IF(DSDV!G148&lt;&gt;"",DSDV!G148,"")</f>
        <v/>
      </c>
      <c r="C143" s="237" t="str">
        <f>IF(DSDV!K148&lt;&gt;"",DSDV!K148,"")</f>
        <v/>
      </c>
      <c r="D143" s="417" t="str">
        <f>IF(DSDV!W148&lt;&gt;"",DSDV!W148,"")</f>
        <v/>
      </c>
    </row>
    <row r="144" spans="1:4">
      <c r="A144" t="str">
        <f>IF(DSDV!B149&lt;&gt;"",DSDV!B149,"")</f>
        <v/>
      </c>
      <c r="B144" t="str">
        <f>IF(DSDV!G149&lt;&gt;"",DSDV!G149,"")</f>
        <v/>
      </c>
      <c r="C144" s="237" t="str">
        <f>IF(DSDV!K149&lt;&gt;"",DSDV!K149,"")</f>
        <v/>
      </c>
      <c r="D144" s="417" t="str">
        <f>IF(DSDV!W149&lt;&gt;"",DSDV!W149,"")</f>
        <v/>
      </c>
    </row>
    <row r="145" spans="1:4">
      <c r="A145" t="str">
        <f>IF(DSDV!B150&lt;&gt;"",DSDV!B150,"")</f>
        <v/>
      </c>
      <c r="B145" t="str">
        <f>IF(DSDV!G150&lt;&gt;"",DSDV!G150,"")</f>
        <v/>
      </c>
      <c r="C145" s="237" t="str">
        <f>IF(DSDV!K150&lt;&gt;"",DSDV!K150,"")</f>
        <v/>
      </c>
      <c r="D145" s="417" t="str">
        <f>IF(DSDV!W150&lt;&gt;"",DSDV!W150,"")</f>
        <v/>
      </c>
    </row>
    <row r="146" spans="1:4">
      <c r="A146" t="str">
        <f>IF(DSDV!B151&lt;&gt;"",DSDV!B151,"")</f>
        <v/>
      </c>
      <c r="B146" t="str">
        <f>IF(DSDV!G151&lt;&gt;"",DSDV!G151,"")</f>
        <v/>
      </c>
      <c r="C146" s="237" t="str">
        <f>IF(DSDV!K151&lt;&gt;"",DSDV!K151,"")</f>
        <v/>
      </c>
      <c r="D146" s="417" t="str">
        <f>IF(DSDV!W151&lt;&gt;"",DSDV!W151,"")</f>
        <v/>
      </c>
    </row>
    <row r="147" spans="1:4">
      <c r="A147" t="str">
        <f>IF(DSDV!B152&lt;&gt;"",DSDV!B152,"")</f>
        <v/>
      </c>
      <c r="B147" t="str">
        <f>IF(DSDV!G152&lt;&gt;"",DSDV!G152,"")</f>
        <v/>
      </c>
      <c r="C147" s="237" t="str">
        <f>IF(DSDV!K152&lt;&gt;"",DSDV!K152,"")</f>
        <v/>
      </c>
      <c r="D147" s="417" t="str">
        <f>IF(DSDV!W152&lt;&gt;"",DSDV!W152,"")</f>
        <v/>
      </c>
    </row>
    <row r="148" spans="1:4">
      <c r="A148" t="str">
        <f>IF(DSDV!B153&lt;&gt;"",DSDV!B153,"")</f>
        <v/>
      </c>
      <c r="B148" t="str">
        <f>IF(DSDV!G153&lt;&gt;"",DSDV!G153,"")</f>
        <v/>
      </c>
      <c r="C148" s="237" t="str">
        <f>IF(DSDV!K153&lt;&gt;"",DSDV!K153,"")</f>
        <v/>
      </c>
      <c r="D148" s="417" t="str">
        <f>IF(DSDV!W153&lt;&gt;"",DSDV!W153,"")</f>
        <v/>
      </c>
    </row>
    <row r="149" spans="1:4">
      <c r="A149" t="str">
        <f>IF(DSDV!B154&lt;&gt;"",DSDV!B154,"")</f>
        <v/>
      </c>
      <c r="B149" t="str">
        <f>IF(DSDV!G154&lt;&gt;"",DSDV!G154,"")</f>
        <v/>
      </c>
      <c r="C149" s="237" t="str">
        <f>IF(DSDV!K154&lt;&gt;"",DSDV!K154,"")</f>
        <v/>
      </c>
      <c r="D149" s="417" t="str">
        <f>IF(DSDV!W154&lt;&gt;"",DSDV!W154,"")</f>
        <v/>
      </c>
    </row>
    <row r="150" spans="1:4">
      <c r="A150" t="str">
        <f>IF(DSDV!B155&lt;&gt;"",DSDV!B155,"")</f>
        <v/>
      </c>
      <c r="B150" t="str">
        <f>IF(DSDV!G155&lt;&gt;"",DSDV!G155,"")</f>
        <v/>
      </c>
      <c r="C150" s="237" t="str">
        <f>IF(DSDV!K155&lt;&gt;"",DSDV!K155,"")</f>
        <v/>
      </c>
      <c r="D150" s="417" t="str">
        <f>IF(DSDV!W155&lt;&gt;"",DSDV!W155,"")</f>
        <v/>
      </c>
    </row>
    <row r="151" spans="1:4">
      <c r="A151" t="str">
        <f>IF(DSDV!B156&lt;&gt;"",DSDV!B156,"")</f>
        <v/>
      </c>
      <c r="B151" t="str">
        <f>IF(DSDV!G156&lt;&gt;"",DSDV!G156,"")</f>
        <v/>
      </c>
      <c r="C151" s="237" t="str">
        <f>IF(DSDV!K156&lt;&gt;"",DSDV!K156,"")</f>
        <v/>
      </c>
      <c r="D151" s="417" t="str">
        <f>IF(DSDV!W156&lt;&gt;"",DSDV!W156,"")</f>
        <v/>
      </c>
    </row>
    <row r="152" spans="1:4">
      <c r="A152" t="str">
        <f>IF(DSDV!B157&lt;&gt;"",DSDV!B157,"")</f>
        <v/>
      </c>
      <c r="B152" t="str">
        <f>IF(DSDV!G157&lt;&gt;"",DSDV!G157,"")</f>
        <v/>
      </c>
      <c r="C152" s="237" t="str">
        <f>IF(DSDV!K157&lt;&gt;"",DSDV!K157,"")</f>
        <v/>
      </c>
      <c r="D152" s="417" t="str">
        <f>IF(DSDV!W157&lt;&gt;"",DSDV!W157,"")</f>
        <v/>
      </c>
    </row>
    <row r="153" spans="1:4">
      <c r="A153" t="str">
        <f>IF(DSDV!B158&lt;&gt;"",DSDV!B158,"")</f>
        <v/>
      </c>
      <c r="B153" t="str">
        <f>IF(DSDV!G158&lt;&gt;"",DSDV!G158,"")</f>
        <v/>
      </c>
      <c r="C153" s="237" t="str">
        <f>IF(DSDV!K158&lt;&gt;"",DSDV!K158,"")</f>
        <v/>
      </c>
      <c r="D153" s="417" t="str">
        <f>IF(DSDV!W158&lt;&gt;"",DSDV!W158,"")</f>
        <v/>
      </c>
    </row>
    <row r="154" spans="1:4">
      <c r="A154" t="str">
        <f>IF(DSDV!B159&lt;&gt;"",DSDV!B159,"")</f>
        <v/>
      </c>
      <c r="B154" t="str">
        <f>IF(DSDV!G159&lt;&gt;"",DSDV!G159,"")</f>
        <v/>
      </c>
      <c r="C154" s="237" t="str">
        <f>IF(DSDV!K159&lt;&gt;"",DSDV!K159,"")</f>
        <v/>
      </c>
      <c r="D154" s="417" t="str">
        <f>IF(DSDV!W159&lt;&gt;"",DSDV!W159,"")</f>
        <v/>
      </c>
    </row>
    <row r="155" spans="1:4">
      <c r="A155" t="str">
        <f>IF(DSDV!B160&lt;&gt;"",DSDV!B160,"")</f>
        <v/>
      </c>
      <c r="B155" t="str">
        <f>IF(DSDV!G160&lt;&gt;"",DSDV!G160,"")</f>
        <v/>
      </c>
      <c r="C155" s="237" t="str">
        <f>IF(DSDV!K160&lt;&gt;"",DSDV!K160,"")</f>
        <v/>
      </c>
      <c r="D155" s="417" t="str">
        <f>IF(DSDV!W160&lt;&gt;"",DSDV!W160,"")</f>
        <v/>
      </c>
    </row>
    <row r="156" spans="1:4">
      <c r="A156" t="str">
        <f>IF(DSDV!B161&lt;&gt;"",DSDV!B161,"")</f>
        <v/>
      </c>
      <c r="B156" t="str">
        <f>IF(DSDV!G161&lt;&gt;"",DSDV!G161,"")</f>
        <v/>
      </c>
      <c r="C156" s="237" t="str">
        <f>IF(DSDV!K161&lt;&gt;"",DSDV!K161,"")</f>
        <v/>
      </c>
      <c r="D156" s="417" t="str">
        <f>IF(DSDV!W161&lt;&gt;"",DSDV!W161,"")</f>
        <v/>
      </c>
    </row>
    <row r="157" spans="1:4">
      <c r="A157" t="str">
        <f>IF(DSDV!B162&lt;&gt;"",DSDV!B162,"")</f>
        <v/>
      </c>
      <c r="B157" t="str">
        <f>IF(DSDV!G162&lt;&gt;"",DSDV!G162,"")</f>
        <v/>
      </c>
      <c r="C157" s="237" t="str">
        <f>IF(DSDV!K162&lt;&gt;"",DSDV!K162,"")</f>
        <v/>
      </c>
      <c r="D157" s="417" t="str">
        <f>IF(DSDV!W162&lt;&gt;"",DSDV!W162,"")</f>
        <v/>
      </c>
    </row>
    <row r="158" spans="1:4">
      <c r="A158" t="str">
        <f>IF(DSDV!B163&lt;&gt;"",DSDV!B163,"")</f>
        <v/>
      </c>
      <c r="B158" t="str">
        <f>IF(DSDV!G163&lt;&gt;"",DSDV!G163,"")</f>
        <v/>
      </c>
      <c r="C158" s="237" t="str">
        <f>IF(DSDV!K163&lt;&gt;"",DSDV!K163,"")</f>
        <v/>
      </c>
      <c r="D158" s="417" t="str">
        <f>IF(DSDV!W163&lt;&gt;"",DSDV!W163,"")</f>
        <v/>
      </c>
    </row>
    <row r="159" spans="1:4">
      <c r="A159" t="str">
        <f>IF(DSDV!B164&lt;&gt;"",DSDV!B164,"")</f>
        <v/>
      </c>
      <c r="B159" t="str">
        <f>IF(DSDV!G164&lt;&gt;"",DSDV!G164,"")</f>
        <v/>
      </c>
      <c r="C159" s="237" t="str">
        <f>IF(DSDV!K164&lt;&gt;"",DSDV!K164,"")</f>
        <v/>
      </c>
      <c r="D159" s="417" t="str">
        <f>IF(DSDV!W164&lt;&gt;"",DSDV!W164,"")</f>
        <v/>
      </c>
    </row>
    <row r="160" spans="1:4">
      <c r="A160" t="str">
        <f>IF(DSDV!B165&lt;&gt;"",DSDV!B165,"")</f>
        <v/>
      </c>
      <c r="B160" t="str">
        <f>IF(DSDV!G165&lt;&gt;"",DSDV!G165,"")</f>
        <v/>
      </c>
      <c r="C160" s="237" t="str">
        <f>IF(DSDV!K165&lt;&gt;"",DSDV!K165,"")</f>
        <v/>
      </c>
      <c r="D160" s="417" t="str">
        <f>IF(DSDV!W165&lt;&gt;"",DSDV!W165,"")</f>
        <v/>
      </c>
    </row>
    <row r="161" spans="1:4">
      <c r="A161" t="str">
        <f>IF(DSDV!B166&lt;&gt;"",DSDV!B166,"")</f>
        <v/>
      </c>
      <c r="B161" t="str">
        <f>IF(DSDV!G166&lt;&gt;"",DSDV!G166,"")</f>
        <v/>
      </c>
      <c r="C161" s="237" t="str">
        <f>IF(DSDV!K166&lt;&gt;"",DSDV!K166,"")</f>
        <v/>
      </c>
      <c r="D161" s="417" t="str">
        <f>IF(DSDV!W166&lt;&gt;"",DSDV!W166,"")</f>
        <v/>
      </c>
    </row>
    <row r="162" spans="1:4">
      <c r="A162" t="str">
        <f>IF(DSDV!B167&lt;&gt;"",DSDV!B167,"")</f>
        <v/>
      </c>
      <c r="B162" t="str">
        <f>IF(DSDV!G167&lt;&gt;"",DSDV!G167,"")</f>
        <v/>
      </c>
      <c r="C162" s="237" t="str">
        <f>IF(DSDV!K167&lt;&gt;"",DSDV!K167,"")</f>
        <v/>
      </c>
      <c r="D162" s="417" t="str">
        <f>IF(DSDV!W167&lt;&gt;"",DSDV!W167,"")</f>
        <v/>
      </c>
    </row>
    <row r="163" spans="1:4">
      <c r="A163" t="str">
        <f>IF(DSDV!B168&lt;&gt;"",DSDV!B168,"")</f>
        <v/>
      </c>
      <c r="B163" t="str">
        <f>IF(DSDV!G168&lt;&gt;"",DSDV!G168,"")</f>
        <v/>
      </c>
      <c r="C163" s="237" t="str">
        <f>IF(DSDV!K168&lt;&gt;"",DSDV!K168,"")</f>
        <v/>
      </c>
      <c r="D163" s="417" t="str">
        <f>IF(DSDV!W168&lt;&gt;"",DSDV!W168,"")</f>
        <v/>
      </c>
    </row>
    <row r="164" spans="1:4">
      <c r="A164" t="str">
        <f>IF(DSDV!B169&lt;&gt;"",DSDV!B169,"")</f>
        <v/>
      </c>
      <c r="B164" t="str">
        <f>IF(DSDV!G169&lt;&gt;"",DSDV!G169,"")</f>
        <v/>
      </c>
      <c r="C164" s="237" t="str">
        <f>IF(DSDV!K169&lt;&gt;"",DSDV!K169,"")</f>
        <v/>
      </c>
      <c r="D164" s="417" t="str">
        <f>IF(DSDV!W169&lt;&gt;"",DSDV!W169,"")</f>
        <v/>
      </c>
    </row>
    <row r="165" spans="1:4">
      <c r="A165" t="str">
        <f>IF(DSDV!B170&lt;&gt;"",DSDV!B170,"")</f>
        <v/>
      </c>
      <c r="B165" t="str">
        <f>IF(DSDV!G170&lt;&gt;"",DSDV!G170,"")</f>
        <v/>
      </c>
      <c r="C165" s="237" t="str">
        <f>IF(DSDV!K170&lt;&gt;"",DSDV!K170,"")</f>
        <v/>
      </c>
      <c r="D165" s="417" t="str">
        <f>IF(DSDV!W170&lt;&gt;"",DSDV!W170,"")</f>
        <v/>
      </c>
    </row>
    <row r="166" spans="1:4">
      <c r="A166" t="str">
        <f>IF(DSDV!B171&lt;&gt;"",DSDV!B171,"")</f>
        <v/>
      </c>
      <c r="B166" t="str">
        <f>IF(DSDV!G171&lt;&gt;"",DSDV!G171,"")</f>
        <v/>
      </c>
      <c r="C166" s="237" t="str">
        <f>IF(DSDV!K171&lt;&gt;"",DSDV!K171,"")</f>
        <v/>
      </c>
      <c r="D166" s="417" t="str">
        <f>IF(DSDV!W171&lt;&gt;"",DSDV!W171,"")</f>
        <v/>
      </c>
    </row>
    <row r="167" spans="1:4">
      <c r="A167" t="str">
        <f>IF(DSDV!B172&lt;&gt;"",DSDV!B172,"")</f>
        <v/>
      </c>
      <c r="B167" t="str">
        <f>IF(DSDV!G172&lt;&gt;"",DSDV!G172,"")</f>
        <v/>
      </c>
      <c r="C167" s="237" t="str">
        <f>IF(DSDV!K172&lt;&gt;"",DSDV!K172,"")</f>
        <v/>
      </c>
      <c r="D167" s="417" t="str">
        <f>IF(DSDV!W172&lt;&gt;"",DSDV!W172,"")</f>
        <v/>
      </c>
    </row>
    <row r="168" spans="1:4">
      <c r="A168" t="str">
        <f>IF(DSDV!B173&lt;&gt;"",DSDV!B173,"")</f>
        <v/>
      </c>
      <c r="B168" t="str">
        <f>IF(DSDV!G173&lt;&gt;"",DSDV!G173,"")</f>
        <v/>
      </c>
      <c r="C168" s="237" t="str">
        <f>IF(DSDV!K173&lt;&gt;"",DSDV!K173,"")</f>
        <v/>
      </c>
      <c r="D168" s="417" t="str">
        <f>IF(DSDV!W173&lt;&gt;"",DSDV!W173,"")</f>
        <v/>
      </c>
    </row>
    <row r="169" spans="1:4">
      <c r="A169" t="str">
        <f>IF(DSDV!B174&lt;&gt;"",DSDV!B174,"")</f>
        <v/>
      </c>
      <c r="B169" t="str">
        <f>IF(DSDV!G174&lt;&gt;"",DSDV!G174,"")</f>
        <v/>
      </c>
      <c r="C169" s="237" t="str">
        <f>IF(DSDV!K174&lt;&gt;"",DSDV!K174,"")</f>
        <v/>
      </c>
      <c r="D169" s="417" t="str">
        <f>IF(DSDV!W174&lt;&gt;"",DSDV!W174,"")</f>
        <v/>
      </c>
    </row>
    <row r="170" spans="1:4">
      <c r="A170" t="str">
        <f>IF(DSDV!B175&lt;&gt;"",DSDV!B175,"")</f>
        <v/>
      </c>
      <c r="B170" t="str">
        <f>IF(DSDV!G175&lt;&gt;"",DSDV!G175,"")</f>
        <v/>
      </c>
      <c r="C170" s="237" t="str">
        <f>IF(DSDV!K175&lt;&gt;"",DSDV!K175,"")</f>
        <v/>
      </c>
      <c r="D170" s="417" t="str">
        <f>IF(DSDV!W175&lt;&gt;"",DSDV!W175,"")</f>
        <v/>
      </c>
    </row>
    <row r="171" spans="1:4">
      <c r="A171" t="str">
        <f>IF(DSDV!B176&lt;&gt;"",DSDV!B176,"")</f>
        <v/>
      </c>
      <c r="B171" t="str">
        <f>IF(DSDV!G176&lt;&gt;"",DSDV!G176,"")</f>
        <v/>
      </c>
      <c r="C171" s="237" t="str">
        <f>IF(DSDV!K176&lt;&gt;"",DSDV!K176,"")</f>
        <v/>
      </c>
      <c r="D171" s="417" t="str">
        <f>IF(DSDV!W176&lt;&gt;"",DSDV!W176,"")</f>
        <v/>
      </c>
    </row>
    <row r="172" spans="1:4">
      <c r="A172" t="str">
        <f>IF(DSDV!B177&lt;&gt;"",DSDV!B177,"")</f>
        <v/>
      </c>
      <c r="B172" t="str">
        <f>IF(DSDV!G177&lt;&gt;"",DSDV!G177,"")</f>
        <v/>
      </c>
      <c r="C172" s="237" t="str">
        <f>IF(DSDV!K177&lt;&gt;"",DSDV!K177,"")</f>
        <v/>
      </c>
      <c r="D172" s="417" t="str">
        <f>IF(DSDV!W177&lt;&gt;"",DSDV!W177,"")</f>
        <v/>
      </c>
    </row>
    <row r="173" spans="1:4">
      <c r="A173" t="str">
        <f>IF(DSDV!B178&lt;&gt;"",DSDV!B178,"")</f>
        <v/>
      </c>
      <c r="B173" t="str">
        <f>IF(DSDV!G178&lt;&gt;"",DSDV!G178,"")</f>
        <v/>
      </c>
      <c r="C173" s="237" t="str">
        <f>IF(DSDV!K178&lt;&gt;"",DSDV!K178,"")</f>
        <v/>
      </c>
      <c r="D173" s="417" t="str">
        <f>IF(DSDV!W178&lt;&gt;"",DSDV!W178,"")</f>
        <v/>
      </c>
    </row>
    <row r="174" spans="1:4">
      <c r="A174" t="str">
        <f>IF(DSDV!B179&lt;&gt;"",DSDV!B179,"")</f>
        <v/>
      </c>
      <c r="B174" t="str">
        <f>IF(DSDV!G179&lt;&gt;"",DSDV!G179,"")</f>
        <v/>
      </c>
      <c r="C174" s="237" t="str">
        <f>IF(DSDV!K179&lt;&gt;"",DSDV!K179,"")</f>
        <v/>
      </c>
      <c r="D174" s="417" t="str">
        <f>IF(DSDV!W179&lt;&gt;"",DSDV!W179,"")</f>
        <v/>
      </c>
    </row>
    <row r="175" spans="1:4">
      <c r="A175" t="str">
        <f>IF(DSDV!B180&lt;&gt;"",DSDV!B180,"")</f>
        <v/>
      </c>
      <c r="B175" t="str">
        <f>IF(DSDV!G180&lt;&gt;"",DSDV!G180,"")</f>
        <v/>
      </c>
      <c r="C175" s="237" t="str">
        <f>IF(DSDV!K180&lt;&gt;"",DSDV!K180,"")</f>
        <v/>
      </c>
      <c r="D175" s="417" t="str">
        <f>IF(DSDV!W180&lt;&gt;"",DSDV!W180,"")</f>
        <v/>
      </c>
    </row>
    <row r="176" spans="1:4">
      <c r="A176" t="str">
        <f>IF(DSDV!B181&lt;&gt;"",DSDV!B181,"")</f>
        <v/>
      </c>
      <c r="B176" t="str">
        <f>IF(DSDV!G181&lt;&gt;"",DSDV!G181,"")</f>
        <v/>
      </c>
      <c r="C176" s="237" t="str">
        <f>IF(DSDV!K181&lt;&gt;"",DSDV!K181,"")</f>
        <v/>
      </c>
      <c r="D176" s="417" t="str">
        <f>IF(DSDV!W181&lt;&gt;"",DSDV!W181,"")</f>
        <v/>
      </c>
    </row>
    <row r="177" spans="1:4">
      <c r="A177" t="str">
        <f>IF(DSDV!B182&lt;&gt;"",DSDV!B182,"")</f>
        <v/>
      </c>
      <c r="B177" t="str">
        <f>IF(DSDV!G182&lt;&gt;"",DSDV!G182,"")</f>
        <v/>
      </c>
      <c r="C177" s="237" t="str">
        <f>IF(DSDV!K182&lt;&gt;"",DSDV!K182,"")</f>
        <v/>
      </c>
      <c r="D177" s="417" t="str">
        <f>IF(DSDV!W182&lt;&gt;"",DSDV!W182,"")</f>
        <v/>
      </c>
    </row>
    <row r="178" spans="1:4">
      <c r="A178" t="str">
        <f>IF(DSDV!B183&lt;&gt;"",DSDV!B183,"")</f>
        <v/>
      </c>
      <c r="B178" t="str">
        <f>IF(DSDV!G183&lt;&gt;"",DSDV!G183,"")</f>
        <v/>
      </c>
      <c r="C178" s="237" t="str">
        <f>IF(DSDV!K183&lt;&gt;"",DSDV!K183,"")</f>
        <v/>
      </c>
      <c r="D178" s="417" t="str">
        <f>IF(DSDV!W183&lt;&gt;"",DSDV!W183,"")</f>
        <v/>
      </c>
    </row>
    <row r="179" spans="1:4">
      <c r="A179" t="str">
        <f>IF(DSDV!B184&lt;&gt;"",DSDV!B184,"")</f>
        <v/>
      </c>
      <c r="B179" t="str">
        <f>IF(DSDV!G184&lt;&gt;"",DSDV!G184,"")</f>
        <v/>
      </c>
      <c r="C179" s="237" t="str">
        <f>IF(DSDV!K184&lt;&gt;"",DSDV!K184,"")</f>
        <v/>
      </c>
      <c r="D179" s="417" t="str">
        <f>IF(DSDV!W184&lt;&gt;"",DSDV!W184,"")</f>
        <v/>
      </c>
    </row>
    <row r="180" spans="1:4">
      <c r="A180" t="str">
        <f>IF(DSDV!B185&lt;&gt;"",DSDV!B185,"")</f>
        <v/>
      </c>
      <c r="B180" t="str">
        <f>IF(DSDV!G185&lt;&gt;"",DSDV!G185,"")</f>
        <v/>
      </c>
      <c r="C180" s="237" t="str">
        <f>IF(DSDV!K185&lt;&gt;"",DSDV!K185,"")</f>
        <v/>
      </c>
      <c r="D180" s="417" t="str">
        <f>IF(DSDV!W185&lt;&gt;"",DSDV!W185,"")</f>
        <v/>
      </c>
    </row>
    <row r="181" spans="1:4">
      <c r="A181" t="str">
        <f>IF(DSDV!B186&lt;&gt;"",DSDV!B186,"")</f>
        <v/>
      </c>
      <c r="B181" t="str">
        <f>IF(DSDV!G186&lt;&gt;"",DSDV!G186,"")</f>
        <v/>
      </c>
      <c r="C181" s="237" t="str">
        <f>IF(DSDV!K186&lt;&gt;"",DSDV!K186,"")</f>
        <v/>
      </c>
      <c r="D181" s="417" t="str">
        <f>IF(DSDV!W186&lt;&gt;"",DSDV!W186,"")</f>
        <v/>
      </c>
    </row>
    <row r="182" spans="1:4">
      <c r="A182" t="str">
        <f>IF(DSDV!B187&lt;&gt;"",DSDV!B187,"")</f>
        <v/>
      </c>
      <c r="B182" t="str">
        <f>IF(DSDV!G187&lt;&gt;"",DSDV!G187,"")</f>
        <v/>
      </c>
      <c r="C182" s="237" t="str">
        <f>IF(DSDV!K187&lt;&gt;"",DSDV!K187,"")</f>
        <v/>
      </c>
      <c r="D182" s="417" t="str">
        <f>IF(DSDV!W187&lt;&gt;"",DSDV!W187,"")</f>
        <v/>
      </c>
    </row>
    <row r="183" spans="1:4">
      <c r="A183" t="str">
        <f>IF(DSDV!B188&lt;&gt;"",DSDV!B188,"")</f>
        <v/>
      </c>
      <c r="B183" t="str">
        <f>IF(DSDV!G188&lt;&gt;"",DSDV!G188,"")</f>
        <v/>
      </c>
      <c r="C183" s="237" t="str">
        <f>IF(DSDV!K188&lt;&gt;"",DSDV!K188,"")</f>
        <v/>
      </c>
      <c r="D183" s="417" t="str">
        <f>IF(DSDV!W188&lt;&gt;"",DSDV!W188,"")</f>
        <v/>
      </c>
    </row>
    <row r="184" spans="1:4">
      <c r="A184" t="str">
        <f>IF(DSDV!B189&lt;&gt;"",DSDV!B189,"")</f>
        <v/>
      </c>
      <c r="B184" t="str">
        <f>IF(DSDV!G189&lt;&gt;"",DSDV!G189,"")</f>
        <v/>
      </c>
      <c r="C184" s="237" t="str">
        <f>IF(DSDV!K189&lt;&gt;"",DSDV!K189,"")</f>
        <v/>
      </c>
      <c r="D184" s="417" t="str">
        <f>IF(DSDV!W189&lt;&gt;"",DSDV!W189,"")</f>
        <v/>
      </c>
    </row>
    <row r="185" spans="1:4">
      <c r="A185" t="str">
        <f>IF(DSDV!B190&lt;&gt;"",DSDV!B190,"")</f>
        <v/>
      </c>
      <c r="B185" t="str">
        <f>IF(DSDV!G190&lt;&gt;"",DSDV!G190,"")</f>
        <v/>
      </c>
      <c r="C185" s="237" t="str">
        <f>IF(DSDV!K190&lt;&gt;"",DSDV!K190,"")</f>
        <v/>
      </c>
      <c r="D185" s="417" t="str">
        <f>IF(DSDV!W190&lt;&gt;"",DSDV!W190,"")</f>
        <v/>
      </c>
    </row>
    <row r="186" spans="1:4">
      <c r="A186" t="str">
        <f>IF(DSDV!B191&lt;&gt;"",DSDV!B191,"")</f>
        <v/>
      </c>
      <c r="B186" t="str">
        <f>IF(DSDV!G191&lt;&gt;"",DSDV!G191,"")</f>
        <v/>
      </c>
      <c r="C186" s="237" t="str">
        <f>IF(DSDV!K191&lt;&gt;"",DSDV!K191,"")</f>
        <v/>
      </c>
      <c r="D186" s="417" t="str">
        <f>IF(DSDV!W191&lt;&gt;"",DSDV!W191,"")</f>
        <v/>
      </c>
    </row>
    <row r="187" spans="1:4">
      <c r="A187" t="str">
        <f>IF(DSDV!B192&lt;&gt;"",DSDV!B192,"")</f>
        <v/>
      </c>
      <c r="B187" t="str">
        <f>IF(DSDV!G192&lt;&gt;"",DSDV!G192,"")</f>
        <v/>
      </c>
      <c r="C187" s="237" t="str">
        <f>IF(DSDV!K192&lt;&gt;"",DSDV!K192,"")</f>
        <v/>
      </c>
      <c r="D187" s="417" t="str">
        <f>IF(DSDV!W192&lt;&gt;"",DSDV!W192,"")</f>
        <v/>
      </c>
    </row>
    <row r="188" spans="1:4">
      <c r="A188" t="str">
        <f>IF(DSDV!B193&lt;&gt;"",DSDV!B193,"")</f>
        <v/>
      </c>
      <c r="B188" t="str">
        <f>IF(DSDV!G193&lt;&gt;"",DSDV!G193,"")</f>
        <v/>
      </c>
      <c r="C188" s="237" t="str">
        <f>IF(DSDV!K193&lt;&gt;"",DSDV!K193,"")</f>
        <v/>
      </c>
      <c r="D188" s="417" t="str">
        <f>IF(DSDV!W193&lt;&gt;"",DSDV!W193,"")</f>
        <v/>
      </c>
    </row>
    <row r="189" spans="1:4">
      <c r="A189" t="str">
        <f>IF(DSDV!B194&lt;&gt;"",DSDV!B194,"")</f>
        <v/>
      </c>
      <c r="B189" t="str">
        <f>IF(DSDV!G194&lt;&gt;"",DSDV!G194,"")</f>
        <v/>
      </c>
      <c r="C189" s="237" t="str">
        <f>IF(DSDV!K194&lt;&gt;"",DSDV!K194,"")</f>
        <v/>
      </c>
      <c r="D189" s="417" t="str">
        <f>IF(DSDV!W194&lt;&gt;"",DSDV!W194,"")</f>
        <v/>
      </c>
    </row>
    <row r="190" spans="1:4">
      <c r="A190" t="str">
        <f>IF(DSDV!B195&lt;&gt;"",DSDV!B195,"")</f>
        <v/>
      </c>
      <c r="B190" t="str">
        <f>IF(DSDV!G195&lt;&gt;"",DSDV!G195,"")</f>
        <v/>
      </c>
      <c r="C190" s="237" t="str">
        <f>IF(DSDV!K195&lt;&gt;"",DSDV!K195,"")</f>
        <v/>
      </c>
      <c r="D190" s="417" t="str">
        <f>IF(DSDV!W195&lt;&gt;"",DSDV!W195,"")</f>
        <v/>
      </c>
    </row>
    <row r="191" spans="1:4">
      <c r="A191" t="str">
        <f>IF(DSDV!B196&lt;&gt;"",DSDV!B196,"")</f>
        <v/>
      </c>
      <c r="B191" t="str">
        <f>IF(DSDV!G196&lt;&gt;"",DSDV!G196,"")</f>
        <v/>
      </c>
      <c r="C191" s="237" t="str">
        <f>IF(DSDV!K196&lt;&gt;"",DSDV!K196,"")</f>
        <v/>
      </c>
      <c r="D191" s="417" t="str">
        <f>IF(DSDV!W196&lt;&gt;"",DSDV!W196,"")</f>
        <v/>
      </c>
    </row>
    <row r="192" spans="1:4">
      <c r="A192" t="str">
        <f>IF(DSDV!B197&lt;&gt;"",DSDV!B197,"")</f>
        <v/>
      </c>
      <c r="B192" t="str">
        <f>IF(DSDV!G197&lt;&gt;"",DSDV!G197,"")</f>
        <v/>
      </c>
      <c r="C192" s="237" t="str">
        <f>IF(DSDV!K197&lt;&gt;"",DSDV!K197,"")</f>
        <v/>
      </c>
      <c r="D192" s="417" t="str">
        <f>IF(DSDV!W197&lt;&gt;"",DSDV!W197,"")</f>
        <v/>
      </c>
    </row>
    <row r="193" spans="1:4">
      <c r="A193" t="str">
        <f>IF(DSDV!B198&lt;&gt;"",DSDV!B198,"")</f>
        <v/>
      </c>
      <c r="B193" t="str">
        <f>IF(DSDV!G198&lt;&gt;"",DSDV!G198,"")</f>
        <v/>
      </c>
      <c r="C193" s="237" t="str">
        <f>IF(DSDV!K198&lt;&gt;"",DSDV!K198,"")</f>
        <v/>
      </c>
      <c r="D193" s="417" t="str">
        <f>IF(DSDV!W198&lt;&gt;"",DSDV!W198,"")</f>
        <v/>
      </c>
    </row>
    <row r="194" spans="1:4">
      <c r="A194" t="str">
        <f>IF(DSDV!B199&lt;&gt;"",DSDV!B199,"")</f>
        <v/>
      </c>
      <c r="B194" t="str">
        <f>IF(DSDV!G199&lt;&gt;"",DSDV!G199,"")</f>
        <v/>
      </c>
      <c r="C194" s="237" t="str">
        <f>IF(DSDV!K199&lt;&gt;"",DSDV!K199,"")</f>
        <v/>
      </c>
      <c r="D194" s="417" t="str">
        <f>IF(DSDV!W199&lt;&gt;"",DSDV!W199,"")</f>
        <v/>
      </c>
    </row>
    <row r="195" spans="1:4">
      <c r="A195" t="str">
        <f>IF(DSDV!B200&lt;&gt;"",DSDV!B200,"")</f>
        <v/>
      </c>
      <c r="B195" t="str">
        <f>IF(DSDV!G200&lt;&gt;"",DSDV!G200,"")</f>
        <v/>
      </c>
      <c r="C195" s="237" t="str">
        <f>IF(DSDV!K200&lt;&gt;"",DSDV!K200,"")</f>
        <v/>
      </c>
      <c r="D195" s="417" t="str">
        <f>IF(DSDV!W200&lt;&gt;"",DSDV!W200,"")</f>
        <v/>
      </c>
    </row>
    <row r="196" spans="1:4">
      <c r="A196" t="str">
        <f>IF(DSDV!B201&lt;&gt;"",DSDV!B201,"")</f>
        <v/>
      </c>
      <c r="B196" t="str">
        <f>IF(DSDV!G201&lt;&gt;"",DSDV!G201,"")</f>
        <v/>
      </c>
      <c r="C196" s="237" t="str">
        <f>IF(DSDV!K201&lt;&gt;"",DSDV!K201,"")</f>
        <v/>
      </c>
      <c r="D196" s="417" t="str">
        <f>IF(DSDV!W201&lt;&gt;"",DSDV!W201,"")</f>
        <v/>
      </c>
    </row>
    <row r="197" spans="1:4">
      <c r="A197" t="str">
        <f>IF(DSDV!B202&lt;&gt;"",DSDV!B202,"")</f>
        <v/>
      </c>
      <c r="B197" t="str">
        <f>IF(DSDV!G202&lt;&gt;"",DSDV!G202,"")</f>
        <v/>
      </c>
      <c r="C197" s="237" t="str">
        <f>IF(DSDV!K202&lt;&gt;"",DSDV!K202,"")</f>
        <v/>
      </c>
      <c r="D197" s="417" t="str">
        <f>IF(DSDV!W202&lt;&gt;"",DSDV!W202,"")</f>
        <v/>
      </c>
    </row>
    <row r="198" spans="1:4">
      <c r="A198" t="str">
        <f>IF(DSDV!B203&lt;&gt;"",DSDV!B203,"")</f>
        <v/>
      </c>
      <c r="B198" t="str">
        <f>IF(DSDV!G203&lt;&gt;"",DSDV!G203,"")</f>
        <v/>
      </c>
      <c r="C198" s="237" t="str">
        <f>IF(DSDV!K203&lt;&gt;"",DSDV!K203,"")</f>
        <v/>
      </c>
      <c r="D198" s="417" t="str">
        <f>IF(DSDV!W203&lt;&gt;"",DSDV!W203,"")</f>
        <v/>
      </c>
    </row>
    <row r="199" spans="1:4">
      <c r="A199" t="str">
        <f>IF(DSDV!B204&lt;&gt;"",DSDV!B204,"")</f>
        <v/>
      </c>
      <c r="B199" t="str">
        <f>IF(DSDV!G204&lt;&gt;"",DSDV!G204,"")</f>
        <v/>
      </c>
      <c r="C199" s="237" t="str">
        <f>IF(DSDV!K204&lt;&gt;"",DSDV!K204,"")</f>
        <v/>
      </c>
      <c r="D199" s="417" t="str">
        <f>IF(DSDV!W204&lt;&gt;"",DSDV!W204,"")</f>
        <v/>
      </c>
    </row>
    <row r="200" spans="1:4">
      <c r="A200" t="str">
        <f>IF(DSDV!B205&lt;&gt;"",DSDV!B205,"")</f>
        <v/>
      </c>
      <c r="B200" t="str">
        <f>IF(DSDV!G205&lt;&gt;"",DSDV!G205,"")</f>
        <v/>
      </c>
      <c r="C200" s="237" t="str">
        <f>IF(DSDV!K205&lt;&gt;"",DSDV!K205,"")</f>
        <v/>
      </c>
      <c r="D200" s="417" t="str">
        <f>IF(DSDV!W205&lt;&gt;"",DSDV!W205,"")</f>
        <v/>
      </c>
    </row>
    <row r="201" spans="1:4">
      <c r="A201" t="str">
        <f>IF(DSDV!B206&lt;&gt;"",DSDV!B206,"")</f>
        <v/>
      </c>
      <c r="B201" t="str">
        <f>IF(DSDV!G206&lt;&gt;"",DSDV!G206,"")</f>
        <v/>
      </c>
      <c r="C201" s="237" t="str">
        <f>IF(DSDV!K206&lt;&gt;"",DSDV!K206,"")</f>
        <v/>
      </c>
      <c r="D201" s="417" t="str">
        <f>IF(DSDV!W206&lt;&gt;"",DSDV!W206,"")</f>
        <v/>
      </c>
    </row>
    <row r="202" spans="1:4">
      <c r="A202" t="str">
        <f>IF(DSDV!B207&lt;&gt;"",DSDV!B207,"")</f>
        <v/>
      </c>
      <c r="B202" t="str">
        <f>IF(DSDV!G207&lt;&gt;"",DSDV!G207,"")</f>
        <v/>
      </c>
      <c r="C202" s="237" t="str">
        <f>IF(DSDV!K207&lt;&gt;"",DSDV!K207,"")</f>
        <v/>
      </c>
      <c r="D202" s="417" t="str">
        <f>IF(DSDV!W207&lt;&gt;"",DSDV!W207,"")</f>
        <v/>
      </c>
    </row>
    <row r="203" spans="1:4">
      <c r="A203" t="str">
        <f>IF(DSDV!B208&lt;&gt;"",DSDV!B208,"")</f>
        <v/>
      </c>
      <c r="B203" t="str">
        <f>IF(DSDV!G208&lt;&gt;"",DSDV!G208,"")</f>
        <v/>
      </c>
      <c r="C203" s="237" t="str">
        <f>IF(DSDV!K208&lt;&gt;"",DSDV!K208,"")</f>
        <v/>
      </c>
      <c r="D203" s="417" t="str">
        <f>IF(DSDV!W208&lt;&gt;"",DSDV!W208,"")</f>
        <v/>
      </c>
    </row>
    <row r="204" spans="1:4">
      <c r="A204" t="str">
        <f>IF(DSDV!B209&lt;&gt;"",DSDV!B209,"")</f>
        <v/>
      </c>
      <c r="B204" t="str">
        <f>IF(DSDV!G209&lt;&gt;"",DSDV!G209,"")</f>
        <v/>
      </c>
      <c r="C204" s="237" t="str">
        <f>IF(DSDV!K209&lt;&gt;"",DSDV!K209,"")</f>
        <v/>
      </c>
      <c r="D204" s="417" t="str">
        <f>IF(DSDV!W209&lt;&gt;"",DSDV!W209,"")</f>
        <v/>
      </c>
    </row>
    <row r="205" spans="1:4">
      <c r="A205" t="str">
        <f>IF(DSDV!B210&lt;&gt;"",DSDV!B210,"")</f>
        <v/>
      </c>
      <c r="B205" t="str">
        <f>IF(DSDV!G210&lt;&gt;"",DSDV!G210,"")</f>
        <v/>
      </c>
      <c r="C205" s="237" t="str">
        <f>IF(DSDV!K210&lt;&gt;"",DSDV!K210,"")</f>
        <v/>
      </c>
      <c r="D205" s="417" t="str">
        <f>IF(DSDV!W210&lt;&gt;"",DSDV!W210,"")</f>
        <v/>
      </c>
    </row>
    <row r="206" spans="1:4">
      <c r="A206" t="str">
        <f>IF(DSDV!B211&lt;&gt;"",DSDV!B211,"")</f>
        <v/>
      </c>
      <c r="B206" t="str">
        <f>IF(DSDV!G211&lt;&gt;"",DSDV!G211,"")</f>
        <v/>
      </c>
      <c r="C206" s="237" t="str">
        <f>IF(DSDV!K211&lt;&gt;"",DSDV!K211,"")</f>
        <v/>
      </c>
      <c r="D206" s="417" t="str">
        <f>IF(DSDV!W211&lt;&gt;"",DSDV!W211,"")</f>
        <v/>
      </c>
    </row>
    <row r="207" spans="1:4">
      <c r="A207" t="str">
        <f>IF(DSDV!B212&lt;&gt;"",DSDV!B212,"")</f>
        <v/>
      </c>
      <c r="B207" t="str">
        <f>IF(DSDV!G212&lt;&gt;"",DSDV!G212,"")</f>
        <v/>
      </c>
      <c r="C207" s="237" t="str">
        <f>IF(DSDV!K212&lt;&gt;"",DSDV!K212,"")</f>
        <v/>
      </c>
      <c r="D207" s="417" t="str">
        <f>IF(DSDV!W212&lt;&gt;"",DSDV!W212,"")</f>
        <v/>
      </c>
    </row>
    <row r="208" spans="1:4">
      <c r="A208" t="str">
        <f>IF(DSDV!B213&lt;&gt;"",DSDV!B213,"")</f>
        <v/>
      </c>
      <c r="B208" t="str">
        <f>IF(DSDV!G213&lt;&gt;"",DSDV!G213,"")</f>
        <v/>
      </c>
      <c r="C208" s="237" t="str">
        <f>IF(DSDV!K213&lt;&gt;"",DSDV!K213,"")</f>
        <v/>
      </c>
      <c r="D208" s="417" t="str">
        <f>IF(DSDV!W213&lt;&gt;"",DSDV!W213,"")</f>
        <v/>
      </c>
    </row>
    <row r="209" spans="1:4">
      <c r="A209" t="str">
        <f>IF(DSDV!B214&lt;&gt;"",DSDV!B214,"")</f>
        <v/>
      </c>
      <c r="B209" t="str">
        <f>IF(DSDV!G214&lt;&gt;"",DSDV!G214,"")</f>
        <v/>
      </c>
      <c r="C209" s="237" t="str">
        <f>IF(DSDV!K214&lt;&gt;"",DSDV!K214,"")</f>
        <v/>
      </c>
      <c r="D209" s="417" t="str">
        <f>IF(DSDV!W214&lt;&gt;"",DSDV!W214,"")</f>
        <v/>
      </c>
    </row>
    <row r="210" spans="1:4">
      <c r="A210" t="str">
        <f>IF(DSDV!B215&lt;&gt;"",DSDV!B215,"")</f>
        <v/>
      </c>
      <c r="B210" t="str">
        <f>IF(DSDV!G215&lt;&gt;"",DSDV!G215,"")</f>
        <v/>
      </c>
      <c r="C210" s="237" t="str">
        <f>IF(DSDV!K215&lt;&gt;"",DSDV!K215,"")</f>
        <v/>
      </c>
      <c r="D210" s="417" t="str">
        <f>IF(DSDV!W215&lt;&gt;"",DSDV!W215,"")</f>
        <v/>
      </c>
    </row>
    <row r="211" spans="1:4">
      <c r="A211" t="str">
        <f>IF(DSDV!B216&lt;&gt;"",DSDV!B216,"")</f>
        <v/>
      </c>
      <c r="B211" t="str">
        <f>IF(DSDV!G216&lt;&gt;"",DSDV!G216,"")</f>
        <v/>
      </c>
      <c r="C211" s="237" t="str">
        <f>IF(DSDV!K216&lt;&gt;"",DSDV!K216,"")</f>
        <v/>
      </c>
      <c r="D211" s="417" t="str">
        <f>IF(DSDV!W216&lt;&gt;"",DSDV!W216,"")</f>
        <v/>
      </c>
    </row>
    <row r="212" spans="1:4">
      <c r="A212" t="str">
        <f>IF(DSDV!B217&lt;&gt;"",DSDV!B217,"")</f>
        <v/>
      </c>
      <c r="B212" t="str">
        <f>IF(DSDV!G217&lt;&gt;"",DSDV!G217,"")</f>
        <v/>
      </c>
      <c r="C212" s="237" t="str">
        <f>IF(DSDV!K217&lt;&gt;"",DSDV!K217,"")</f>
        <v/>
      </c>
      <c r="D212" s="417" t="str">
        <f>IF(DSDV!W217&lt;&gt;"",DSDV!W217,"")</f>
        <v/>
      </c>
    </row>
    <row r="213" spans="1:4">
      <c r="A213" t="str">
        <f>IF(DSDV!B218&lt;&gt;"",DSDV!B218,"")</f>
        <v/>
      </c>
      <c r="B213" t="str">
        <f>IF(DSDV!G218&lt;&gt;"",DSDV!G218,"")</f>
        <v/>
      </c>
      <c r="C213" s="237" t="str">
        <f>IF(DSDV!K218&lt;&gt;"",DSDV!K218,"")</f>
        <v/>
      </c>
      <c r="D213" s="417" t="str">
        <f>IF(DSDV!W218&lt;&gt;"",DSDV!W218,"")</f>
        <v/>
      </c>
    </row>
    <row r="214" spans="1:4">
      <c r="A214" t="str">
        <f>IF(DSDV!B219&lt;&gt;"",DSDV!B219,"")</f>
        <v/>
      </c>
      <c r="B214" t="str">
        <f>IF(DSDV!G219&lt;&gt;"",DSDV!G219,"")</f>
        <v/>
      </c>
      <c r="C214" s="237" t="str">
        <f>IF(DSDV!K219&lt;&gt;"",DSDV!K219,"")</f>
        <v/>
      </c>
      <c r="D214" s="417" t="str">
        <f>IF(DSDV!W219&lt;&gt;"",DSDV!W219,"")</f>
        <v/>
      </c>
    </row>
    <row r="215" spans="1:4">
      <c r="A215" t="str">
        <f>IF(DSDV!B220&lt;&gt;"",DSDV!B220,"")</f>
        <v/>
      </c>
      <c r="B215" t="str">
        <f>IF(DSDV!G220&lt;&gt;"",DSDV!G220,"")</f>
        <v/>
      </c>
      <c r="C215" s="237" t="str">
        <f>IF(DSDV!K220&lt;&gt;"",DSDV!K220,"")</f>
        <v/>
      </c>
      <c r="D215" s="417" t="str">
        <f>IF(DSDV!W220&lt;&gt;"",DSDV!W220,"")</f>
        <v/>
      </c>
    </row>
    <row r="216" spans="1:4">
      <c r="A216" t="str">
        <f>IF(DSDV!B221&lt;&gt;"",DSDV!B221,"")</f>
        <v/>
      </c>
      <c r="B216" t="str">
        <f>IF(DSDV!G221&lt;&gt;"",DSDV!G221,"")</f>
        <v/>
      </c>
      <c r="C216" s="237" t="str">
        <f>IF(DSDV!K221&lt;&gt;"",DSDV!K221,"")</f>
        <v/>
      </c>
      <c r="D216" s="417" t="str">
        <f>IF(DSDV!W221&lt;&gt;"",DSDV!W221,"")</f>
        <v/>
      </c>
    </row>
    <row r="217" spans="1:4">
      <c r="A217" t="str">
        <f>IF(DSDV!B222&lt;&gt;"",DSDV!B222,"")</f>
        <v/>
      </c>
      <c r="B217" t="str">
        <f>IF(DSDV!G222&lt;&gt;"",DSDV!G222,"")</f>
        <v/>
      </c>
      <c r="C217" s="237" t="str">
        <f>IF(DSDV!K222&lt;&gt;"",DSDV!K222,"")</f>
        <v/>
      </c>
      <c r="D217" s="417" t="str">
        <f>IF(DSDV!W222&lt;&gt;"",DSDV!W222,"")</f>
        <v/>
      </c>
    </row>
    <row r="218" spans="1:4">
      <c r="A218" t="str">
        <f>IF(DSDV!B223&lt;&gt;"",DSDV!B223,"")</f>
        <v/>
      </c>
      <c r="B218" t="str">
        <f>IF(DSDV!G223&lt;&gt;"",DSDV!G223,"")</f>
        <v/>
      </c>
      <c r="C218" s="237" t="str">
        <f>IF(DSDV!K223&lt;&gt;"",DSDV!K223,"")</f>
        <v/>
      </c>
      <c r="D218" s="417" t="str">
        <f>IF(DSDV!W223&lt;&gt;"",DSDV!W223,"")</f>
        <v/>
      </c>
    </row>
    <row r="219" spans="1:4">
      <c r="A219" t="str">
        <f>IF(DSDV!B224&lt;&gt;"",DSDV!B224,"")</f>
        <v/>
      </c>
      <c r="B219" t="str">
        <f>IF(DSDV!G224&lt;&gt;"",DSDV!G224,"")</f>
        <v/>
      </c>
      <c r="C219" s="237" t="str">
        <f>IF(DSDV!K224&lt;&gt;"",DSDV!K224,"")</f>
        <v/>
      </c>
      <c r="D219" s="417" t="str">
        <f>IF(DSDV!W224&lt;&gt;"",DSDV!W224,"")</f>
        <v/>
      </c>
    </row>
    <row r="220" spans="1:4">
      <c r="A220" t="str">
        <f>IF(DSDV!B225&lt;&gt;"",DSDV!B225,"")</f>
        <v/>
      </c>
      <c r="B220" t="str">
        <f>IF(DSDV!G225&lt;&gt;"",DSDV!G225,"")</f>
        <v/>
      </c>
      <c r="C220" s="237" t="str">
        <f>IF(DSDV!K225&lt;&gt;"",DSDV!K225,"")</f>
        <v/>
      </c>
      <c r="D220" s="417" t="str">
        <f>IF(DSDV!W225&lt;&gt;"",DSDV!W225,"")</f>
        <v/>
      </c>
    </row>
    <row r="221" spans="1:4">
      <c r="A221" t="str">
        <f>IF(DSDV!B226&lt;&gt;"",DSDV!B226,"")</f>
        <v/>
      </c>
      <c r="B221" t="str">
        <f>IF(DSDV!G226&lt;&gt;"",DSDV!G226,"")</f>
        <v/>
      </c>
      <c r="C221" s="237" t="str">
        <f>IF(DSDV!K226&lt;&gt;"",DSDV!K226,"")</f>
        <v/>
      </c>
      <c r="D221" s="417" t="str">
        <f>IF(DSDV!W226&lt;&gt;"",DSDV!W226,"")</f>
        <v/>
      </c>
    </row>
    <row r="222" spans="1:4">
      <c r="A222" t="str">
        <f>IF(DSDV!B227&lt;&gt;"",DSDV!B227,"")</f>
        <v/>
      </c>
      <c r="B222" t="str">
        <f>IF(DSDV!G227&lt;&gt;"",DSDV!G227,"")</f>
        <v/>
      </c>
      <c r="C222" s="237" t="str">
        <f>IF(DSDV!K227&lt;&gt;"",DSDV!K227,"")</f>
        <v/>
      </c>
      <c r="D222" s="417" t="str">
        <f>IF(DSDV!W227&lt;&gt;"",DSDV!W227,"")</f>
        <v/>
      </c>
    </row>
    <row r="223" spans="1:4">
      <c r="A223" t="str">
        <f>IF(DSDV!B228&lt;&gt;"",DSDV!B228,"")</f>
        <v/>
      </c>
      <c r="B223" t="str">
        <f>IF(DSDV!G228&lt;&gt;"",DSDV!G228,"")</f>
        <v/>
      </c>
      <c r="C223" s="237" t="str">
        <f>IF(DSDV!K228&lt;&gt;"",DSDV!K228,"")</f>
        <v/>
      </c>
      <c r="D223" s="417" t="str">
        <f>IF(DSDV!W228&lt;&gt;"",DSDV!W228,"")</f>
        <v/>
      </c>
    </row>
    <row r="224" spans="1:4">
      <c r="A224" t="str">
        <f>IF(DSDV!B229&lt;&gt;"",DSDV!B229,"")</f>
        <v/>
      </c>
      <c r="B224" t="str">
        <f>IF(DSDV!G229&lt;&gt;"",DSDV!G229,"")</f>
        <v/>
      </c>
      <c r="C224" s="237" t="str">
        <f>IF(DSDV!K229&lt;&gt;"",DSDV!K229,"")</f>
        <v/>
      </c>
      <c r="D224" s="417" t="str">
        <f>IF(DSDV!W229&lt;&gt;"",DSDV!W229,"")</f>
        <v/>
      </c>
    </row>
    <row r="225" spans="1:4">
      <c r="A225" t="str">
        <f>IF(DSDV!B230&lt;&gt;"",DSDV!B230,"")</f>
        <v/>
      </c>
      <c r="B225" t="str">
        <f>IF(DSDV!G230&lt;&gt;"",DSDV!G230,"")</f>
        <v/>
      </c>
      <c r="C225" s="237" t="str">
        <f>IF(DSDV!K230&lt;&gt;"",DSDV!K230,"")</f>
        <v/>
      </c>
      <c r="D225" s="417" t="str">
        <f>IF(DSDV!W230&lt;&gt;"",DSDV!W230,"")</f>
        <v/>
      </c>
    </row>
    <row r="226" spans="1:4">
      <c r="A226" t="str">
        <f>IF(DSDV!B231&lt;&gt;"",DSDV!B231,"")</f>
        <v/>
      </c>
      <c r="B226" t="str">
        <f>IF(DSDV!G231&lt;&gt;"",DSDV!G231,"")</f>
        <v/>
      </c>
      <c r="C226" s="237" t="str">
        <f>IF(DSDV!K231&lt;&gt;"",DSDV!K231,"")</f>
        <v/>
      </c>
      <c r="D226" s="417" t="str">
        <f>IF(DSDV!W231&lt;&gt;"",DSDV!W231,"")</f>
        <v/>
      </c>
    </row>
    <row r="227" spans="1:4">
      <c r="A227" t="str">
        <f>IF(DSDV!B232&lt;&gt;"",DSDV!B232,"")</f>
        <v/>
      </c>
      <c r="B227" t="str">
        <f>IF(DSDV!G232&lt;&gt;"",DSDV!G232,"")</f>
        <v/>
      </c>
      <c r="C227" s="237" t="str">
        <f>IF(DSDV!K232&lt;&gt;"",DSDV!K232,"")</f>
        <v/>
      </c>
      <c r="D227" s="417" t="str">
        <f>IF(DSDV!W232&lt;&gt;"",DSDV!W232,"")</f>
        <v/>
      </c>
    </row>
    <row r="228" spans="1:4">
      <c r="A228" t="str">
        <f>IF(DSDV!B233&lt;&gt;"",DSDV!B233,"")</f>
        <v/>
      </c>
      <c r="B228" t="str">
        <f>IF(DSDV!G233&lt;&gt;"",DSDV!G233,"")</f>
        <v/>
      </c>
      <c r="C228" s="237" t="str">
        <f>IF(DSDV!K233&lt;&gt;"",DSDV!K233,"")</f>
        <v/>
      </c>
      <c r="D228" s="417" t="str">
        <f>IF(DSDV!W233&lt;&gt;"",DSDV!W233,"")</f>
        <v/>
      </c>
    </row>
    <row r="229" spans="1:4">
      <c r="A229" t="str">
        <f>IF(DSDV!B234&lt;&gt;"",DSDV!B234,"")</f>
        <v/>
      </c>
      <c r="B229" t="str">
        <f>IF(DSDV!G234&lt;&gt;"",DSDV!G234,"")</f>
        <v/>
      </c>
      <c r="C229" s="237" t="str">
        <f>IF(DSDV!K234&lt;&gt;"",DSDV!K234,"")</f>
        <v/>
      </c>
      <c r="D229" s="417" t="str">
        <f>IF(DSDV!W234&lt;&gt;"",DSDV!W234,"")</f>
        <v/>
      </c>
    </row>
    <row r="230" spans="1:4">
      <c r="A230" t="str">
        <f>IF(DSDV!B235&lt;&gt;"",DSDV!B235,"")</f>
        <v/>
      </c>
      <c r="B230" t="str">
        <f>IF(DSDV!G235&lt;&gt;"",DSDV!G235,"")</f>
        <v/>
      </c>
      <c r="C230" s="237" t="str">
        <f>IF(DSDV!K235&lt;&gt;"",DSDV!K235,"")</f>
        <v/>
      </c>
      <c r="D230" s="417" t="str">
        <f>IF(DSDV!W235&lt;&gt;"",DSDV!W235,"")</f>
        <v/>
      </c>
    </row>
    <row r="231" spans="1:4">
      <c r="A231" t="str">
        <f>IF(DSDV!B236&lt;&gt;"",DSDV!B236,"")</f>
        <v/>
      </c>
      <c r="B231" t="str">
        <f>IF(DSDV!G236&lt;&gt;"",DSDV!G236,"")</f>
        <v/>
      </c>
      <c r="C231" s="237" t="str">
        <f>IF(DSDV!K236&lt;&gt;"",DSDV!K236,"")</f>
        <v/>
      </c>
      <c r="D231" s="417" t="str">
        <f>IF(DSDV!W236&lt;&gt;"",DSDV!W236,"")</f>
        <v/>
      </c>
    </row>
    <row r="232" spans="1:4">
      <c r="A232" t="str">
        <f>IF(DSDV!B237&lt;&gt;"",DSDV!B237,"")</f>
        <v/>
      </c>
      <c r="B232" t="str">
        <f>IF(DSDV!G237&lt;&gt;"",DSDV!G237,"")</f>
        <v/>
      </c>
      <c r="C232" s="237" t="str">
        <f>IF(DSDV!K237&lt;&gt;"",DSDV!K237,"")</f>
        <v/>
      </c>
      <c r="D232" s="417" t="str">
        <f>IF(DSDV!W237&lt;&gt;"",DSDV!W237,"")</f>
        <v/>
      </c>
    </row>
    <row r="233" spans="1:4">
      <c r="A233" t="str">
        <f>IF(DSDV!B238&lt;&gt;"",DSDV!B238,"")</f>
        <v/>
      </c>
      <c r="B233" t="str">
        <f>IF(DSDV!G238&lt;&gt;"",DSDV!G238,"")</f>
        <v/>
      </c>
      <c r="C233" s="237" t="str">
        <f>IF(DSDV!K238&lt;&gt;"",DSDV!K238,"")</f>
        <v/>
      </c>
      <c r="D233" s="417" t="str">
        <f>IF(DSDV!W238&lt;&gt;"",DSDV!W238,"")</f>
        <v/>
      </c>
    </row>
    <row r="234" spans="1:4">
      <c r="A234" t="str">
        <f>IF(DSDV!B239&lt;&gt;"",DSDV!B239,"")</f>
        <v/>
      </c>
      <c r="B234" t="str">
        <f>IF(DSDV!G239&lt;&gt;"",DSDV!G239,"")</f>
        <v/>
      </c>
      <c r="C234" s="237" t="str">
        <f>IF(DSDV!K239&lt;&gt;"",DSDV!K239,"")</f>
        <v/>
      </c>
      <c r="D234" s="417" t="str">
        <f>IF(DSDV!W239&lt;&gt;"",DSDV!W239,"")</f>
        <v/>
      </c>
    </row>
    <row r="235" spans="1:4">
      <c r="A235" t="str">
        <f>IF(DSDV!B240&lt;&gt;"",DSDV!B240,"")</f>
        <v/>
      </c>
      <c r="B235" t="str">
        <f>IF(DSDV!G240&lt;&gt;"",DSDV!G240,"")</f>
        <v/>
      </c>
      <c r="C235" s="237" t="str">
        <f>IF(DSDV!K240&lt;&gt;"",DSDV!K240,"")</f>
        <v/>
      </c>
      <c r="D235" s="417" t="str">
        <f>IF(DSDV!W240&lt;&gt;"",DSDV!W240,"")</f>
        <v/>
      </c>
    </row>
    <row r="236" spans="1:4">
      <c r="A236" t="str">
        <f>IF(DSDV!B241&lt;&gt;"",DSDV!B241,"")</f>
        <v/>
      </c>
      <c r="B236" t="str">
        <f>IF(DSDV!G241&lt;&gt;"",DSDV!G241,"")</f>
        <v/>
      </c>
      <c r="C236" s="237" t="str">
        <f>IF(DSDV!K241&lt;&gt;"",DSDV!K241,"")</f>
        <v/>
      </c>
      <c r="D236" s="417" t="str">
        <f>IF(DSDV!W241&lt;&gt;"",DSDV!W241,"")</f>
        <v/>
      </c>
    </row>
    <row r="237" spans="1:4">
      <c r="A237" t="str">
        <f>IF(DSDV!B242&lt;&gt;"",DSDV!B242,"")</f>
        <v/>
      </c>
      <c r="B237" t="str">
        <f>IF(DSDV!G242&lt;&gt;"",DSDV!G242,"")</f>
        <v/>
      </c>
      <c r="C237" s="237" t="str">
        <f>IF(DSDV!K242&lt;&gt;"",DSDV!K242,"")</f>
        <v/>
      </c>
      <c r="D237" s="417" t="str">
        <f>IF(DSDV!W242&lt;&gt;"",DSDV!W242,"")</f>
        <v/>
      </c>
    </row>
    <row r="238" spans="1:4">
      <c r="A238" t="str">
        <f>IF(DSDV!B243&lt;&gt;"",DSDV!B243,"")</f>
        <v/>
      </c>
      <c r="B238" t="str">
        <f>IF(DSDV!G243&lt;&gt;"",DSDV!G243,"")</f>
        <v/>
      </c>
      <c r="C238" s="237" t="str">
        <f>IF(DSDV!K243&lt;&gt;"",DSDV!K243,"")</f>
        <v/>
      </c>
      <c r="D238" s="417" t="str">
        <f>IF(DSDV!W243&lt;&gt;"",DSDV!W243,"")</f>
        <v/>
      </c>
    </row>
    <row r="239" spans="1:4">
      <c r="A239" t="str">
        <f>IF(DSDV!B244&lt;&gt;"",DSDV!B244,"")</f>
        <v/>
      </c>
      <c r="B239" t="str">
        <f>IF(DSDV!G244&lt;&gt;"",DSDV!G244,"")</f>
        <v/>
      </c>
      <c r="C239" s="237" t="str">
        <f>IF(DSDV!K244&lt;&gt;"",DSDV!K244,"")</f>
        <v/>
      </c>
      <c r="D239" s="417" t="str">
        <f>IF(DSDV!W244&lt;&gt;"",DSDV!W244,"")</f>
        <v/>
      </c>
    </row>
    <row r="240" spans="1:4">
      <c r="A240" t="str">
        <f>IF(DSDV!B245&lt;&gt;"",DSDV!B245,"")</f>
        <v/>
      </c>
      <c r="B240" t="str">
        <f>IF(DSDV!G245&lt;&gt;"",DSDV!G245,"")</f>
        <v/>
      </c>
      <c r="C240" s="237" t="str">
        <f>IF(DSDV!K245&lt;&gt;"",DSDV!K245,"")</f>
        <v/>
      </c>
      <c r="D240" s="417" t="str">
        <f>IF(DSDV!W245&lt;&gt;"",DSDV!W245,"")</f>
        <v/>
      </c>
    </row>
    <row r="241" spans="1:4">
      <c r="A241" t="str">
        <f>IF(DSDV!B246&lt;&gt;"",DSDV!B246,"")</f>
        <v/>
      </c>
      <c r="B241" t="str">
        <f>IF(DSDV!G246&lt;&gt;"",DSDV!G246,"")</f>
        <v/>
      </c>
      <c r="C241" s="237" t="str">
        <f>IF(DSDV!K246&lt;&gt;"",DSDV!K246,"")</f>
        <v/>
      </c>
      <c r="D241" s="417" t="str">
        <f>IF(DSDV!W246&lt;&gt;"",DSDV!W246,"")</f>
        <v/>
      </c>
    </row>
    <row r="242" spans="1:4">
      <c r="A242" t="str">
        <f>IF(DSDV!B247&lt;&gt;"",DSDV!B247,"")</f>
        <v/>
      </c>
      <c r="B242" t="str">
        <f>IF(DSDV!G247&lt;&gt;"",DSDV!G247,"")</f>
        <v/>
      </c>
      <c r="C242" s="237" t="str">
        <f>IF(DSDV!K247&lt;&gt;"",DSDV!K247,"")</f>
        <v/>
      </c>
      <c r="D242" s="417" t="str">
        <f>IF(DSDV!W247&lt;&gt;"",DSDV!W247,"")</f>
        <v/>
      </c>
    </row>
    <row r="243" spans="1:4">
      <c r="A243" t="str">
        <f>IF(DSDV!B248&lt;&gt;"",DSDV!B248,"")</f>
        <v/>
      </c>
      <c r="B243" t="str">
        <f>IF(DSDV!G248&lt;&gt;"",DSDV!G248,"")</f>
        <v/>
      </c>
      <c r="C243" s="237" t="str">
        <f>IF(DSDV!K248&lt;&gt;"",DSDV!K248,"")</f>
        <v/>
      </c>
      <c r="D243" s="417" t="str">
        <f>IF(DSDV!W248&lt;&gt;"",DSDV!W248,"")</f>
        <v/>
      </c>
    </row>
    <row r="244" spans="1:4">
      <c r="A244" t="str">
        <f>IF(DSDV!B249&lt;&gt;"",DSDV!B249,"")</f>
        <v/>
      </c>
      <c r="B244" t="str">
        <f>IF(DSDV!G249&lt;&gt;"",DSDV!G249,"")</f>
        <v/>
      </c>
      <c r="C244" s="237" t="str">
        <f>IF(DSDV!K249&lt;&gt;"",DSDV!K249,"")</f>
        <v/>
      </c>
      <c r="D244" s="417" t="str">
        <f>IF(DSDV!W249&lt;&gt;"",DSDV!W249,"")</f>
        <v/>
      </c>
    </row>
    <row r="245" spans="1:4">
      <c r="A245" t="str">
        <f>IF(DSDV!B250&lt;&gt;"",DSDV!B250,"")</f>
        <v/>
      </c>
      <c r="B245" t="str">
        <f>IF(DSDV!G250&lt;&gt;"",DSDV!G250,"")</f>
        <v/>
      </c>
      <c r="C245" s="237" t="str">
        <f>IF(DSDV!K250&lt;&gt;"",DSDV!K250,"")</f>
        <v/>
      </c>
      <c r="D245" s="417" t="str">
        <f>IF(DSDV!W250&lt;&gt;"",DSDV!W250,"")</f>
        <v/>
      </c>
    </row>
    <row r="246" spans="1:4">
      <c r="A246" t="str">
        <f>IF(DSDV!B251&lt;&gt;"",DSDV!B251,"")</f>
        <v/>
      </c>
      <c r="B246" t="str">
        <f>IF(DSDV!G251&lt;&gt;"",DSDV!G251,"")</f>
        <v/>
      </c>
      <c r="C246" s="237" t="str">
        <f>IF(DSDV!K251&lt;&gt;"",DSDV!K251,"")</f>
        <v/>
      </c>
      <c r="D246" s="417" t="str">
        <f>IF(DSDV!W251&lt;&gt;"",DSDV!W251,"")</f>
        <v/>
      </c>
    </row>
    <row r="247" spans="1:4">
      <c r="A247" t="str">
        <f>IF(DSDV!B252&lt;&gt;"",DSDV!B252,"")</f>
        <v/>
      </c>
      <c r="B247" t="str">
        <f>IF(DSDV!G252&lt;&gt;"",DSDV!G252,"")</f>
        <v/>
      </c>
      <c r="C247" s="237" t="str">
        <f>IF(DSDV!K252&lt;&gt;"",DSDV!K252,"")</f>
        <v/>
      </c>
      <c r="D247" s="417" t="str">
        <f>IF(DSDV!W252&lt;&gt;"",DSDV!W252,"")</f>
        <v/>
      </c>
    </row>
    <row r="248" spans="1:4">
      <c r="A248" t="str">
        <f>IF(DSDV!B253&lt;&gt;"",DSDV!B253,"")</f>
        <v/>
      </c>
      <c r="B248" t="str">
        <f>IF(DSDV!G253&lt;&gt;"",DSDV!G253,"")</f>
        <v/>
      </c>
      <c r="C248" s="237" t="str">
        <f>IF(DSDV!K253&lt;&gt;"",DSDV!K253,"")</f>
        <v/>
      </c>
      <c r="D248" s="417" t="str">
        <f>IF(DSDV!W253&lt;&gt;"",DSDV!W253,"")</f>
        <v/>
      </c>
    </row>
    <row r="249" spans="1:4">
      <c r="A249" t="str">
        <f>IF(DSDV!B254&lt;&gt;"",DSDV!B254,"")</f>
        <v/>
      </c>
      <c r="B249" t="str">
        <f>IF(DSDV!G254&lt;&gt;"",DSDV!G254,"")</f>
        <v/>
      </c>
      <c r="C249" s="237" t="str">
        <f>IF(DSDV!K254&lt;&gt;"",DSDV!K254,"")</f>
        <v/>
      </c>
      <c r="D249" s="417" t="str">
        <f>IF(DSDV!W254&lt;&gt;"",DSDV!W254,"")</f>
        <v/>
      </c>
    </row>
    <row r="250" spans="1:4">
      <c r="A250" t="str">
        <f>IF(DSDV!B255&lt;&gt;"",DSDV!B255,"")</f>
        <v/>
      </c>
      <c r="B250" t="str">
        <f>IF(DSDV!G255&lt;&gt;"",DSDV!G255,"")</f>
        <v/>
      </c>
      <c r="C250" s="237" t="str">
        <f>IF(DSDV!K255&lt;&gt;"",DSDV!K255,"")</f>
        <v/>
      </c>
      <c r="D250" s="417" t="str">
        <f>IF(DSDV!W255&lt;&gt;"",DSDV!W255,"")</f>
        <v/>
      </c>
    </row>
    <row r="251" spans="1:4">
      <c r="A251" t="str">
        <f>IF(DSDV!B256&lt;&gt;"",DSDV!B256,"")</f>
        <v/>
      </c>
      <c r="B251" t="str">
        <f>IF(DSDV!G256&lt;&gt;"",DSDV!G256,"")</f>
        <v/>
      </c>
      <c r="C251" s="237" t="str">
        <f>IF(DSDV!K256&lt;&gt;"",DSDV!K256,"")</f>
        <v/>
      </c>
      <c r="D251" s="417" t="str">
        <f>IF(DSDV!W256&lt;&gt;"",DSDV!W256,"")</f>
        <v/>
      </c>
    </row>
    <row r="252" spans="1:4">
      <c r="A252" t="str">
        <f>IF(DSDV!B257&lt;&gt;"",DSDV!B257,"")</f>
        <v/>
      </c>
      <c r="B252" t="str">
        <f>IF(DSDV!G257&lt;&gt;"",DSDV!G257,"")</f>
        <v/>
      </c>
      <c r="C252" s="237" t="str">
        <f>IF(DSDV!K257&lt;&gt;"",DSDV!K257,"")</f>
        <v/>
      </c>
      <c r="D252" s="417" t="str">
        <f>IF(DSDV!W257&lt;&gt;"",DSDV!W257,"")</f>
        <v/>
      </c>
    </row>
    <row r="253" spans="1:4">
      <c r="A253" t="str">
        <f>IF(DSDV!B258&lt;&gt;"",DSDV!B258,"")</f>
        <v/>
      </c>
      <c r="B253" t="str">
        <f>IF(DSDV!G258&lt;&gt;"",DSDV!G258,"")</f>
        <v/>
      </c>
      <c r="C253" s="237" t="str">
        <f>IF(DSDV!K258&lt;&gt;"",DSDV!K258,"")</f>
        <v/>
      </c>
      <c r="D253" s="417" t="str">
        <f>IF(DSDV!W258&lt;&gt;"",DSDV!W258,"")</f>
        <v/>
      </c>
    </row>
    <row r="254" spans="1:4">
      <c r="A254" t="str">
        <f>IF(DSDV!B259&lt;&gt;"",DSDV!B259,"")</f>
        <v/>
      </c>
      <c r="B254" t="str">
        <f>IF(DSDV!G259&lt;&gt;"",DSDV!G259,"")</f>
        <v/>
      </c>
      <c r="C254" s="237" t="str">
        <f>IF(DSDV!K259&lt;&gt;"",DSDV!K259,"")</f>
        <v/>
      </c>
      <c r="D254" s="417" t="str">
        <f>IF(DSDV!W259&lt;&gt;"",DSDV!W259,"")</f>
        <v/>
      </c>
    </row>
    <row r="255" spans="1:4">
      <c r="A255" t="str">
        <f>IF(DSDV!B260&lt;&gt;"",DSDV!B260,"")</f>
        <v/>
      </c>
      <c r="B255" t="str">
        <f>IF(DSDV!G260&lt;&gt;"",DSDV!G260,"")</f>
        <v/>
      </c>
      <c r="C255" s="237" t="str">
        <f>IF(DSDV!K260&lt;&gt;"",DSDV!K260,"")</f>
        <v/>
      </c>
      <c r="D255" s="417" t="str">
        <f>IF(DSDV!W260&lt;&gt;"",DSDV!W260,"")</f>
        <v/>
      </c>
    </row>
    <row r="256" spans="1:4">
      <c r="A256" t="str">
        <f>IF(DSDV!B261&lt;&gt;"",DSDV!B261,"")</f>
        <v/>
      </c>
      <c r="B256" t="str">
        <f>IF(DSDV!G261&lt;&gt;"",DSDV!G261,"")</f>
        <v/>
      </c>
      <c r="C256" s="237" t="str">
        <f>IF(DSDV!K261&lt;&gt;"",DSDV!K261,"")</f>
        <v/>
      </c>
      <c r="D256" s="417" t="str">
        <f>IF(DSDV!W261&lt;&gt;"",DSDV!W261,"")</f>
        <v/>
      </c>
    </row>
    <row r="257" spans="1:4">
      <c r="A257" t="str">
        <f>IF(DSDV!B262&lt;&gt;"",DSDV!B262,"")</f>
        <v/>
      </c>
      <c r="B257" t="str">
        <f>IF(DSDV!G262&lt;&gt;"",DSDV!G262,"")</f>
        <v/>
      </c>
      <c r="C257" s="237" t="str">
        <f>IF(DSDV!K262&lt;&gt;"",DSDV!K262,"")</f>
        <v/>
      </c>
      <c r="D257" s="417" t="str">
        <f>IF(DSDV!W262&lt;&gt;"",DSDV!W262,"")</f>
        <v/>
      </c>
    </row>
    <row r="258" spans="1:4">
      <c r="A258" t="str">
        <f>IF(DSDV!B263&lt;&gt;"",DSDV!B263,"")</f>
        <v/>
      </c>
      <c r="B258" t="str">
        <f>IF(DSDV!G263&lt;&gt;"",DSDV!G263,"")</f>
        <v/>
      </c>
      <c r="C258" s="237" t="str">
        <f>IF(DSDV!K263&lt;&gt;"",DSDV!K263,"")</f>
        <v/>
      </c>
      <c r="D258" s="417" t="str">
        <f>IF(DSDV!W263&lt;&gt;"",DSDV!W263,"")</f>
        <v/>
      </c>
    </row>
    <row r="259" spans="1:4">
      <c r="A259" t="str">
        <f>IF(DSDV!B264&lt;&gt;"",DSDV!B264,"")</f>
        <v/>
      </c>
      <c r="B259" t="str">
        <f>IF(DSDV!G264&lt;&gt;"",DSDV!G264,"")</f>
        <v/>
      </c>
      <c r="C259" s="237" t="str">
        <f>IF(DSDV!K264&lt;&gt;"",DSDV!K264,"")</f>
        <v/>
      </c>
      <c r="D259" s="417" t="str">
        <f>IF(DSDV!W264&lt;&gt;"",DSDV!W264,"")</f>
        <v/>
      </c>
    </row>
    <row r="260" spans="1:4">
      <c r="A260" t="str">
        <f>IF(DSDV!B265&lt;&gt;"",DSDV!B265,"")</f>
        <v/>
      </c>
      <c r="B260" t="str">
        <f>IF(DSDV!G265&lt;&gt;"",DSDV!G265,"")</f>
        <v/>
      </c>
      <c r="C260" s="237" t="str">
        <f>IF(DSDV!K265&lt;&gt;"",DSDV!K265,"")</f>
        <v/>
      </c>
      <c r="D260" s="417" t="str">
        <f>IF(DSDV!W265&lt;&gt;"",DSDV!W265,"")</f>
        <v/>
      </c>
    </row>
    <row r="261" spans="1:4">
      <c r="A261" t="str">
        <f>IF(DSDV!B266&lt;&gt;"",DSDV!B266,"")</f>
        <v/>
      </c>
      <c r="B261" t="str">
        <f>IF(DSDV!G266&lt;&gt;"",DSDV!G266,"")</f>
        <v/>
      </c>
      <c r="C261" s="237" t="str">
        <f>IF(DSDV!K266&lt;&gt;"",DSDV!K266,"")</f>
        <v/>
      </c>
      <c r="D261" s="417" t="str">
        <f>IF(DSDV!W266&lt;&gt;"",DSDV!W266,"")</f>
        <v/>
      </c>
    </row>
    <row r="262" spans="1:4">
      <c r="A262" t="str">
        <f>IF(DSDV!B267&lt;&gt;"",DSDV!B267,"")</f>
        <v/>
      </c>
      <c r="B262" t="str">
        <f>IF(DSDV!G267&lt;&gt;"",DSDV!G267,"")</f>
        <v/>
      </c>
      <c r="C262" s="237" t="str">
        <f>IF(DSDV!K267&lt;&gt;"",DSDV!K267,"")</f>
        <v/>
      </c>
      <c r="D262" s="417" t="str">
        <f>IF(DSDV!W267&lt;&gt;"",DSDV!W267,"")</f>
        <v/>
      </c>
    </row>
    <row r="263" spans="1:4">
      <c r="A263" t="str">
        <f>IF(DSDV!B268&lt;&gt;"",DSDV!B268,"")</f>
        <v/>
      </c>
      <c r="B263" t="str">
        <f>IF(DSDV!G268&lt;&gt;"",DSDV!G268,"")</f>
        <v/>
      </c>
      <c r="C263" s="237" t="str">
        <f>IF(DSDV!K268&lt;&gt;"",DSDV!K268,"")</f>
        <v/>
      </c>
      <c r="D263" s="417" t="str">
        <f>IF(DSDV!W268&lt;&gt;"",DSDV!W268,"")</f>
        <v/>
      </c>
    </row>
    <row r="264" spans="1:4">
      <c r="A264" t="str">
        <f>IF(DSDV!B269&lt;&gt;"",DSDV!B269,"")</f>
        <v/>
      </c>
      <c r="B264" t="str">
        <f>IF(DSDV!G269&lt;&gt;"",DSDV!G269,"")</f>
        <v/>
      </c>
      <c r="C264" s="237" t="str">
        <f>IF(DSDV!K269&lt;&gt;"",DSDV!K269,"")</f>
        <v/>
      </c>
      <c r="D264" s="417" t="str">
        <f>IF(DSDV!W269&lt;&gt;"",DSDV!W269,"")</f>
        <v/>
      </c>
    </row>
    <row r="265" spans="1:4">
      <c r="A265" t="str">
        <f>IF(DSDV!B270&lt;&gt;"",DSDV!B270,"")</f>
        <v/>
      </c>
      <c r="B265" t="str">
        <f>IF(DSDV!G270&lt;&gt;"",DSDV!G270,"")</f>
        <v/>
      </c>
      <c r="C265" s="237" t="str">
        <f>IF(DSDV!K270&lt;&gt;"",DSDV!K270,"")</f>
        <v/>
      </c>
      <c r="D265" s="417" t="str">
        <f>IF(DSDV!W270&lt;&gt;"",DSDV!W270,"")</f>
        <v/>
      </c>
    </row>
    <row r="266" spans="1:4">
      <c r="A266" t="str">
        <f>IF(DSDV!B271&lt;&gt;"",DSDV!B271,"")</f>
        <v/>
      </c>
      <c r="B266" t="str">
        <f>IF(DSDV!G271&lt;&gt;"",DSDV!G271,"")</f>
        <v/>
      </c>
      <c r="C266" s="237" t="str">
        <f>IF(DSDV!K271&lt;&gt;"",DSDV!K271,"")</f>
        <v/>
      </c>
      <c r="D266" s="417" t="str">
        <f>IF(DSDV!W271&lt;&gt;"",DSDV!W271,"")</f>
        <v/>
      </c>
    </row>
    <row r="267" spans="1:4">
      <c r="A267" t="str">
        <f>IF(DSDV!B272&lt;&gt;"",DSDV!B272,"")</f>
        <v/>
      </c>
      <c r="B267" t="str">
        <f>IF(DSDV!G272&lt;&gt;"",DSDV!G272,"")</f>
        <v/>
      </c>
      <c r="C267" s="237" t="str">
        <f>IF(DSDV!K272&lt;&gt;"",DSDV!K272,"")</f>
        <v/>
      </c>
      <c r="D267" s="417" t="str">
        <f>IF(DSDV!W272&lt;&gt;"",DSDV!W272,"")</f>
        <v/>
      </c>
    </row>
    <row r="268" spans="1:4">
      <c r="A268" t="str">
        <f>IF(DSDV!B273&lt;&gt;"",DSDV!B273,"")</f>
        <v/>
      </c>
      <c r="B268" t="str">
        <f>IF(DSDV!G273&lt;&gt;"",DSDV!G273,"")</f>
        <v/>
      </c>
      <c r="C268" s="237" t="str">
        <f>IF(DSDV!K273&lt;&gt;"",DSDV!K273,"")</f>
        <v/>
      </c>
      <c r="D268" s="417" t="str">
        <f>IF(DSDV!W273&lt;&gt;"",DSDV!W273,"")</f>
        <v/>
      </c>
    </row>
    <row r="269" spans="1:4">
      <c r="A269" t="str">
        <f>IF(DSDV!B274&lt;&gt;"",DSDV!B274,"")</f>
        <v/>
      </c>
      <c r="B269" t="str">
        <f>IF(DSDV!G274&lt;&gt;"",DSDV!G274,"")</f>
        <v/>
      </c>
      <c r="C269" s="237" t="str">
        <f>IF(DSDV!K274&lt;&gt;"",DSDV!K274,"")</f>
        <v/>
      </c>
      <c r="D269" s="417" t="str">
        <f>IF(DSDV!W274&lt;&gt;"",DSDV!W274,"")</f>
        <v/>
      </c>
    </row>
    <row r="270" spans="1:4">
      <c r="A270" t="str">
        <f>IF(DSDV!B275&lt;&gt;"",DSDV!B275,"")</f>
        <v/>
      </c>
      <c r="B270" t="str">
        <f>IF(DSDV!G275&lt;&gt;"",DSDV!G275,"")</f>
        <v/>
      </c>
      <c r="C270" s="237" t="str">
        <f>IF(DSDV!K275&lt;&gt;"",DSDV!K275,"")</f>
        <v/>
      </c>
      <c r="D270" s="417" t="str">
        <f>IF(DSDV!W275&lt;&gt;"",DSDV!W275,"")</f>
        <v/>
      </c>
    </row>
    <row r="271" spans="1:4">
      <c r="A271" t="str">
        <f>IF(DSDV!B276&lt;&gt;"",DSDV!B276,"")</f>
        <v/>
      </c>
      <c r="B271" t="str">
        <f>IF(DSDV!G276&lt;&gt;"",DSDV!G276,"")</f>
        <v/>
      </c>
      <c r="C271" s="237" t="str">
        <f>IF(DSDV!K276&lt;&gt;"",DSDV!K276,"")</f>
        <v/>
      </c>
      <c r="D271" s="417" t="str">
        <f>IF(DSDV!W276&lt;&gt;"",DSDV!W276,"")</f>
        <v/>
      </c>
    </row>
    <row r="272" spans="1:4">
      <c r="A272" t="str">
        <f>IF(DSDV!B277&lt;&gt;"",DSDV!B277,"")</f>
        <v/>
      </c>
      <c r="B272" t="str">
        <f>IF(DSDV!G277&lt;&gt;"",DSDV!G277,"")</f>
        <v/>
      </c>
      <c r="C272" s="237" t="str">
        <f>IF(DSDV!K277&lt;&gt;"",DSDV!K277,"")</f>
        <v/>
      </c>
      <c r="D272" s="417" t="str">
        <f>IF(DSDV!W277&lt;&gt;"",DSDV!W277,"")</f>
        <v/>
      </c>
    </row>
    <row r="273" spans="1:4">
      <c r="A273" t="str">
        <f>IF(DSDV!B278&lt;&gt;"",DSDV!B278,"")</f>
        <v/>
      </c>
      <c r="B273" t="str">
        <f>IF(DSDV!G278&lt;&gt;"",DSDV!G278,"")</f>
        <v/>
      </c>
      <c r="C273" s="237" t="str">
        <f>IF(DSDV!K278&lt;&gt;"",DSDV!K278,"")</f>
        <v/>
      </c>
      <c r="D273" s="417" t="str">
        <f>IF(DSDV!W278&lt;&gt;"",DSDV!W278,"")</f>
        <v/>
      </c>
    </row>
    <row r="274" spans="1:4">
      <c r="A274" t="str">
        <f>IF(DSDV!B279&lt;&gt;"",DSDV!B279,"")</f>
        <v/>
      </c>
      <c r="B274" t="str">
        <f>IF(DSDV!G279&lt;&gt;"",DSDV!G279,"")</f>
        <v/>
      </c>
      <c r="C274" s="237" t="str">
        <f>IF(DSDV!K279&lt;&gt;"",DSDV!K279,"")</f>
        <v/>
      </c>
      <c r="D274" s="417" t="str">
        <f>IF(DSDV!W279&lt;&gt;"",DSDV!W279,"")</f>
        <v/>
      </c>
    </row>
    <row r="275" spans="1:4">
      <c r="A275" t="str">
        <f>IF(DSDV!B280&lt;&gt;"",DSDV!B280,"")</f>
        <v/>
      </c>
      <c r="B275" t="str">
        <f>IF(DSDV!G280&lt;&gt;"",DSDV!G280,"")</f>
        <v/>
      </c>
      <c r="C275" s="237" t="str">
        <f>IF(DSDV!K280&lt;&gt;"",DSDV!K280,"")</f>
        <v/>
      </c>
      <c r="D275" s="417" t="str">
        <f>IF(DSDV!W280&lt;&gt;"",DSDV!W280,"")</f>
        <v/>
      </c>
    </row>
    <row r="276" spans="1:4">
      <c r="A276" t="str">
        <f>IF(DSDV!B281&lt;&gt;"",DSDV!B281,"")</f>
        <v/>
      </c>
      <c r="B276" t="str">
        <f>IF(DSDV!G281&lt;&gt;"",DSDV!G281,"")</f>
        <v/>
      </c>
      <c r="C276" s="237" t="str">
        <f>IF(DSDV!K281&lt;&gt;"",DSDV!K281,"")</f>
        <v/>
      </c>
      <c r="D276" s="417" t="str">
        <f>IF(DSDV!W281&lt;&gt;"",DSDV!W281,"")</f>
        <v/>
      </c>
    </row>
    <row r="277" spans="1:4">
      <c r="A277" t="str">
        <f>IF(DSDV!B282&lt;&gt;"",DSDV!B282,"")</f>
        <v/>
      </c>
      <c r="B277" t="str">
        <f>IF(DSDV!G282&lt;&gt;"",DSDV!G282,"")</f>
        <v/>
      </c>
      <c r="C277" s="237" t="str">
        <f>IF(DSDV!K282&lt;&gt;"",DSDV!K282,"")</f>
        <v/>
      </c>
      <c r="D277" s="417" t="str">
        <f>IF(DSDV!W282&lt;&gt;"",DSDV!W282,"")</f>
        <v/>
      </c>
    </row>
    <row r="278" spans="1:4">
      <c r="A278" t="str">
        <f>IF(DSDV!B283&lt;&gt;"",DSDV!B283,"")</f>
        <v/>
      </c>
      <c r="B278" t="str">
        <f>IF(DSDV!G283&lt;&gt;"",DSDV!G283,"")</f>
        <v/>
      </c>
      <c r="C278" s="237" t="str">
        <f>IF(DSDV!K283&lt;&gt;"",DSDV!K283,"")</f>
        <v/>
      </c>
      <c r="D278" s="417" t="str">
        <f>IF(DSDV!W283&lt;&gt;"",DSDV!W283,"")</f>
        <v/>
      </c>
    </row>
    <row r="279" spans="1:4">
      <c r="A279" t="str">
        <f>IF(DSDV!B284&lt;&gt;"",DSDV!B284,"")</f>
        <v/>
      </c>
      <c r="B279" t="str">
        <f>IF(DSDV!G284&lt;&gt;"",DSDV!G284,"")</f>
        <v/>
      </c>
      <c r="C279" s="237" t="str">
        <f>IF(DSDV!K284&lt;&gt;"",DSDV!K284,"")</f>
        <v/>
      </c>
      <c r="D279" s="417" t="str">
        <f>IF(DSDV!W284&lt;&gt;"",DSDV!W284,"")</f>
        <v/>
      </c>
    </row>
    <row r="280" spans="1:4">
      <c r="A280" t="str">
        <f>IF(DSDV!B285&lt;&gt;"",DSDV!B285,"")</f>
        <v/>
      </c>
      <c r="B280" t="str">
        <f>IF(DSDV!G285&lt;&gt;"",DSDV!G285,"")</f>
        <v/>
      </c>
      <c r="C280" s="237" t="str">
        <f>IF(DSDV!K285&lt;&gt;"",DSDV!K285,"")</f>
        <v/>
      </c>
      <c r="D280" s="417" t="str">
        <f>IF(DSDV!W285&lt;&gt;"",DSDV!W285,"")</f>
        <v/>
      </c>
    </row>
    <row r="281" spans="1:4">
      <c r="A281" t="str">
        <f>IF(DSDV!B286&lt;&gt;"",DSDV!B286,"")</f>
        <v/>
      </c>
      <c r="B281" t="str">
        <f>IF(DSDV!G286&lt;&gt;"",DSDV!G286,"")</f>
        <v/>
      </c>
      <c r="C281" s="237" t="str">
        <f>IF(DSDV!K286&lt;&gt;"",DSDV!K286,"")</f>
        <v/>
      </c>
      <c r="D281" s="417" t="str">
        <f>IF(DSDV!W286&lt;&gt;"",DSDV!W286,"")</f>
        <v/>
      </c>
    </row>
    <row r="282" spans="1:4">
      <c r="A282" t="str">
        <f>IF(DSDV!B287&lt;&gt;"",DSDV!B287,"")</f>
        <v/>
      </c>
      <c r="B282" t="str">
        <f>IF(DSDV!G287&lt;&gt;"",DSDV!G287,"")</f>
        <v/>
      </c>
      <c r="C282" s="237" t="str">
        <f>IF(DSDV!K287&lt;&gt;"",DSDV!K287,"")</f>
        <v/>
      </c>
      <c r="D282" s="417" t="str">
        <f>IF(DSDV!W287&lt;&gt;"",DSDV!W287,"")</f>
        <v/>
      </c>
    </row>
    <row r="283" spans="1:4">
      <c r="A283" t="str">
        <f>IF(DSDV!B288&lt;&gt;"",DSDV!B288,"")</f>
        <v/>
      </c>
      <c r="B283" t="str">
        <f>IF(DSDV!G288&lt;&gt;"",DSDV!G288,"")</f>
        <v/>
      </c>
      <c r="C283" s="237" t="str">
        <f>IF(DSDV!K288&lt;&gt;"",DSDV!K288,"")</f>
        <v/>
      </c>
      <c r="D283" s="417" t="str">
        <f>IF(DSDV!W288&lt;&gt;"",DSDV!W288,"")</f>
        <v/>
      </c>
    </row>
    <row r="284" spans="1:4">
      <c r="A284" t="str">
        <f>IF(DSDV!B289&lt;&gt;"",DSDV!B289,"")</f>
        <v/>
      </c>
      <c r="B284" t="str">
        <f>IF(DSDV!G289&lt;&gt;"",DSDV!G289,"")</f>
        <v/>
      </c>
      <c r="C284" s="237" t="str">
        <f>IF(DSDV!K289&lt;&gt;"",DSDV!K289,"")</f>
        <v/>
      </c>
      <c r="D284" s="417" t="str">
        <f>IF(DSDV!W289&lt;&gt;"",DSDV!W289,"")</f>
        <v/>
      </c>
    </row>
    <row r="285" spans="1:4">
      <c r="A285" t="str">
        <f>IF(DSDV!B290&lt;&gt;"",DSDV!B290,"")</f>
        <v/>
      </c>
      <c r="B285" t="str">
        <f>IF(DSDV!G290&lt;&gt;"",DSDV!G290,"")</f>
        <v/>
      </c>
      <c r="C285" s="237" t="str">
        <f>IF(DSDV!K290&lt;&gt;"",DSDV!K290,"")</f>
        <v/>
      </c>
      <c r="D285" s="417" t="str">
        <f>IF(DSDV!W290&lt;&gt;"",DSDV!W290,"")</f>
        <v/>
      </c>
    </row>
    <row r="286" spans="1:4">
      <c r="A286" t="str">
        <f>IF(DSDV!B291&lt;&gt;"",DSDV!B291,"")</f>
        <v/>
      </c>
      <c r="B286" t="str">
        <f>IF(DSDV!G291&lt;&gt;"",DSDV!G291,"")</f>
        <v/>
      </c>
      <c r="C286" s="237" t="str">
        <f>IF(DSDV!K291&lt;&gt;"",DSDV!K291,"")</f>
        <v/>
      </c>
      <c r="D286" s="417" t="str">
        <f>IF(DSDV!W291&lt;&gt;"",DSDV!W291,"")</f>
        <v/>
      </c>
    </row>
    <row r="287" spans="1:4">
      <c r="A287" t="str">
        <f>IF(DSDV!B292&lt;&gt;"",DSDV!B292,"")</f>
        <v/>
      </c>
      <c r="B287" t="str">
        <f>IF(DSDV!G292&lt;&gt;"",DSDV!G292,"")</f>
        <v/>
      </c>
      <c r="C287" s="237" t="str">
        <f>IF(DSDV!K292&lt;&gt;"",DSDV!K292,"")</f>
        <v/>
      </c>
      <c r="D287" s="417" t="str">
        <f>IF(DSDV!W292&lt;&gt;"",DSDV!W292,"")</f>
        <v/>
      </c>
    </row>
    <row r="288" spans="1:4">
      <c r="A288" t="str">
        <f>IF(DSDV!B293&lt;&gt;"",DSDV!B293,"")</f>
        <v/>
      </c>
      <c r="B288" t="str">
        <f>IF(DSDV!G293&lt;&gt;"",DSDV!G293,"")</f>
        <v/>
      </c>
      <c r="C288" s="237" t="str">
        <f>IF(DSDV!K293&lt;&gt;"",DSDV!K293,"")</f>
        <v/>
      </c>
      <c r="D288" s="417" t="str">
        <f>IF(DSDV!W293&lt;&gt;"",DSDV!W293,"")</f>
        <v/>
      </c>
    </row>
    <row r="289" spans="1:4">
      <c r="A289" t="str">
        <f>IF(DSDV!B294&lt;&gt;"",DSDV!B294,"")</f>
        <v/>
      </c>
      <c r="B289" t="str">
        <f>IF(DSDV!G294&lt;&gt;"",DSDV!G294,"")</f>
        <v/>
      </c>
      <c r="C289" s="237" t="str">
        <f>IF(DSDV!K294&lt;&gt;"",DSDV!K294,"")</f>
        <v/>
      </c>
      <c r="D289" s="417" t="str">
        <f>IF(DSDV!W294&lt;&gt;"",DSDV!W294,"")</f>
        <v/>
      </c>
    </row>
    <row r="290" spans="1:4">
      <c r="A290" t="str">
        <f>IF(DSDV!B295&lt;&gt;"",DSDV!B295,"")</f>
        <v/>
      </c>
      <c r="B290" t="str">
        <f>IF(DSDV!G295&lt;&gt;"",DSDV!G295,"")</f>
        <v/>
      </c>
      <c r="C290" s="237" t="str">
        <f>IF(DSDV!K295&lt;&gt;"",DSDV!K295,"")</f>
        <v/>
      </c>
      <c r="D290" s="417" t="str">
        <f>IF(DSDV!W295&lt;&gt;"",DSDV!W295,"")</f>
        <v/>
      </c>
    </row>
    <row r="291" spans="1:4">
      <c r="A291" t="str">
        <f>IF(DSDV!B296&lt;&gt;"",DSDV!B296,"")</f>
        <v/>
      </c>
      <c r="B291" t="str">
        <f>IF(DSDV!G296&lt;&gt;"",DSDV!G296,"")</f>
        <v/>
      </c>
      <c r="C291" s="237" t="str">
        <f>IF(DSDV!K296&lt;&gt;"",DSDV!K296,"")</f>
        <v/>
      </c>
      <c r="D291" s="417" t="str">
        <f>IF(DSDV!W296&lt;&gt;"",DSDV!W296,"")</f>
        <v/>
      </c>
    </row>
    <row r="292" spans="1:4">
      <c r="A292" t="str">
        <f>IF(DSDV!B297&lt;&gt;"",DSDV!B297,"")</f>
        <v/>
      </c>
      <c r="B292" t="str">
        <f>IF(DSDV!G297&lt;&gt;"",DSDV!G297,"")</f>
        <v/>
      </c>
      <c r="C292" s="237" t="str">
        <f>IF(DSDV!K297&lt;&gt;"",DSDV!K297,"")</f>
        <v/>
      </c>
      <c r="D292" s="417" t="str">
        <f>IF(DSDV!W297&lt;&gt;"",DSDV!W297,"")</f>
        <v/>
      </c>
    </row>
    <row r="293" spans="1:4">
      <c r="A293" t="str">
        <f>IF(DSDV!B298&lt;&gt;"",DSDV!B298,"")</f>
        <v/>
      </c>
      <c r="B293" t="str">
        <f>IF(DSDV!G298&lt;&gt;"",DSDV!G298,"")</f>
        <v/>
      </c>
      <c r="C293" s="237" t="str">
        <f>IF(DSDV!K298&lt;&gt;"",DSDV!K298,"")</f>
        <v/>
      </c>
      <c r="D293" s="417" t="str">
        <f>IF(DSDV!W298&lt;&gt;"",DSDV!W298,"")</f>
        <v/>
      </c>
    </row>
    <row r="294" spans="1:4">
      <c r="A294" t="str">
        <f>IF(DSDV!B299&lt;&gt;"",DSDV!B299,"")</f>
        <v/>
      </c>
      <c r="B294" t="str">
        <f>IF(DSDV!G299&lt;&gt;"",DSDV!G299,"")</f>
        <v/>
      </c>
      <c r="C294" s="237" t="str">
        <f>IF(DSDV!K299&lt;&gt;"",DSDV!K299,"")</f>
        <v/>
      </c>
      <c r="D294" s="417" t="str">
        <f>IF(DSDV!W299&lt;&gt;"",DSDV!W299,"")</f>
        <v/>
      </c>
    </row>
    <row r="295" spans="1:4">
      <c r="A295" t="str">
        <f>IF(DSDV!B300&lt;&gt;"",DSDV!B300,"")</f>
        <v/>
      </c>
      <c r="B295" t="str">
        <f>IF(DSDV!G300&lt;&gt;"",DSDV!G300,"")</f>
        <v/>
      </c>
      <c r="C295" s="237" t="str">
        <f>IF(DSDV!K300&lt;&gt;"",DSDV!K300,"")</f>
        <v/>
      </c>
      <c r="D295" s="417" t="str">
        <f>IF(DSDV!W300&lt;&gt;"",DSDV!W300,"")</f>
        <v/>
      </c>
    </row>
    <row r="296" spans="1:4">
      <c r="A296" t="str">
        <f>IF(DSDV!B301&lt;&gt;"",DSDV!B301,"")</f>
        <v/>
      </c>
      <c r="B296" t="str">
        <f>IF(DSDV!G301&lt;&gt;"",DSDV!G301,"")</f>
        <v/>
      </c>
      <c r="C296" s="237" t="str">
        <f>IF(DSDV!K301&lt;&gt;"",DSDV!K301,"")</f>
        <v/>
      </c>
      <c r="D296" s="417" t="str">
        <f>IF(DSDV!W301&lt;&gt;"",DSDV!W301,"")</f>
        <v/>
      </c>
    </row>
    <row r="297" spans="1:4">
      <c r="A297" t="str">
        <f>IF(DSDV!B302&lt;&gt;"",DSDV!B302,"")</f>
        <v/>
      </c>
      <c r="B297" t="str">
        <f>IF(DSDV!G302&lt;&gt;"",DSDV!G302,"")</f>
        <v/>
      </c>
      <c r="C297" s="237" t="str">
        <f>IF(DSDV!K302&lt;&gt;"",DSDV!K302,"")</f>
        <v/>
      </c>
      <c r="D297" s="417" t="str">
        <f>IF(DSDV!W302&lt;&gt;"",DSDV!W302,"")</f>
        <v/>
      </c>
    </row>
    <row r="298" spans="1:4">
      <c r="A298" t="str">
        <f>IF(DSDV!B303&lt;&gt;"",DSDV!B303,"")</f>
        <v/>
      </c>
      <c r="B298" t="str">
        <f>IF(DSDV!G303&lt;&gt;"",DSDV!G303,"")</f>
        <v/>
      </c>
      <c r="C298" s="237" t="str">
        <f>IF(DSDV!K303&lt;&gt;"",DSDV!K303,"")</f>
        <v/>
      </c>
      <c r="D298" s="417" t="str">
        <f>IF(DSDV!W303&lt;&gt;"",DSDV!W303,"")</f>
        <v/>
      </c>
    </row>
    <row r="299" spans="1:4">
      <c r="A299" t="str">
        <f>IF(DSDV!B304&lt;&gt;"",DSDV!B304,"")</f>
        <v/>
      </c>
      <c r="B299" t="str">
        <f>IF(DSDV!G304&lt;&gt;"",DSDV!G304,"")</f>
        <v/>
      </c>
      <c r="C299" s="237" t="str">
        <f>IF(DSDV!K304&lt;&gt;"",DSDV!K304,"")</f>
        <v/>
      </c>
      <c r="D299" s="417" t="str">
        <f>IF(DSDV!W304&lt;&gt;"",DSDV!W304,"")</f>
        <v/>
      </c>
    </row>
    <row r="300" spans="1:4">
      <c r="A300" t="str">
        <f>IF(DSDV!B305&lt;&gt;"",DSDV!B305,"")</f>
        <v/>
      </c>
      <c r="B300" t="str">
        <f>IF(DSDV!G305&lt;&gt;"",DSDV!G305,"")</f>
        <v/>
      </c>
      <c r="C300" s="237" t="str">
        <f>IF(DSDV!K305&lt;&gt;"",DSDV!K305,"")</f>
        <v/>
      </c>
      <c r="D300" s="417" t="str">
        <f>IF(DSDV!W305&lt;&gt;"",DSDV!W305,"")</f>
        <v/>
      </c>
    </row>
    <row r="301" spans="1:4">
      <c r="A301" t="str">
        <f>IF(DSDV!B306&lt;&gt;"",DSDV!B306,"")</f>
        <v/>
      </c>
      <c r="B301" t="str">
        <f>IF(DSDV!G306&lt;&gt;"",DSDV!G306,"")</f>
        <v/>
      </c>
      <c r="C301" s="237" t="str">
        <f>IF(DSDV!K306&lt;&gt;"",DSDV!K306,"")</f>
        <v/>
      </c>
      <c r="D301" s="417" t="str">
        <f>IF(DSDV!W306&lt;&gt;"",DSDV!W306,"")</f>
        <v/>
      </c>
    </row>
    <row r="302" spans="1:4">
      <c r="A302" t="str">
        <f>IF(DSDV!B307&lt;&gt;"",DSDV!B307,"")</f>
        <v/>
      </c>
      <c r="B302" t="str">
        <f>IF(DSDV!G307&lt;&gt;"",DSDV!G307,"")</f>
        <v/>
      </c>
      <c r="C302" s="237" t="str">
        <f>IF(DSDV!K307&lt;&gt;"",DSDV!K307,"")</f>
        <v/>
      </c>
      <c r="D302" s="417" t="str">
        <f>IF(DSDV!W307&lt;&gt;"",DSDV!W307,"")</f>
        <v/>
      </c>
    </row>
    <row r="303" spans="1:4">
      <c r="A303" t="str">
        <f>IF(DSDV!B308&lt;&gt;"",DSDV!B308,"")</f>
        <v/>
      </c>
      <c r="B303" t="str">
        <f>IF(DSDV!G308&lt;&gt;"",DSDV!G308,"")</f>
        <v/>
      </c>
      <c r="C303" s="237" t="str">
        <f>IF(DSDV!K308&lt;&gt;"",DSDV!K308,"")</f>
        <v/>
      </c>
      <c r="D303" s="417" t="str">
        <f>IF(DSDV!W308&lt;&gt;"",DSDV!W308,"")</f>
        <v/>
      </c>
    </row>
    <row r="304" spans="1:4">
      <c r="A304" t="str">
        <f>IF(DSDV!B309&lt;&gt;"",DSDV!B309,"")</f>
        <v/>
      </c>
      <c r="B304" t="str">
        <f>IF(DSDV!G309&lt;&gt;"",DSDV!G309,"")</f>
        <v/>
      </c>
      <c r="C304" s="237" t="str">
        <f>IF(DSDV!K309&lt;&gt;"",DSDV!K309,"")</f>
        <v/>
      </c>
      <c r="D304" s="417" t="str">
        <f>IF(DSDV!W309&lt;&gt;"",DSDV!W309,"")</f>
        <v/>
      </c>
    </row>
    <row r="305" spans="1:4">
      <c r="A305" t="str">
        <f>IF(DSDV!B310&lt;&gt;"",DSDV!B310,"")</f>
        <v/>
      </c>
      <c r="B305" t="str">
        <f>IF(DSDV!G310&lt;&gt;"",DSDV!G310,"")</f>
        <v/>
      </c>
      <c r="C305" s="237" t="str">
        <f>IF(DSDV!K310&lt;&gt;"",DSDV!K310,"")</f>
        <v/>
      </c>
      <c r="D305" s="417" t="str">
        <f>IF(DSDV!W310&lt;&gt;"",DSDV!W310,"")</f>
        <v/>
      </c>
    </row>
    <row r="306" spans="1:4">
      <c r="A306" t="str">
        <f>IF(DSDV!B311&lt;&gt;"",DSDV!B311,"")</f>
        <v/>
      </c>
      <c r="B306" t="str">
        <f>IF(DSDV!G311&lt;&gt;"",DSDV!G311,"")</f>
        <v/>
      </c>
      <c r="C306" s="237" t="str">
        <f>IF(DSDV!K311&lt;&gt;"",DSDV!K311,"")</f>
        <v/>
      </c>
      <c r="D306" s="417" t="str">
        <f>IF(DSDV!W311&lt;&gt;"",DSDV!W311,"")</f>
        <v/>
      </c>
    </row>
    <row r="307" spans="1:4">
      <c r="A307" t="str">
        <f>IF(DSDV!B312&lt;&gt;"",DSDV!B312,"")</f>
        <v/>
      </c>
      <c r="B307" t="str">
        <f>IF(DSDV!G312&lt;&gt;"",DSDV!G312,"")</f>
        <v/>
      </c>
      <c r="C307" s="237" t="str">
        <f>IF(DSDV!K312&lt;&gt;"",DSDV!K312,"")</f>
        <v/>
      </c>
      <c r="D307" s="417" t="str">
        <f>IF(DSDV!W312&lt;&gt;"",DSDV!W312,"")</f>
        <v/>
      </c>
    </row>
    <row r="308" spans="1:4">
      <c r="A308" t="str">
        <f>IF(DSDV!B313&lt;&gt;"",DSDV!B313,"")</f>
        <v/>
      </c>
      <c r="B308" t="str">
        <f>IF(DSDV!G313&lt;&gt;"",DSDV!G313,"")</f>
        <v/>
      </c>
      <c r="C308" s="237" t="str">
        <f>IF(DSDV!K313&lt;&gt;"",DSDV!K313,"")</f>
        <v/>
      </c>
      <c r="D308" s="417" t="str">
        <f>IF(DSDV!W313&lt;&gt;"",DSDV!W313,"")</f>
        <v/>
      </c>
    </row>
    <row r="309" spans="1:4">
      <c r="A309" t="str">
        <f>IF(DSDV!B314&lt;&gt;"",DSDV!B314,"")</f>
        <v/>
      </c>
      <c r="B309" t="str">
        <f>IF(DSDV!G314&lt;&gt;"",DSDV!G314,"")</f>
        <v/>
      </c>
      <c r="C309" s="237" t="str">
        <f>IF(DSDV!K314&lt;&gt;"",DSDV!K314,"")</f>
        <v/>
      </c>
      <c r="D309" s="417" t="str">
        <f>IF(DSDV!W314&lt;&gt;"",DSDV!W314,"")</f>
        <v/>
      </c>
    </row>
    <row r="310" spans="1:4">
      <c r="A310" t="str">
        <f>IF(DSDV!B315&lt;&gt;"",DSDV!B315,"")</f>
        <v/>
      </c>
      <c r="B310" t="str">
        <f>IF(DSDV!G315&lt;&gt;"",DSDV!G315,"")</f>
        <v/>
      </c>
      <c r="C310" s="237" t="str">
        <f>IF(DSDV!K315&lt;&gt;"",DSDV!K315,"")</f>
        <v/>
      </c>
      <c r="D310" s="417" t="str">
        <f>IF(DSDV!W315&lt;&gt;"",DSDV!W315,"")</f>
        <v/>
      </c>
    </row>
    <row r="311" spans="1:4">
      <c r="A311" t="str">
        <f>IF(DSDV!B316&lt;&gt;"",DSDV!B316,"")</f>
        <v/>
      </c>
      <c r="B311" t="str">
        <f>IF(DSDV!G316&lt;&gt;"",DSDV!G316,"")</f>
        <v/>
      </c>
      <c r="C311" s="237" t="str">
        <f>IF(DSDV!K316&lt;&gt;"",DSDV!K316,"")</f>
        <v/>
      </c>
      <c r="D311" s="417" t="str">
        <f>IF(DSDV!W316&lt;&gt;"",DSDV!W316,"")</f>
        <v/>
      </c>
    </row>
    <row r="312" spans="1:4">
      <c r="A312" t="str">
        <f>IF(DSDV!B317&lt;&gt;"",DSDV!B317,"")</f>
        <v/>
      </c>
      <c r="B312" t="str">
        <f>IF(DSDV!G317&lt;&gt;"",DSDV!G317,"")</f>
        <v/>
      </c>
      <c r="C312" s="237" t="str">
        <f>IF(DSDV!K317&lt;&gt;"",DSDV!K317,"")</f>
        <v/>
      </c>
      <c r="D312" s="417" t="str">
        <f>IF(DSDV!W317&lt;&gt;"",DSDV!W317,"")</f>
        <v/>
      </c>
    </row>
    <row r="313" spans="1:4">
      <c r="A313" t="str">
        <f>IF(DSDV!B318&lt;&gt;"",DSDV!B318,"")</f>
        <v/>
      </c>
      <c r="B313" t="str">
        <f>IF(DSDV!G318&lt;&gt;"",DSDV!G318,"")</f>
        <v/>
      </c>
      <c r="C313" s="237" t="str">
        <f>IF(DSDV!K318&lt;&gt;"",DSDV!K318,"")</f>
        <v/>
      </c>
      <c r="D313" s="417" t="str">
        <f>IF(DSDV!W318&lt;&gt;"",DSDV!W318,"")</f>
        <v/>
      </c>
    </row>
    <row r="314" spans="1:4">
      <c r="A314" t="str">
        <f>IF(DSDV!B319&lt;&gt;"",DSDV!B319,"")</f>
        <v/>
      </c>
      <c r="B314" t="str">
        <f>IF(DSDV!G319&lt;&gt;"",DSDV!G319,"")</f>
        <v/>
      </c>
      <c r="C314" s="237" t="str">
        <f>IF(DSDV!K319&lt;&gt;"",DSDV!K319,"")</f>
        <v/>
      </c>
      <c r="D314" s="417" t="str">
        <f>IF(DSDV!W319&lt;&gt;"",DSDV!W319,"")</f>
        <v/>
      </c>
    </row>
    <row r="315" spans="1:4">
      <c r="A315" t="str">
        <f>IF(DSDV!B320&lt;&gt;"",DSDV!B320,"")</f>
        <v/>
      </c>
      <c r="B315" t="str">
        <f>IF(DSDV!G320&lt;&gt;"",DSDV!G320,"")</f>
        <v/>
      </c>
      <c r="C315" s="237" t="str">
        <f>IF(DSDV!K320&lt;&gt;"",DSDV!K320,"")</f>
        <v/>
      </c>
      <c r="D315" s="417" t="str">
        <f>IF(DSDV!W320&lt;&gt;"",DSDV!W320,"")</f>
        <v/>
      </c>
    </row>
    <row r="316" spans="1:4">
      <c r="A316" t="str">
        <f>IF(DSDV!B321&lt;&gt;"",DSDV!B321,"")</f>
        <v/>
      </c>
      <c r="B316" t="str">
        <f>IF(DSDV!G321&lt;&gt;"",DSDV!G321,"")</f>
        <v/>
      </c>
      <c r="C316" s="237" t="str">
        <f>IF(DSDV!K321&lt;&gt;"",DSDV!K321,"")</f>
        <v/>
      </c>
      <c r="D316" s="417" t="str">
        <f>IF(DSDV!W321&lt;&gt;"",DSDV!W321,"")</f>
        <v/>
      </c>
    </row>
    <row r="317" spans="1:4">
      <c r="A317" t="str">
        <f>IF(DSDV!B322&lt;&gt;"",DSDV!B322,"")</f>
        <v/>
      </c>
      <c r="B317" t="str">
        <f>IF(DSDV!G322&lt;&gt;"",DSDV!G322,"")</f>
        <v/>
      </c>
      <c r="C317" s="237" t="str">
        <f>IF(DSDV!K322&lt;&gt;"",DSDV!K322,"")</f>
        <v/>
      </c>
      <c r="D317" s="417" t="str">
        <f>IF(DSDV!W322&lt;&gt;"",DSDV!W322,"")</f>
        <v/>
      </c>
    </row>
    <row r="318" spans="1:4">
      <c r="A318" t="str">
        <f>IF(DSDV!B323&lt;&gt;"",DSDV!B323,"")</f>
        <v/>
      </c>
      <c r="B318" t="str">
        <f>IF(DSDV!G323&lt;&gt;"",DSDV!G323,"")</f>
        <v/>
      </c>
      <c r="C318" s="237" t="str">
        <f>IF(DSDV!K323&lt;&gt;"",DSDV!K323,"")</f>
        <v/>
      </c>
      <c r="D318" s="417" t="str">
        <f>IF(DSDV!W323&lt;&gt;"",DSDV!W323,"")</f>
        <v/>
      </c>
    </row>
    <row r="319" spans="1:4">
      <c r="A319" t="str">
        <f>IF(DSDV!B324&lt;&gt;"",DSDV!B324,"")</f>
        <v/>
      </c>
      <c r="B319" t="str">
        <f>IF(DSDV!G324&lt;&gt;"",DSDV!G324,"")</f>
        <v/>
      </c>
      <c r="C319" s="237" t="str">
        <f>IF(DSDV!K324&lt;&gt;"",DSDV!K324,"")</f>
        <v/>
      </c>
      <c r="D319" s="417" t="str">
        <f>IF(DSDV!W324&lt;&gt;"",DSDV!W324,"")</f>
        <v/>
      </c>
    </row>
    <row r="320" spans="1:4">
      <c r="A320" t="str">
        <f>IF(DSDV!B325&lt;&gt;"",DSDV!B325,"")</f>
        <v/>
      </c>
      <c r="B320" t="str">
        <f>IF(DSDV!G325&lt;&gt;"",DSDV!G325,"")</f>
        <v/>
      </c>
      <c r="C320" s="237" t="str">
        <f>IF(DSDV!K325&lt;&gt;"",DSDV!K325,"")</f>
        <v/>
      </c>
      <c r="D320" s="417" t="str">
        <f>IF(DSDV!W325&lt;&gt;"",DSDV!W325,"")</f>
        <v/>
      </c>
    </row>
    <row r="321" spans="1:4">
      <c r="A321" t="str">
        <f>IF(DSDV!B326&lt;&gt;"",DSDV!B326,"")</f>
        <v/>
      </c>
      <c r="B321" t="str">
        <f>IF(DSDV!G326&lt;&gt;"",DSDV!G326,"")</f>
        <v/>
      </c>
      <c r="C321" s="237" t="str">
        <f>IF(DSDV!K326&lt;&gt;"",DSDV!K326,"")</f>
        <v/>
      </c>
      <c r="D321" s="417" t="str">
        <f>IF(DSDV!W326&lt;&gt;"",DSDV!W326,"")</f>
        <v/>
      </c>
    </row>
    <row r="322" spans="1:4">
      <c r="A322" t="str">
        <f>IF(DSDV!B327&lt;&gt;"",DSDV!B327,"")</f>
        <v/>
      </c>
      <c r="B322" t="str">
        <f>IF(DSDV!G327&lt;&gt;"",DSDV!G327,"")</f>
        <v/>
      </c>
      <c r="C322" s="237" t="str">
        <f>IF(DSDV!K327&lt;&gt;"",DSDV!K327,"")</f>
        <v/>
      </c>
      <c r="D322" s="417" t="str">
        <f>IF(DSDV!W327&lt;&gt;"",DSDV!W327,"")</f>
        <v/>
      </c>
    </row>
    <row r="323" spans="1:4">
      <c r="A323" t="str">
        <f>IF(DSDV!B328&lt;&gt;"",DSDV!B328,"")</f>
        <v/>
      </c>
      <c r="B323" t="str">
        <f>IF(DSDV!G328&lt;&gt;"",DSDV!G328,"")</f>
        <v/>
      </c>
      <c r="C323" s="237" t="str">
        <f>IF(DSDV!K328&lt;&gt;"",DSDV!K328,"")</f>
        <v/>
      </c>
      <c r="D323" s="417" t="str">
        <f>IF(DSDV!W328&lt;&gt;"",DSDV!W328,"")</f>
        <v/>
      </c>
    </row>
    <row r="324" spans="1:4">
      <c r="A324" t="str">
        <f>IF(DSDV!B329&lt;&gt;"",DSDV!B329,"")</f>
        <v/>
      </c>
      <c r="B324" t="str">
        <f>IF(DSDV!G329&lt;&gt;"",DSDV!G329,"")</f>
        <v/>
      </c>
      <c r="C324" s="237" t="str">
        <f>IF(DSDV!K329&lt;&gt;"",DSDV!K329,"")</f>
        <v/>
      </c>
      <c r="D324" s="417" t="str">
        <f>IF(DSDV!W329&lt;&gt;"",DSDV!W329,"")</f>
        <v/>
      </c>
    </row>
    <row r="325" spans="1:4">
      <c r="A325" t="str">
        <f>IF(DSDV!B330&lt;&gt;"",DSDV!B330,"")</f>
        <v/>
      </c>
      <c r="B325" t="str">
        <f>IF(DSDV!G330&lt;&gt;"",DSDV!G330,"")</f>
        <v/>
      </c>
      <c r="C325" s="237" t="str">
        <f>IF(DSDV!K330&lt;&gt;"",DSDV!K330,"")</f>
        <v/>
      </c>
      <c r="D325" s="417" t="str">
        <f>IF(DSDV!W330&lt;&gt;"",DSDV!W330,"")</f>
        <v/>
      </c>
    </row>
    <row r="326" spans="1:4">
      <c r="A326" t="str">
        <f>IF(DSDV!B331&lt;&gt;"",DSDV!B331,"")</f>
        <v/>
      </c>
      <c r="B326" t="str">
        <f>IF(DSDV!G331&lt;&gt;"",DSDV!G331,"")</f>
        <v/>
      </c>
      <c r="C326" s="237" t="str">
        <f>IF(DSDV!K331&lt;&gt;"",DSDV!K331,"")</f>
        <v/>
      </c>
      <c r="D326" s="417" t="str">
        <f>IF(DSDV!W331&lt;&gt;"",DSDV!W331,"")</f>
        <v/>
      </c>
    </row>
    <row r="327" spans="1:4">
      <c r="A327" t="str">
        <f>IF(DSDV!B332&lt;&gt;"",DSDV!B332,"")</f>
        <v/>
      </c>
      <c r="B327" t="str">
        <f>IF(DSDV!G332&lt;&gt;"",DSDV!G332,"")</f>
        <v/>
      </c>
      <c r="C327" s="237" t="str">
        <f>IF(DSDV!K332&lt;&gt;"",DSDV!K332,"")</f>
        <v/>
      </c>
      <c r="D327" s="417" t="str">
        <f>IF(DSDV!W332&lt;&gt;"",DSDV!W332,"")</f>
        <v/>
      </c>
    </row>
    <row r="328" spans="1:4">
      <c r="A328" t="str">
        <f>IF(DSDV!B333&lt;&gt;"",DSDV!B333,"")</f>
        <v/>
      </c>
      <c r="B328" t="str">
        <f>IF(DSDV!G333&lt;&gt;"",DSDV!G333,"")</f>
        <v/>
      </c>
      <c r="C328" s="237" t="str">
        <f>IF(DSDV!K333&lt;&gt;"",DSDV!K333,"")</f>
        <v/>
      </c>
      <c r="D328" s="417" t="str">
        <f>IF(DSDV!W333&lt;&gt;"",DSDV!W333,"")</f>
        <v/>
      </c>
    </row>
    <row r="329" spans="1:4">
      <c r="A329" t="str">
        <f>IF(DSDV!B334&lt;&gt;"",DSDV!B334,"")</f>
        <v/>
      </c>
      <c r="B329" t="str">
        <f>IF(DSDV!G334&lt;&gt;"",DSDV!G334,"")</f>
        <v/>
      </c>
      <c r="C329" s="237" t="str">
        <f>IF(DSDV!K334&lt;&gt;"",DSDV!K334,"")</f>
        <v/>
      </c>
      <c r="D329" s="417" t="str">
        <f>IF(DSDV!W334&lt;&gt;"",DSDV!W334,"")</f>
        <v/>
      </c>
    </row>
    <row r="330" spans="1:4">
      <c r="A330" t="str">
        <f>IF(DSDV!B335&lt;&gt;"",DSDV!B335,"")</f>
        <v/>
      </c>
      <c r="B330" t="str">
        <f>IF(DSDV!G335&lt;&gt;"",DSDV!G335,"")</f>
        <v/>
      </c>
      <c r="C330" s="237" t="str">
        <f>IF(DSDV!K335&lt;&gt;"",DSDV!K335,"")</f>
        <v/>
      </c>
      <c r="D330" s="417" t="str">
        <f>IF(DSDV!W335&lt;&gt;"",DSDV!W335,"")</f>
        <v/>
      </c>
    </row>
    <row r="331" spans="1:4">
      <c r="A331" t="str">
        <f>IF(DSDV!B336&lt;&gt;"",DSDV!B336,"")</f>
        <v/>
      </c>
      <c r="B331" t="str">
        <f>IF(DSDV!G336&lt;&gt;"",DSDV!G336,"")</f>
        <v/>
      </c>
      <c r="C331" s="237" t="str">
        <f>IF(DSDV!K336&lt;&gt;"",DSDV!K336,"")</f>
        <v/>
      </c>
      <c r="D331" s="417" t="str">
        <f>IF(DSDV!W336&lt;&gt;"",DSDV!W336,"")</f>
        <v/>
      </c>
    </row>
    <row r="332" spans="1:4">
      <c r="A332" t="str">
        <f>IF(DSDV!B337&lt;&gt;"",DSDV!B337,"")</f>
        <v/>
      </c>
      <c r="B332" t="str">
        <f>IF(DSDV!G337&lt;&gt;"",DSDV!G337,"")</f>
        <v/>
      </c>
      <c r="C332" s="237" t="str">
        <f>IF(DSDV!K337&lt;&gt;"",DSDV!K337,"")</f>
        <v/>
      </c>
      <c r="D332" s="417" t="str">
        <f>IF(DSDV!W337&lt;&gt;"",DSDV!W337,"")</f>
        <v/>
      </c>
    </row>
    <row r="333" spans="1:4">
      <c r="A333" t="str">
        <f>IF(DSDV!B338&lt;&gt;"",DSDV!B338,"")</f>
        <v/>
      </c>
      <c r="B333" t="str">
        <f>IF(DSDV!G338&lt;&gt;"",DSDV!G338,"")</f>
        <v/>
      </c>
      <c r="C333" s="237" t="str">
        <f>IF(DSDV!K338&lt;&gt;"",DSDV!K338,"")</f>
        <v/>
      </c>
      <c r="D333" s="417" t="str">
        <f>IF(DSDV!W338&lt;&gt;"",DSDV!W338,"")</f>
        <v/>
      </c>
    </row>
    <row r="334" spans="1:4">
      <c r="A334" t="str">
        <f>IF(DSDV!B339&lt;&gt;"",DSDV!B339,"")</f>
        <v/>
      </c>
      <c r="B334" t="str">
        <f>IF(DSDV!G339&lt;&gt;"",DSDV!G339,"")</f>
        <v/>
      </c>
      <c r="C334" s="237" t="str">
        <f>IF(DSDV!K339&lt;&gt;"",DSDV!K339,"")</f>
        <v/>
      </c>
      <c r="D334" s="417" t="str">
        <f>IF(DSDV!W339&lt;&gt;"",DSDV!W339,"")</f>
        <v/>
      </c>
    </row>
    <row r="335" spans="1:4">
      <c r="A335" t="str">
        <f>IF(DSDV!B340&lt;&gt;"",DSDV!B340,"")</f>
        <v/>
      </c>
      <c r="B335" t="str">
        <f>IF(DSDV!G340&lt;&gt;"",DSDV!G340,"")</f>
        <v/>
      </c>
      <c r="C335" s="237" t="str">
        <f>IF(DSDV!K340&lt;&gt;"",DSDV!K340,"")</f>
        <v/>
      </c>
      <c r="D335" s="417" t="str">
        <f>IF(DSDV!W340&lt;&gt;"",DSDV!W340,"")</f>
        <v/>
      </c>
    </row>
    <row r="336" spans="1:4">
      <c r="A336" t="str">
        <f>IF(DSDV!B341&lt;&gt;"",DSDV!B341,"")</f>
        <v/>
      </c>
      <c r="B336" t="str">
        <f>IF(DSDV!G341&lt;&gt;"",DSDV!G341,"")</f>
        <v/>
      </c>
      <c r="C336" s="237" t="str">
        <f>IF(DSDV!K341&lt;&gt;"",DSDV!K341,"")</f>
        <v/>
      </c>
      <c r="D336" s="417" t="str">
        <f>IF(DSDV!W341&lt;&gt;"",DSDV!W341,"")</f>
        <v/>
      </c>
    </row>
    <row r="337" spans="1:4">
      <c r="A337" t="str">
        <f>IF(DSDV!B342&lt;&gt;"",DSDV!B342,"")</f>
        <v/>
      </c>
      <c r="B337" t="str">
        <f>IF(DSDV!G342&lt;&gt;"",DSDV!G342,"")</f>
        <v/>
      </c>
      <c r="C337" s="237" t="str">
        <f>IF(DSDV!K342&lt;&gt;"",DSDV!K342,"")</f>
        <v/>
      </c>
      <c r="D337" s="417" t="str">
        <f>IF(DSDV!W342&lt;&gt;"",DSDV!W342,"")</f>
        <v/>
      </c>
    </row>
    <row r="338" spans="1:4">
      <c r="A338" t="str">
        <f>IF(DSDV!B343&lt;&gt;"",DSDV!B343,"")</f>
        <v/>
      </c>
      <c r="B338" t="str">
        <f>IF(DSDV!G343&lt;&gt;"",DSDV!G343,"")</f>
        <v/>
      </c>
      <c r="C338" s="237" t="str">
        <f>IF(DSDV!K343&lt;&gt;"",DSDV!K343,"")</f>
        <v/>
      </c>
      <c r="D338" s="417" t="str">
        <f>IF(DSDV!W343&lt;&gt;"",DSDV!W343,"")</f>
        <v/>
      </c>
    </row>
    <row r="339" spans="1:4">
      <c r="A339" t="str">
        <f>IF(DSDV!B344&lt;&gt;"",DSDV!B344,"")</f>
        <v/>
      </c>
      <c r="B339" t="str">
        <f>IF(DSDV!G344&lt;&gt;"",DSDV!G344,"")</f>
        <v/>
      </c>
      <c r="C339" s="237" t="str">
        <f>IF(DSDV!K344&lt;&gt;"",DSDV!K344,"")</f>
        <v/>
      </c>
      <c r="D339" s="417" t="str">
        <f>IF(DSDV!W344&lt;&gt;"",DSDV!W344,"")</f>
        <v/>
      </c>
    </row>
    <row r="340" spans="1:4">
      <c r="A340" t="str">
        <f>IF(DSDV!B345&lt;&gt;"",DSDV!B345,"")</f>
        <v/>
      </c>
      <c r="B340" t="str">
        <f>IF(DSDV!G345&lt;&gt;"",DSDV!G345,"")</f>
        <v/>
      </c>
      <c r="C340" s="237" t="str">
        <f>IF(DSDV!K345&lt;&gt;"",DSDV!K345,"")</f>
        <v/>
      </c>
      <c r="D340" s="417" t="str">
        <f>IF(DSDV!W345&lt;&gt;"",DSDV!W345,"")</f>
        <v/>
      </c>
    </row>
    <row r="341" spans="1:4">
      <c r="A341" t="str">
        <f>IF(DSDV!B346&lt;&gt;"",DSDV!B346,"")</f>
        <v/>
      </c>
      <c r="B341" t="str">
        <f>IF(DSDV!G346&lt;&gt;"",DSDV!G346,"")</f>
        <v/>
      </c>
      <c r="C341" s="237" t="str">
        <f>IF(DSDV!K346&lt;&gt;"",DSDV!K346,"")</f>
        <v/>
      </c>
      <c r="D341" s="417" t="str">
        <f>IF(DSDV!W346&lt;&gt;"",DSDV!W346,"")</f>
        <v/>
      </c>
    </row>
    <row r="342" spans="1:4">
      <c r="A342" t="str">
        <f>IF(DSDV!B347&lt;&gt;"",DSDV!B347,"")</f>
        <v/>
      </c>
      <c r="B342" t="str">
        <f>IF(DSDV!G347&lt;&gt;"",DSDV!G347,"")</f>
        <v/>
      </c>
      <c r="C342" s="237" t="str">
        <f>IF(DSDV!K347&lt;&gt;"",DSDV!K347,"")</f>
        <v/>
      </c>
      <c r="D342" s="417" t="str">
        <f>IF(DSDV!W347&lt;&gt;"",DSDV!W347,"")</f>
        <v/>
      </c>
    </row>
    <row r="343" spans="1:4">
      <c r="A343" t="str">
        <f>IF(DSDV!B348&lt;&gt;"",DSDV!B348,"")</f>
        <v/>
      </c>
      <c r="B343" t="str">
        <f>IF(DSDV!G348&lt;&gt;"",DSDV!G348,"")</f>
        <v/>
      </c>
      <c r="C343" s="237" t="str">
        <f>IF(DSDV!K348&lt;&gt;"",DSDV!K348,"")</f>
        <v/>
      </c>
      <c r="D343" s="417" t="str">
        <f>IF(DSDV!W348&lt;&gt;"",DSDV!W348,"")</f>
        <v/>
      </c>
    </row>
    <row r="344" spans="1:4">
      <c r="A344" t="str">
        <f>IF(DSDV!B349&lt;&gt;"",DSDV!B349,"")</f>
        <v/>
      </c>
      <c r="B344" t="str">
        <f>IF(DSDV!G349&lt;&gt;"",DSDV!G349,"")</f>
        <v/>
      </c>
      <c r="C344" s="237" t="str">
        <f>IF(DSDV!K349&lt;&gt;"",DSDV!K349,"")</f>
        <v/>
      </c>
      <c r="D344" s="417" t="str">
        <f>IF(DSDV!W349&lt;&gt;"",DSDV!W349,"")</f>
        <v/>
      </c>
    </row>
    <row r="345" spans="1:4">
      <c r="A345" t="str">
        <f>IF(DSDV!B350&lt;&gt;"",DSDV!B350,"")</f>
        <v/>
      </c>
      <c r="B345" t="str">
        <f>IF(DSDV!G350&lt;&gt;"",DSDV!G350,"")</f>
        <v/>
      </c>
      <c r="C345" s="237" t="str">
        <f>IF(DSDV!K350&lt;&gt;"",DSDV!K350,"")</f>
        <v/>
      </c>
      <c r="D345" s="417" t="str">
        <f>IF(DSDV!W350&lt;&gt;"",DSDV!W350,"")</f>
        <v/>
      </c>
    </row>
    <row r="346" spans="1:4">
      <c r="A346" t="str">
        <f>IF(DSDV!B351&lt;&gt;"",DSDV!B351,"")</f>
        <v/>
      </c>
      <c r="B346" t="str">
        <f>IF(DSDV!G351&lt;&gt;"",DSDV!G351,"")</f>
        <v/>
      </c>
      <c r="C346" s="237" t="str">
        <f>IF(DSDV!K351&lt;&gt;"",DSDV!K351,"")</f>
        <v/>
      </c>
      <c r="D346" s="417" t="str">
        <f>IF(DSDV!W351&lt;&gt;"",DSDV!W351,"")</f>
        <v/>
      </c>
    </row>
    <row r="347" spans="1:4">
      <c r="A347" t="str">
        <f>IF(DSDV!B352&lt;&gt;"",DSDV!B352,"")</f>
        <v/>
      </c>
      <c r="B347" t="str">
        <f>IF(DSDV!G352&lt;&gt;"",DSDV!G352,"")</f>
        <v/>
      </c>
      <c r="C347" s="237" t="str">
        <f>IF(DSDV!K352&lt;&gt;"",DSDV!K352,"")</f>
        <v/>
      </c>
      <c r="D347" s="417" t="str">
        <f>IF(DSDV!W352&lt;&gt;"",DSDV!W352,"")</f>
        <v/>
      </c>
    </row>
    <row r="348" spans="1:4">
      <c r="A348" t="str">
        <f>IF(DSDV!B353&lt;&gt;"",DSDV!B353,"")</f>
        <v/>
      </c>
      <c r="B348" t="str">
        <f>IF(DSDV!G353&lt;&gt;"",DSDV!G353,"")</f>
        <v/>
      </c>
      <c r="C348" s="237" t="str">
        <f>IF(DSDV!K353&lt;&gt;"",DSDV!K353,"")</f>
        <v/>
      </c>
      <c r="D348" s="417" t="str">
        <f>IF(DSDV!W353&lt;&gt;"",DSDV!W353,"")</f>
        <v/>
      </c>
    </row>
    <row r="349" spans="1:4">
      <c r="A349" t="str">
        <f>IF(DSDV!B354&lt;&gt;"",DSDV!B354,"")</f>
        <v/>
      </c>
      <c r="B349" t="str">
        <f>IF(DSDV!G354&lt;&gt;"",DSDV!G354,"")</f>
        <v/>
      </c>
      <c r="C349" s="237" t="str">
        <f>IF(DSDV!K354&lt;&gt;"",DSDV!K354,"")</f>
        <v/>
      </c>
      <c r="D349" s="417" t="str">
        <f>IF(DSDV!W354&lt;&gt;"",DSDV!W354,"")</f>
        <v/>
      </c>
    </row>
    <row r="350" spans="1:4">
      <c r="A350" t="str">
        <f>IF(DSDV!B355&lt;&gt;"",DSDV!B355,"")</f>
        <v/>
      </c>
      <c r="B350" t="str">
        <f>IF(DSDV!G355&lt;&gt;"",DSDV!G355,"")</f>
        <v/>
      </c>
      <c r="C350" s="237" t="str">
        <f>IF(DSDV!K355&lt;&gt;"",DSDV!K355,"")</f>
        <v/>
      </c>
      <c r="D350" s="417" t="str">
        <f>IF(DSDV!W355&lt;&gt;"",DSDV!W355,"")</f>
        <v/>
      </c>
    </row>
    <row r="351" spans="1:4">
      <c r="A351" t="str">
        <f>IF(DSDV!B356&lt;&gt;"",DSDV!B356,"")</f>
        <v/>
      </c>
      <c r="B351" t="str">
        <f>IF(DSDV!G356&lt;&gt;"",DSDV!G356,"")</f>
        <v/>
      </c>
      <c r="C351" s="237" t="str">
        <f>IF(DSDV!K356&lt;&gt;"",DSDV!K356,"")</f>
        <v/>
      </c>
      <c r="D351" s="417" t="str">
        <f>IF(DSDV!W356&lt;&gt;"",DSDV!W356,"")</f>
        <v/>
      </c>
    </row>
    <row r="352" spans="1:4">
      <c r="A352" t="str">
        <f>IF(DSDV!B357&lt;&gt;"",DSDV!B357,"")</f>
        <v/>
      </c>
      <c r="B352" t="str">
        <f>IF(DSDV!G357&lt;&gt;"",DSDV!G357,"")</f>
        <v/>
      </c>
      <c r="C352" s="237" t="str">
        <f>IF(DSDV!K357&lt;&gt;"",DSDV!K357,"")</f>
        <v/>
      </c>
      <c r="D352" s="417" t="str">
        <f>IF(DSDV!W357&lt;&gt;"",DSDV!W357,"")</f>
        <v/>
      </c>
    </row>
    <row r="353" spans="1:4">
      <c r="A353" t="str">
        <f>IF(DSDV!B358&lt;&gt;"",DSDV!B358,"")</f>
        <v/>
      </c>
      <c r="B353" t="str">
        <f>IF(DSDV!G358&lt;&gt;"",DSDV!G358,"")</f>
        <v/>
      </c>
      <c r="C353" s="237" t="str">
        <f>IF(DSDV!K358&lt;&gt;"",DSDV!K358,"")</f>
        <v/>
      </c>
      <c r="D353" s="417" t="str">
        <f>IF(DSDV!W358&lt;&gt;"",DSDV!W358,"")</f>
        <v/>
      </c>
    </row>
    <row r="354" spans="1:4">
      <c r="A354" t="str">
        <f>IF(DSDV!B359&lt;&gt;"",DSDV!B359,"")</f>
        <v/>
      </c>
      <c r="B354" t="str">
        <f>IF(DSDV!G359&lt;&gt;"",DSDV!G359,"")</f>
        <v/>
      </c>
      <c r="C354" s="237" t="str">
        <f>IF(DSDV!K359&lt;&gt;"",DSDV!K359,"")</f>
        <v/>
      </c>
      <c r="D354" s="417" t="str">
        <f>IF(DSDV!W359&lt;&gt;"",DSDV!W359,"")</f>
        <v/>
      </c>
    </row>
    <row r="355" spans="1:4">
      <c r="A355" t="str">
        <f>IF(DSDV!B360&lt;&gt;"",DSDV!B360,"")</f>
        <v/>
      </c>
      <c r="B355" t="str">
        <f>IF(DSDV!G360&lt;&gt;"",DSDV!G360,"")</f>
        <v/>
      </c>
      <c r="C355" s="237" t="str">
        <f>IF(DSDV!K360&lt;&gt;"",DSDV!K360,"")</f>
        <v/>
      </c>
      <c r="D355" s="417" t="str">
        <f>IF(DSDV!W360&lt;&gt;"",DSDV!W360,"")</f>
        <v/>
      </c>
    </row>
    <row r="356" spans="1:4">
      <c r="A356" t="str">
        <f>IF(DSDV!B361&lt;&gt;"",DSDV!B361,"")</f>
        <v/>
      </c>
      <c r="B356" t="str">
        <f>IF(DSDV!G361&lt;&gt;"",DSDV!G361,"")</f>
        <v/>
      </c>
      <c r="C356" s="237" t="str">
        <f>IF(DSDV!K361&lt;&gt;"",DSDV!K361,"")</f>
        <v/>
      </c>
      <c r="D356" s="417" t="str">
        <f>IF(DSDV!W361&lt;&gt;"",DSDV!W361,"")</f>
        <v/>
      </c>
    </row>
    <row r="357" spans="1:4">
      <c r="A357" t="str">
        <f>IF(DSDV!B362&lt;&gt;"",DSDV!B362,"")</f>
        <v/>
      </c>
      <c r="B357" t="str">
        <f>IF(DSDV!G362&lt;&gt;"",DSDV!G362,"")</f>
        <v/>
      </c>
      <c r="C357" s="237" t="str">
        <f>IF(DSDV!K362&lt;&gt;"",DSDV!K362,"")</f>
        <v/>
      </c>
      <c r="D357" s="417" t="str">
        <f>IF(DSDV!W362&lt;&gt;"",DSDV!W362,"")</f>
        <v/>
      </c>
    </row>
    <row r="358" spans="1:4">
      <c r="A358" t="str">
        <f>IF(DSDV!B363&lt;&gt;"",DSDV!B363,"")</f>
        <v/>
      </c>
      <c r="B358" t="str">
        <f>IF(DSDV!G363&lt;&gt;"",DSDV!G363,"")</f>
        <v/>
      </c>
      <c r="C358" s="237" t="str">
        <f>IF(DSDV!K363&lt;&gt;"",DSDV!K363,"")</f>
        <v/>
      </c>
      <c r="D358" s="417" t="str">
        <f>IF(DSDV!W363&lt;&gt;"",DSDV!W363,"")</f>
        <v/>
      </c>
    </row>
    <row r="359" spans="1:4">
      <c r="A359" t="str">
        <f>IF(DSDV!B364&lt;&gt;"",DSDV!B364,"")</f>
        <v/>
      </c>
      <c r="B359" t="str">
        <f>IF(DSDV!G364&lt;&gt;"",DSDV!G364,"")</f>
        <v/>
      </c>
      <c r="C359" s="237" t="str">
        <f>IF(DSDV!K364&lt;&gt;"",DSDV!K364,"")</f>
        <v/>
      </c>
      <c r="D359" s="417" t="str">
        <f>IF(DSDV!W364&lt;&gt;"",DSDV!W364,"")</f>
        <v/>
      </c>
    </row>
    <row r="360" spans="1:4">
      <c r="A360" t="str">
        <f>IF(DSDV!B365&lt;&gt;"",DSDV!B365,"")</f>
        <v/>
      </c>
      <c r="B360" t="str">
        <f>IF(DSDV!G365&lt;&gt;"",DSDV!G365,"")</f>
        <v/>
      </c>
      <c r="C360" s="237" t="str">
        <f>IF(DSDV!K365&lt;&gt;"",DSDV!K365,"")</f>
        <v/>
      </c>
      <c r="D360" s="417" t="str">
        <f>IF(DSDV!W365&lt;&gt;"",DSDV!W365,"")</f>
        <v/>
      </c>
    </row>
    <row r="361" spans="1:4">
      <c r="A361" t="str">
        <f>IF(DSDV!B366&lt;&gt;"",DSDV!B366,"")</f>
        <v/>
      </c>
      <c r="B361" t="str">
        <f>IF(DSDV!G366&lt;&gt;"",DSDV!G366,"")</f>
        <v/>
      </c>
      <c r="C361" s="237" t="str">
        <f>IF(DSDV!K366&lt;&gt;"",DSDV!K366,"")</f>
        <v/>
      </c>
      <c r="D361" s="417" t="str">
        <f>IF(DSDV!W366&lt;&gt;"",DSDV!W366,"")</f>
        <v/>
      </c>
    </row>
    <row r="362" spans="1:4">
      <c r="A362" t="str">
        <f>IF(DSDV!B367&lt;&gt;"",DSDV!B367,"")</f>
        <v/>
      </c>
      <c r="B362" t="str">
        <f>IF(DSDV!G367&lt;&gt;"",DSDV!G367,"")</f>
        <v/>
      </c>
      <c r="C362" s="237" t="str">
        <f>IF(DSDV!K367&lt;&gt;"",DSDV!K367,"")</f>
        <v/>
      </c>
      <c r="D362" s="417" t="str">
        <f>IF(DSDV!W367&lt;&gt;"",DSDV!W367,"")</f>
        <v/>
      </c>
    </row>
    <row r="363" spans="1:4">
      <c r="A363" t="str">
        <f>IF(DSDV!B368&lt;&gt;"",DSDV!B368,"")</f>
        <v/>
      </c>
      <c r="B363" t="str">
        <f>IF(DSDV!G368&lt;&gt;"",DSDV!G368,"")</f>
        <v/>
      </c>
      <c r="C363" s="237" t="str">
        <f>IF(DSDV!K368&lt;&gt;"",DSDV!K368,"")</f>
        <v/>
      </c>
      <c r="D363" s="417" t="str">
        <f>IF(DSDV!W368&lt;&gt;"",DSDV!W368,"")</f>
        <v/>
      </c>
    </row>
    <row r="364" spans="1:4">
      <c r="A364" t="str">
        <f>IF(DSDV!B369&lt;&gt;"",DSDV!B369,"")</f>
        <v/>
      </c>
      <c r="B364" t="str">
        <f>IF(DSDV!G369&lt;&gt;"",DSDV!G369,"")</f>
        <v/>
      </c>
      <c r="C364" s="237" t="str">
        <f>IF(DSDV!K369&lt;&gt;"",DSDV!K369,"")</f>
        <v/>
      </c>
      <c r="D364" s="417" t="str">
        <f>IF(DSDV!W369&lt;&gt;"",DSDV!W369,"")</f>
        <v/>
      </c>
    </row>
    <row r="365" spans="1:4">
      <c r="A365" t="str">
        <f>IF(DSDV!B370&lt;&gt;"",DSDV!B370,"")</f>
        <v/>
      </c>
      <c r="B365" t="str">
        <f>IF(DSDV!G370&lt;&gt;"",DSDV!G370,"")</f>
        <v/>
      </c>
      <c r="C365" s="237" t="str">
        <f>IF(DSDV!K370&lt;&gt;"",DSDV!K370,"")</f>
        <v/>
      </c>
      <c r="D365" s="417" t="str">
        <f>IF(DSDV!W370&lt;&gt;"",DSDV!W370,"")</f>
        <v/>
      </c>
    </row>
    <row r="366" spans="1:4">
      <c r="A366" t="str">
        <f>IF(DSDV!B371&lt;&gt;"",DSDV!B371,"")</f>
        <v/>
      </c>
      <c r="B366" t="str">
        <f>IF(DSDV!G371&lt;&gt;"",DSDV!G371,"")</f>
        <v/>
      </c>
      <c r="C366" s="237" t="str">
        <f>IF(DSDV!K371&lt;&gt;"",DSDV!K371,"")</f>
        <v/>
      </c>
      <c r="D366" s="417" t="str">
        <f>IF(DSDV!W371&lt;&gt;"",DSDV!W371,"")</f>
        <v/>
      </c>
    </row>
    <row r="367" spans="1:4">
      <c r="A367" t="str">
        <f>IF(DSDV!B372&lt;&gt;"",DSDV!B372,"")</f>
        <v/>
      </c>
      <c r="B367" t="str">
        <f>IF(DSDV!G372&lt;&gt;"",DSDV!G372,"")</f>
        <v/>
      </c>
      <c r="C367" s="237" t="str">
        <f>IF(DSDV!K372&lt;&gt;"",DSDV!K372,"")</f>
        <v/>
      </c>
      <c r="D367" s="417" t="str">
        <f>IF(DSDV!W372&lt;&gt;"",DSDV!W372,"")</f>
        <v/>
      </c>
    </row>
    <row r="368" spans="1:4">
      <c r="A368" t="str">
        <f>IF(DSDV!B373&lt;&gt;"",DSDV!B373,"")</f>
        <v/>
      </c>
      <c r="B368" t="str">
        <f>IF(DSDV!G373&lt;&gt;"",DSDV!G373,"")</f>
        <v/>
      </c>
      <c r="C368" s="237" t="str">
        <f>IF(DSDV!K373&lt;&gt;"",DSDV!K373,"")</f>
        <v/>
      </c>
      <c r="D368" s="417" t="str">
        <f>IF(DSDV!W373&lt;&gt;"",DSDV!W373,"")</f>
        <v/>
      </c>
    </row>
    <row r="369" spans="1:4">
      <c r="A369" t="str">
        <f>IF(DSDV!B374&lt;&gt;"",DSDV!B374,"")</f>
        <v/>
      </c>
      <c r="B369" t="str">
        <f>IF(DSDV!G374&lt;&gt;"",DSDV!G374,"")</f>
        <v/>
      </c>
      <c r="C369" s="237" t="str">
        <f>IF(DSDV!K374&lt;&gt;"",DSDV!K374,"")</f>
        <v/>
      </c>
      <c r="D369" s="417" t="str">
        <f>IF(DSDV!W374&lt;&gt;"",DSDV!W374,"")</f>
        <v/>
      </c>
    </row>
    <row r="370" spans="1:4">
      <c r="A370" t="str">
        <f>IF(DSDV!B375&lt;&gt;"",DSDV!B375,"")</f>
        <v/>
      </c>
      <c r="B370" t="str">
        <f>IF(DSDV!G375&lt;&gt;"",DSDV!G375,"")</f>
        <v/>
      </c>
      <c r="C370" s="237" t="str">
        <f>IF(DSDV!K375&lt;&gt;"",DSDV!K375,"")</f>
        <v/>
      </c>
      <c r="D370" s="417" t="str">
        <f>IF(DSDV!W375&lt;&gt;"",DSDV!W375,"")</f>
        <v/>
      </c>
    </row>
    <row r="371" spans="1:4">
      <c r="A371" t="str">
        <f>IF(DSDV!B376&lt;&gt;"",DSDV!B376,"")</f>
        <v/>
      </c>
      <c r="B371" t="str">
        <f>IF(DSDV!G376&lt;&gt;"",DSDV!G376,"")</f>
        <v/>
      </c>
      <c r="C371" s="237" t="str">
        <f>IF(DSDV!K376&lt;&gt;"",DSDV!K376,"")</f>
        <v/>
      </c>
      <c r="D371" s="417" t="str">
        <f>IF(DSDV!W376&lt;&gt;"",DSDV!W376,"")</f>
        <v/>
      </c>
    </row>
    <row r="372" spans="1:4">
      <c r="A372" t="str">
        <f>IF(DSDV!B377&lt;&gt;"",DSDV!B377,"")</f>
        <v/>
      </c>
      <c r="B372" t="str">
        <f>IF(DSDV!G377&lt;&gt;"",DSDV!G377,"")</f>
        <v/>
      </c>
      <c r="C372" s="237" t="str">
        <f>IF(DSDV!K377&lt;&gt;"",DSDV!K377,"")</f>
        <v/>
      </c>
      <c r="D372" s="417" t="str">
        <f>IF(DSDV!W377&lt;&gt;"",DSDV!W377,"")</f>
        <v/>
      </c>
    </row>
    <row r="373" spans="1:4">
      <c r="A373" t="str">
        <f>IF(DSDV!B378&lt;&gt;"",DSDV!B378,"")</f>
        <v/>
      </c>
      <c r="B373" t="str">
        <f>IF(DSDV!G378&lt;&gt;"",DSDV!G378,"")</f>
        <v/>
      </c>
      <c r="C373" s="237" t="str">
        <f>IF(DSDV!K378&lt;&gt;"",DSDV!K378,"")</f>
        <v/>
      </c>
      <c r="D373" s="417" t="str">
        <f>IF(DSDV!W378&lt;&gt;"",DSDV!W378,"")</f>
        <v/>
      </c>
    </row>
    <row r="374" spans="1:4">
      <c r="A374" t="str">
        <f>IF(DSDV!B379&lt;&gt;"",DSDV!B379,"")</f>
        <v/>
      </c>
      <c r="B374" t="str">
        <f>IF(DSDV!G379&lt;&gt;"",DSDV!G379,"")</f>
        <v/>
      </c>
      <c r="C374" s="237" t="str">
        <f>IF(DSDV!K379&lt;&gt;"",DSDV!K379,"")</f>
        <v/>
      </c>
      <c r="D374" s="417" t="str">
        <f>IF(DSDV!W379&lt;&gt;"",DSDV!W379,"")</f>
        <v/>
      </c>
    </row>
    <row r="375" spans="1:4">
      <c r="A375" t="str">
        <f>IF(DSDV!B380&lt;&gt;"",DSDV!B380,"")</f>
        <v/>
      </c>
      <c r="B375" t="str">
        <f>IF(DSDV!G380&lt;&gt;"",DSDV!G380,"")</f>
        <v/>
      </c>
      <c r="C375" s="237" t="str">
        <f>IF(DSDV!K380&lt;&gt;"",DSDV!K380,"")</f>
        <v/>
      </c>
      <c r="D375" s="417" t="str">
        <f>IF(DSDV!W380&lt;&gt;"",DSDV!W380,"")</f>
        <v/>
      </c>
    </row>
    <row r="376" spans="1:4">
      <c r="A376" t="str">
        <f>IF(DSDV!B381&lt;&gt;"",DSDV!B381,"")</f>
        <v/>
      </c>
      <c r="B376" t="str">
        <f>IF(DSDV!G381&lt;&gt;"",DSDV!G381,"")</f>
        <v/>
      </c>
      <c r="C376" s="237" t="str">
        <f>IF(DSDV!K381&lt;&gt;"",DSDV!K381,"")</f>
        <v/>
      </c>
      <c r="D376" s="417" t="str">
        <f>IF(DSDV!W381&lt;&gt;"",DSDV!W381,"")</f>
        <v/>
      </c>
    </row>
    <row r="377" spans="1:4">
      <c r="A377" t="str">
        <f>IF(DSDV!B382&lt;&gt;"",DSDV!B382,"")</f>
        <v/>
      </c>
      <c r="B377" t="str">
        <f>IF(DSDV!G382&lt;&gt;"",DSDV!G382,"")</f>
        <v/>
      </c>
      <c r="C377" s="237" t="str">
        <f>IF(DSDV!K382&lt;&gt;"",DSDV!K382,"")</f>
        <v/>
      </c>
      <c r="D377" s="417" t="str">
        <f>IF(DSDV!W382&lt;&gt;"",DSDV!W382,"")</f>
        <v/>
      </c>
    </row>
    <row r="378" spans="1:4">
      <c r="A378" t="str">
        <f>IF(DSDV!B383&lt;&gt;"",DSDV!B383,"")</f>
        <v/>
      </c>
      <c r="B378" t="str">
        <f>IF(DSDV!G383&lt;&gt;"",DSDV!G383,"")</f>
        <v/>
      </c>
      <c r="C378" s="237" t="str">
        <f>IF(DSDV!K383&lt;&gt;"",DSDV!K383,"")</f>
        <v/>
      </c>
      <c r="D378" s="417" t="str">
        <f>IF(DSDV!W383&lt;&gt;"",DSDV!W383,"")</f>
        <v/>
      </c>
    </row>
    <row r="379" spans="1:4">
      <c r="A379" t="str">
        <f>IF(DSDV!B384&lt;&gt;"",DSDV!B384,"")</f>
        <v/>
      </c>
      <c r="B379" t="str">
        <f>IF(DSDV!G384&lt;&gt;"",DSDV!G384,"")</f>
        <v/>
      </c>
      <c r="C379" s="237" t="str">
        <f>IF(DSDV!K384&lt;&gt;"",DSDV!K384,"")</f>
        <v/>
      </c>
      <c r="D379" s="417" t="str">
        <f>IF(DSDV!W384&lt;&gt;"",DSDV!W384,"")</f>
        <v/>
      </c>
    </row>
    <row r="380" spans="1:4">
      <c r="A380" t="str">
        <f>IF(DSDV!B385&lt;&gt;"",DSDV!B385,"")</f>
        <v/>
      </c>
      <c r="B380" t="str">
        <f>IF(DSDV!G385&lt;&gt;"",DSDV!G385,"")</f>
        <v/>
      </c>
      <c r="C380" s="237" t="str">
        <f>IF(DSDV!K385&lt;&gt;"",DSDV!K385,"")</f>
        <v/>
      </c>
      <c r="D380" s="417" t="str">
        <f>IF(DSDV!W385&lt;&gt;"",DSDV!W385,"")</f>
        <v/>
      </c>
    </row>
    <row r="381" spans="1:4">
      <c r="A381" t="str">
        <f>IF(DSDV!B386&lt;&gt;"",DSDV!B386,"")</f>
        <v/>
      </c>
      <c r="B381" t="str">
        <f>IF(DSDV!G386&lt;&gt;"",DSDV!G386,"")</f>
        <v/>
      </c>
      <c r="C381" s="237" t="str">
        <f>IF(DSDV!K386&lt;&gt;"",DSDV!K386,"")</f>
        <v/>
      </c>
      <c r="D381" s="417" t="str">
        <f>IF(DSDV!W386&lt;&gt;"",DSDV!W386,"")</f>
        <v/>
      </c>
    </row>
    <row r="382" spans="1:4">
      <c r="A382" t="str">
        <f>IF(DSDV!B387&lt;&gt;"",DSDV!B387,"")</f>
        <v/>
      </c>
      <c r="B382" t="str">
        <f>IF(DSDV!G387&lt;&gt;"",DSDV!G387,"")</f>
        <v/>
      </c>
      <c r="C382" s="237" t="str">
        <f>IF(DSDV!K387&lt;&gt;"",DSDV!K387,"")</f>
        <v/>
      </c>
      <c r="D382" s="417" t="str">
        <f>IF(DSDV!W387&lt;&gt;"",DSDV!W387,"")</f>
        <v/>
      </c>
    </row>
    <row r="383" spans="1:4">
      <c r="A383" t="str">
        <f>IF(DSDV!B388&lt;&gt;"",DSDV!B388,"")</f>
        <v/>
      </c>
      <c r="B383" t="str">
        <f>IF(DSDV!G388&lt;&gt;"",DSDV!G388,"")</f>
        <v/>
      </c>
      <c r="C383" s="237" t="str">
        <f>IF(DSDV!K388&lt;&gt;"",DSDV!K388,"")</f>
        <v/>
      </c>
      <c r="D383" s="417" t="str">
        <f>IF(DSDV!W388&lt;&gt;"",DSDV!W388,"")</f>
        <v/>
      </c>
    </row>
    <row r="384" spans="1:4">
      <c r="A384" t="str">
        <f>IF(DSDV!B389&lt;&gt;"",DSDV!B389,"")</f>
        <v/>
      </c>
      <c r="B384" t="str">
        <f>IF(DSDV!G389&lt;&gt;"",DSDV!G389,"")</f>
        <v/>
      </c>
      <c r="C384" s="237" t="str">
        <f>IF(DSDV!K389&lt;&gt;"",DSDV!K389,"")</f>
        <v/>
      </c>
      <c r="D384" s="417" t="str">
        <f>IF(DSDV!W389&lt;&gt;"",DSDV!W389,"")</f>
        <v/>
      </c>
    </row>
    <row r="385" spans="1:4">
      <c r="A385" t="str">
        <f>IF(DSDV!B390&lt;&gt;"",DSDV!B390,"")</f>
        <v/>
      </c>
      <c r="B385" t="str">
        <f>IF(DSDV!G390&lt;&gt;"",DSDV!G390,"")</f>
        <v/>
      </c>
      <c r="C385" s="237" t="str">
        <f>IF(DSDV!K390&lt;&gt;"",DSDV!K390,"")</f>
        <v/>
      </c>
      <c r="D385" s="417" t="str">
        <f>IF(DSDV!W390&lt;&gt;"",DSDV!W390,"")</f>
        <v/>
      </c>
    </row>
    <row r="386" spans="1:4">
      <c r="A386" t="str">
        <f>IF(DSDV!B391&lt;&gt;"",DSDV!B391,"")</f>
        <v/>
      </c>
      <c r="B386" t="str">
        <f>IF(DSDV!G391&lt;&gt;"",DSDV!G391,"")</f>
        <v/>
      </c>
      <c r="C386" s="237" t="str">
        <f>IF(DSDV!K391&lt;&gt;"",DSDV!K391,"")</f>
        <v/>
      </c>
      <c r="D386" s="417" t="str">
        <f>IF(DSDV!W391&lt;&gt;"",DSDV!W391,"")</f>
        <v/>
      </c>
    </row>
    <row r="387" spans="1:4">
      <c r="A387" t="str">
        <f>IF(DSDV!B392&lt;&gt;"",DSDV!B392,"")</f>
        <v/>
      </c>
      <c r="B387" t="str">
        <f>IF(DSDV!G392&lt;&gt;"",DSDV!G392,"")</f>
        <v/>
      </c>
      <c r="C387" s="237" t="str">
        <f>IF(DSDV!K392&lt;&gt;"",DSDV!K392,"")</f>
        <v/>
      </c>
      <c r="D387" s="417" t="str">
        <f>IF(DSDV!W392&lt;&gt;"",DSDV!W392,"")</f>
        <v/>
      </c>
    </row>
    <row r="388" spans="1:4">
      <c r="A388" t="str">
        <f>IF(DSDV!B393&lt;&gt;"",DSDV!B393,"")</f>
        <v/>
      </c>
      <c r="B388" t="str">
        <f>IF(DSDV!G393&lt;&gt;"",DSDV!G393,"")</f>
        <v/>
      </c>
      <c r="C388" s="237" t="str">
        <f>IF(DSDV!K393&lt;&gt;"",DSDV!K393,"")</f>
        <v/>
      </c>
      <c r="D388" s="417" t="str">
        <f>IF(DSDV!W393&lt;&gt;"",DSDV!W393,"")</f>
        <v/>
      </c>
    </row>
    <row r="389" spans="1:4">
      <c r="A389" t="str">
        <f>IF(DSDV!B394&lt;&gt;"",DSDV!B394,"")</f>
        <v/>
      </c>
      <c r="B389" t="str">
        <f>IF(DSDV!G394&lt;&gt;"",DSDV!G394,"")</f>
        <v/>
      </c>
      <c r="C389" s="237" t="str">
        <f>IF(DSDV!K394&lt;&gt;"",DSDV!K394,"")</f>
        <v/>
      </c>
      <c r="D389" s="417" t="str">
        <f>IF(DSDV!W394&lt;&gt;"",DSDV!W394,"")</f>
        <v/>
      </c>
    </row>
    <row r="390" spans="1:4">
      <c r="A390" t="str">
        <f>IF(DSDV!B395&lt;&gt;"",DSDV!B395,"")</f>
        <v/>
      </c>
      <c r="B390" t="str">
        <f>IF(DSDV!G395&lt;&gt;"",DSDV!G395,"")</f>
        <v/>
      </c>
      <c r="C390" s="237" t="str">
        <f>IF(DSDV!K395&lt;&gt;"",DSDV!K395,"")</f>
        <v/>
      </c>
      <c r="D390" s="417" t="str">
        <f>IF(DSDV!W395&lt;&gt;"",DSDV!W395,"")</f>
        <v/>
      </c>
    </row>
    <row r="391" spans="1:4">
      <c r="A391" t="str">
        <f>IF(DSDV!B396&lt;&gt;"",DSDV!B396,"")</f>
        <v/>
      </c>
      <c r="B391" t="str">
        <f>IF(DSDV!G396&lt;&gt;"",DSDV!G396,"")</f>
        <v/>
      </c>
      <c r="C391" s="237" t="str">
        <f>IF(DSDV!K396&lt;&gt;"",DSDV!K396,"")</f>
        <v/>
      </c>
      <c r="D391" s="417" t="str">
        <f>IF(DSDV!W396&lt;&gt;"",DSDV!W396,"")</f>
        <v/>
      </c>
    </row>
    <row r="392" spans="1:4">
      <c r="A392" t="str">
        <f>IF(DSDV!B397&lt;&gt;"",DSDV!B397,"")</f>
        <v/>
      </c>
      <c r="B392" t="str">
        <f>IF(DSDV!G397&lt;&gt;"",DSDV!G397,"")</f>
        <v/>
      </c>
      <c r="C392" s="237" t="str">
        <f>IF(DSDV!K397&lt;&gt;"",DSDV!K397,"")</f>
        <v/>
      </c>
      <c r="D392" s="417" t="str">
        <f>IF(DSDV!W397&lt;&gt;"",DSDV!W397,"")</f>
        <v/>
      </c>
    </row>
    <row r="393" spans="1:4">
      <c r="A393" t="str">
        <f>IF(DSDV!B398&lt;&gt;"",DSDV!B398,"")</f>
        <v/>
      </c>
      <c r="B393" t="str">
        <f>IF(DSDV!G398&lt;&gt;"",DSDV!G398,"")</f>
        <v/>
      </c>
      <c r="C393" s="237" t="str">
        <f>IF(DSDV!K398&lt;&gt;"",DSDV!K398,"")</f>
        <v/>
      </c>
      <c r="D393" s="417" t="str">
        <f>IF(DSDV!W398&lt;&gt;"",DSDV!W398,"")</f>
        <v/>
      </c>
    </row>
    <row r="394" spans="1:4">
      <c r="A394" t="str">
        <f>IF(DSDV!B399&lt;&gt;"",DSDV!B399,"")</f>
        <v/>
      </c>
      <c r="B394" t="str">
        <f>IF(DSDV!G399&lt;&gt;"",DSDV!G399,"")</f>
        <v/>
      </c>
      <c r="C394" s="237" t="str">
        <f>IF(DSDV!K399&lt;&gt;"",DSDV!K399,"")</f>
        <v/>
      </c>
      <c r="D394" s="417" t="str">
        <f>IF(DSDV!W399&lt;&gt;"",DSDV!W399,"")</f>
        <v/>
      </c>
    </row>
    <row r="395" spans="1:4">
      <c r="A395" t="str">
        <f>IF(DSDV!B400&lt;&gt;"",DSDV!B400,"")</f>
        <v/>
      </c>
      <c r="B395" t="str">
        <f>IF(DSDV!G400&lt;&gt;"",DSDV!G400,"")</f>
        <v/>
      </c>
      <c r="C395" s="237" t="str">
        <f>IF(DSDV!K400&lt;&gt;"",DSDV!K400,"")</f>
        <v/>
      </c>
      <c r="D395" s="417" t="str">
        <f>IF(DSDV!W400&lt;&gt;"",DSDV!W400,"")</f>
        <v/>
      </c>
    </row>
    <row r="396" spans="1:4">
      <c r="A396" t="str">
        <f>IF(DSDV!B401&lt;&gt;"",DSDV!B401,"")</f>
        <v/>
      </c>
      <c r="B396" t="str">
        <f>IF(DSDV!G401&lt;&gt;"",DSDV!G401,"")</f>
        <v/>
      </c>
      <c r="C396" s="237" t="str">
        <f>IF(DSDV!K401&lt;&gt;"",DSDV!K401,"")</f>
        <v/>
      </c>
      <c r="D396" s="417" t="str">
        <f>IF(DSDV!W401&lt;&gt;"",DSDV!W401,"")</f>
        <v/>
      </c>
    </row>
    <row r="397" spans="1:4">
      <c r="A397" t="str">
        <f>IF(DSDV!B402&lt;&gt;"",DSDV!B402,"")</f>
        <v/>
      </c>
      <c r="B397" t="str">
        <f>IF(DSDV!G402&lt;&gt;"",DSDV!G402,"")</f>
        <v/>
      </c>
      <c r="C397" s="237" t="str">
        <f>IF(DSDV!K402&lt;&gt;"",DSDV!K402,"")</f>
        <v/>
      </c>
      <c r="D397" s="417" t="str">
        <f>IF(DSDV!W402&lt;&gt;"",DSDV!W402,"")</f>
        <v/>
      </c>
    </row>
    <row r="398" spans="1:4">
      <c r="A398" t="str">
        <f>IF(DSDV!B403&lt;&gt;"",DSDV!B403,"")</f>
        <v/>
      </c>
      <c r="B398" t="str">
        <f>IF(DSDV!G403&lt;&gt;"",DSDV!G403,"")</f>
        <v/>
      </c>
      <c r="C398" s="237" t="str">
        <f>IF(DSDV!K403&lt;&gt;"",DSDV!K403,"")</f>
        <v/>
      </c>
      <c r="D398" s="417" t="str">
        <f>IF(DSDV!W403&lt;&gt;"",DSDV!W403,"")</f>
        <v/>
      </c>
    </row>
    <row r="399" spans="1:4">
      <c r="A399" t="str">
        <f>IF(DSDV!B404&lt;&gt;"",DSDV!B404,"")</f>
        <v/>
      </c>
      <c r="B399" t="str">
        <f>IF(DSDV!G404&lt;&gt;"",DSDV!G404,"")</f>
        <v/>
      </c>
      <c r="C399" s="237" t="str">
        <f>IF(DSDV!K404&lt;&gt;"",DSDV!K404,"")</f>
        <v/>
      </c>
      <c r="D399" s="417" t="str">
        <f>IF(DSDV!W404&lt;&gt;"",DSDV!W404,"")</f>
        <v/>
      </c>
    </row>
    <row r="400" spans="1:4">
      <c r="A400" t="str">
        <f>IF(DSDV!B405&lt;&gt;"",DSDV!B405,"")</f>
        <v/>
      </c>
      <c r="B400" t="str">
        <f>IF(DSDV!G405&lt;&gt;"",DSDV!G405,"")</f>
        <v/>
      </c>
      <c r="C400" s="237" t="str">
        <f>IF(DSDV!K405&lt;&gt;"",DSDV!K405,"")</f>
        <v/>
      </c>
      <c r="D400" s="417" t="str">
        <f>IF(DSDV!W405&lt;&gt;"",DSDV!W405,"")</f>
        <v/>
      </c>
    </row>
    <row r="401" spans="1:4">
      <c r="A401" t="str">
        <f>IF(DSDV!B406&lt;&gt;"",DSDV!B406,"")</f>
        <v/>
      </c>
      <c r="B401" t="str">
        <f>IF(DSDV!G406&lt;&gt;"",DSDV!G406,"")</f>
        <v/>
      </c>
      <c r="C401" s="237" t="str">
        <f>IF(DSDV!K406&lt;&gt;"",DSDV!K406,"")</f>
        <v/>
      </c>
      <c r="D401" s="417" t="str">
        <f>IF(DSDV!W406&lt;&gt;"",DSDV!W406,"")</f>
        <v/>
      </c>
    </row>
    <row r="402" spans="1:4">
      <c r="A402" t="str">
        <f>IF(DSDV!B407&lt;&gt;"",DSDV!B407,"")</f>
        <v/>
      </c>
      <c r="B402" t="str">
        <f>IF(DSDV!G407&lt;&gt;"",DSDV!G407,"")</f>
        <v/>
      </c>
      <c r="C402" s="237" t="str">
        <f>IF(DSDV!K407&lt;&gt;"",DSDV!K407,"")</f>
        <v/>
      </c>
      <c r="D402" s="417" t="str">
        <f>IF(DSDV!W407&lt;&gt;"",DSDV!W407,"")</f>
        <v/>
      </c>
    </row>
    <row r="403" spans="1:4">
      <c r="A403" t="str">
        <f>IF(DSDV!B408&lt;&gt;"",DSDV!B408,"")</f>
        <v/>
      </c>
      <c r="B403" t="str">
        <f>IF(DSDV!G408&lt;&gt;"",DSDV!G408,"")</f>
        <v/>
      </c>
      <c r="C403" s="237" t="str">
        <f>IF(DSDV!K408&lt;&gt;"",DSDV!K408,"")</f>
        <v/>
      </c>
      <c r="D403" s="417" t="str">
        <f>IF(DSDV!W408&lt;&gt;"",DSDV!W408,"")</f>
        <v/>
      </c>
    </row>
    <row r="404" spans="1:4">
      <c r="A404" t="str">
        <f>IF(DSDV!B409&lt;&gt;"",DSDV!B409,"")</f>
        <v/>
      </c>
      <c r="B404" t="str">
        <f>IF(DSDV!G409&lt;&gt;"",DSDV!G409,"")</f>
        <v/>
      </c>
      <c r="C404" s="237" t="str">
        <f>IF(DSDV!K409&lt;&gt;"",DSDV!K409,"")</f>
        <v/>
      </c>
      <c r="D404" s="417" t="str">
        <f>IF(DSDV!W409&lt;&gt;"",DSDV!W409,"")</f>
        <v/>
      </c>
    </row>
    <row r="405" spans="1:4">
      <c r="A405" t="str">
        <f>IF(DSDV!B410&lt;&gt;"",DSDV!B410,"")</f>
        <v/>
      </c>
      <c r="B405" t="str">
        <f>IF(DSDV!G410&lt;&gt;"",DSDV!G410,"")</f>
        <v/>
      </c>
      <c r="C405" s="237" t="str">
        <f>IF(DSDV!K410&lt;&gt;"",DSDV!K410,"")</f>
        <v/>
      </c>
      <c r="D405" s="417" t="str">
        <f>IF(DSDV!W410&lt;&gt;"",DSDV!W410,"")</f>
        <v/>
      </c>
    </row>
    <row r="406" spans="1:4">
      <c r="A406" t="str">
        <f>IF(DSDV!B411&lt;&gt;"",DSDV!B411,"")</f>
        <v/>
      </c>
      <c r="B406" t="str">
        <f>IF(DSDV!G411&lt;&gt;"",DSDV!G411,"")</f>
        <v/>
      </c>
      <c r="C406" s="237" t="str">
        <f>IF(DSDV!K411&lt;&gt;"",DSDV!K411,"")</f>
        <v/>
      </c>
      <c r="D406" s="417" t="str">
        <f>IF(DSDV!W411&lt;&gt;"",DSDV!W411,"")</f>
        <v/>
      </c>
    </row>
    <row r="407" spans="1:4">
      <c r="A407" t="str">
        <f>IF(DSDV!B412&lt;&gt;"",DSDV!B412,"")</f>
        <v/>
      </c>
      <c r="B407" t="str">
        <f>IF(DSDV!G412&lt;&gt;"",DSDV!G412,"")</f>
        <v/>
      </c>
      <c r="C407" s="237" t="str">
        <f>IF(DSDV!K412&lt;&gt;"",DSDV!K412,"")</f>
        <v/>
      </c>
      <c r="D407" s="417" t="str">
        <f>IF(DSDV!W412&lt;&gt;"",DSDV!W412,"")</f>
        <v/>
      </c>
    </row>
    <row r="408" spans="1:4">
      <c r="A408" t="str">
        <f>IF(DSDV!B413&lt;&gt;"",DSDV!B413,"")</f>
        <v/>
      </c>
      <c r="B408" t="str">
        <f>IF(DSDV!G413&lt;&gt;"",DSDV!G413,"")</f>
        <v/>
      </c>
      <c r="C408" s="237" t="str">
        <f>IF(DSDV!K413&lt;&gt;"",DSDV!K413,"")</f>
        <v/>
      </c>
      <c r="D408" s="417" t="str">
        <f>IF(DSDV!W413&lt;&gt;"",DSDV!W413,"")</f>
        <v/>
      </c>
    </row>
    <row r="409" spans="1:4">
      <c r="A409" t="str">
        <f>IF(DSDV!B414&lt;&gt;"",DSDV!B414,"")</f>
        <v/>
      </c>
      <c r="B409" t="str">
        <f>IF(DSDV!G414&lt;&gt;"",DSDV!G414,"")</f>
        <v/>
      </c>
      <c r="C409" s="237" t="str">
        <f>IF(DSDV!K414&lt;&gt;"",DSDV!K414,"")</f>
        <v/>
      </c>
      <c r="D409" s="417" t="str">
        <f>IF(DSDV!W414&lt;&gt;"",DSDV!W414,"")</f>
        <v/>
      </c>
    </row>
    <row r="410" spans="1:4">
      <c r="A410" t="str">
        <f>IF(DSDV!B415&lt;&gt;"",DSDV!B415,"")</f>
        <v/>
      </c>
      <c r="B410" t="str">
        <f>IF(DSDV!G415&lt;&gt;"",DSDV!G415,"")</f>
        <v/>
      </c>
      <c r="C410" s="237" t="str">
        <f>IF(DSDV!K415&lt;&gt;"",DSDV!K415,"")</f>
        <v/>
      </c>
      <c r="D410" s="417" t="str">
        <f>IF(DSDV!W415&lt;&gt;"",DSDV!W415,"")</f>
        <v/>
      </c>
    </row>
    <row r="411" spans="1:4">
      <c r="A411" t="str">
        <f>IF(DSDV!B416&lt;&gt;"",DSDV!B416,"")</f>
        <v/>
      </c>
      <c r="B411" t="str">
        <f>IF(DSDV!G416&lt;&gt;"",DSDV!G416,"")</f>
        <v/>
      </c>
      <c r="C411" s="237" t="str">
        <f>IF(DSDV!K416&lt;&gt;"",DSDV!K416,"")</f>
        <v/>
      </c>
      <c r="D411" s="417" t="str">
        <f>IF(DSDV!W416&lt;&gt;"",DSDV!W416,"")</f>
        <v/>
      </c>
    </row>
    <row r="412" spans="1:4">
      <c r="A412" t="str">
        <f>IF(DSDV!B417&lt;&gt;"",DSDV!B417,"")</f>
        <v/>
      </c>
      <c r="B412" t="str">
        <f>IF(DSDV!G417&lt;&gt;"",DSDV!G417,"")</f>
        <v/>
      </c>
      <c r="C412" s="237" t="str">
        <f>IF(DSDV!K417&lt;&gt;"",DSDV!K417,"")</f>
        <v/>
      </c>
      <c r="D412" s="417" t="str">
        <f>IF(DSDV!W417&lt;&gt;"",DSDV!W417,"")</f>
        <v/>
      </c>
    </row>
    <row r="413" spans="1:4">
      <c r="A413" t="str">
        <f>IF(DSDV!B418&lt;&gt;"",DSDV!B418,"")</f>
        <v/>
      </c>
      <c r="B413" t="str">
        <f>IF(DSDV!G418&lt;&gt;"",DSDV!G418,"")</f>
        <v/>
      </c>
      <c r="C413" s="237" t="str">
        <f>IF(DSDV!K418&lt;&gt;"",DSDV!K418,"")</f>
        <v/>
      </c>
      <c r="D413" s="417" t="str">
        <f>IF(DSDV!W418&lt;&gt;"",DSDV!W418,"")</f>
        <v/>
      </c>
    </row>
    <row r="414" spans="1:4">
      <c r="A414" t="str">
        <f>IF(DSDV!B419&lt;&gt;"",DSDV!B419,"")</f>
        <v/>
      </c>
      <c r="B414" t="str">
        <f>IF(DSDV!G419&lt;&gt;"",DSDV!G419,"")</f>
        <v/>
      </c>
      <c r="C414" s="237" t="str">
        <f>IF(DSDV!K419&lt;&gt;"",DSDV!K419,"")</f>
        <v/>
      </c>
      <c r="D414" s="417" t="str">
        <f>IF(DSDV!W419&lt;&gt;"",DSDV!W419,"")</f>
        <v/>
      </c>
    </row>
    <row r="415" spans="1:4">
      <c r="A415" t="str">
        <f>IF(DSDV!B420&lt;&gt;"",DSDV!B420,"")</f>
        <v/>
      </c>
      <c r="B415" t="str">
        <f>IF(DSDV!G420&lt;&gt;"",DSDV!G420,"")</f>
        <v/>
      </c>
      <c r="C415" s="237" t="str">
        <f>IF(DSDV!K420&lt;&gt;"",DSDV!K420,"")</f>
        <v/>
      </c>
      <c r="D415" s="417" t="str">
        <f>IF(DSDV!W420&lt;&gt;"",DSDV!W420,"")</f>
        <v/>
      </c>
    </row>
    <row r="416" spans="1:4">
      <c r="A416" t="str">
        <f>IF(DSDV!B421&lt;&gt;"",DSDV!B421,"")</f>
        <v/>
      </c>
      <c r="B416" t="str">
        <f>IF(DSDV!G421&lt;&gt;"",DSDV!G421,"")</f>
        <v/>
      </c>
      <c r="C416" s="237" t="str">
        <f>IF(DSDV!K421&lt;&gt;"",DSDV!K421,"")</f>
        <v/>
      </c>
      <c r="D416" s="417" t="str">
        <f>IF(DSDV!W421&lt;&gt;"",DSDV!W421,"")</f>
        <v/>
      </c>
    </row>
    <row r="417" spans="1:4">
      <c r="A417" t="str">
        <f>IF(DSDV!B422&lt;&gt;"",DSDV!B422,"")</f>
        <v/>
      </c>
      <c r="B417" t="str">
        <f>IF(DSDV!G422&lt;&gt;"",DSDV!G422,"")</f>
        <v/>
      </c>
      <c r="C417" s="237" t="str">
        <f>IF(DSDV!K422&lt;&gt;"",DSDV!K422,"")</f>
        <v/>
      </c>
      <c r="D417" s="417" t="str">
        <f>IF(DSDV!W422&lt;&gt;"",DSDV!W422,"")</f>
        <v/>
      </c>
    </row>
    <row r="418" spans="1:4">
      <c r="A418" t="str">
        <f>IF(DSDV!B423&lt;&gt;"",DSDV!B423,"")</f>
        <v/>
      </c>
      <c r="B418" t="str">
        <f>IF(DSDV!G423&lt;&gt;"",DSDV!G423,"")</f>
        <v/>
      </c>
      <c r="C418" s="237" t="str">
        <f>IF(DSDV!K423&lt;&gt;"",DSDV!K423,"")</f>
        <v/>
      </c>
      <c r="D418" s="417" t="str">
        <f>IF(DSDV!W423&lt;&gt;"",DSDV!W423,"")</f>
        <v/>
      </c>
    </row>
    <row r="419" spans="1:4">
      <c r="A419" t="str">
        <f>IF(DSDV!B424&lt;&gt;"",DSDV!B424,"")</f>
        <v/>
      </c>
      <c r="B419" t="str">
        <f>IF(DSDV!G424&lt;&gt;"",DSDV!G424,"")</f>
        <v/>
      </c>
      <c r="C419" s="237" t="str">
        <f>IF(DSDV!K424&lt;&gt;"",DSDV!K424,"")</f>
        <v/>
      </c>
      <c r="D419" s="417" t="str">
        <f>IF(DSDV!W424&lt;&gt;"",DSDV!W424,"")</f>
        <v/>
      </c>
    </row>
    <row r="420" spans="1:4">
      <c r="A420" t="str">
        <f>IF(DSDV!B425&lt;&gt;"",DSDV!B425,"")</f>
        <v/>
      </c>
      <c r="B420" t="str">
        <f>IF(DSDV!G425&lt;&gt;"",DSDV!G425,"")</f>
        <v/>
      </c>
      <c r="C420" s="237" t="str">
        <f>IF(DSDV!K425&lt;&gt;"",DSDV!K425,"")</f>
        <v/>
      </c>
      <c r="D420" s="417" t="str">
        <f>IF(DSDV!W425&lt;&gt;"",DSDV!W425,"")</f>
        <v/>
      </c>
    </row>
    <row r="421" spans="1:4">
      <c r="A421" t="str">
        <f>IF(DSDV!B426&lt;&gt;"",DSDV!B426,"")</f>
        <v/>
      </c>
      <c r="B421" t="str">
        <f>IF(DSDV!G426&lt;&gt;"",DSDV!G426,"")</f>
        <v/>
      </c>
      <c r="C421" s="237" t="str">
        <f>IF(DSDV!K426&lt;&gt;"",DSDV!K426,"")</f>
        <v/>
      </c>
      <c r="D421" s="417" t="str">
        <f>IF(DSDV!W426&lt;&gt;"",DSDV!W426,"")</f>
        <v/>
      </c>
    </row>
    <row r="422" spans="1:4">
      <c r="A422" t="str">
        <f>IF(DSDV!B427&lt;&gt;"",DSDV!B427,"")</f>
        <v/>
      </c>
      <c r="B422" t="str">
        <f>IF(DSDV!G427&lt;&gt;"",DSDV!G427,"")</f>
        <v/>
      </c>
      <c r="C422" s="237" t="str">
        <f>IF(DSDV!K427&lt;&gt;"",DSDV!K427,"")</f>
        <v/>
      </c>
      <c r="D422" s="417" t="str">
        <f>IF(DSDV!W427&lt;&gt;"",DSDV!W427,"")</f>
        <v/>
      </c>
    </row>
    <row r="423" spans="1:4">
      <c r="A423" t="str">
        <f>IF(DSDV!B428&lt;&gt;"",DSDV!B428,"")</f>
        <v/>
      </c>
      <c r="B423" t="str">
        <f>IF(DSDV!G428&lt;&gt;"",DSDV!G428,"")</f>
        <v/>
      </c>
      <c r="C423" s="237" t="str">
        <f>IF(DSDV!K428&lt;&gt;"",DSDV!K428,"")</f>
        <v/>
      </c>
      <c r="D423" s="417" t="str">
        <f>IF(DSDV!W428&lt;&gt;"",DSDV!W428,"")</f>
        <v/>
      </c>
    </row>
    <row r="424" spans="1:4">
      <c r="A424" t="str">
        <f>IF(DSDV!B429&lt;&gt;"",DSDV!B429,"")</f>
        <v/>
      </c>
      <c r="B424" t="str">
        <f>IF(DSDV!G429&lt;&gt;"",DSDV!G429,"")</f>
        <v/>
      </c>
      <c r="C424" s="237" t="str">
        <f>IF(DSDV!K429&lt;&gt;"",DSDV!K429,"")</f>
        <v/>
      </c>
      <c r="D424" s="417" t="str">
        <f>IF(DSDV!W429&lt;&gt;"",DSDV!W429,"")</f>
        <v/>
      </c>
    </row>
    <row r="425" spans="1:4">
      <c r="A425" t="str">
        <f>IF(DSDV!B430&lt;&gt;"",DSDV!B430,"")</f>
        <v/>
      </c>
      <c r="B425" t="str">
        <f>IF(DSDV!G430&lt;&gt;"",DSDV!G430,"")</f>
        <v/>
      </c>
      <c r="C425" s="237" t="str">
        <f>IF(DSDV!K430&lt;&gt;"",DSDV!K430,"")</f>
        <v/>
      </c>
      <c r="D425" s="417" t="str">
        <f>IF(DSDV!W430&lt;&gt;"",DSDV!W430,"")</f>
        <v/>
      </c>
    </row>
    <row r="426" spans="1:4">
      <c r="A426" t="str">
        <f>IF(DSDV!B431&lt;&gt;"",DSDV!B431,"")</f>
        <v/>
      </c>
      <c r="B426" t="str">
        <f>IF(DSDV!G431&lt;&gt;"",DSDV!G431,"")</f>
        <v/>
      </c>
      <c r="C426" s="237" t="str">
        <f>IF(DSDV!K431&lt;&gt;"",DSDV!K431,"")</f>
        <v/>
      </c>
      <c r="D426" s="417" t="str">
        <f>IF(DSDV!W431&lt;&gt;"",DSDV!W431,"")</f>
        <v/>
      </c>
    </row>
    <row r="427" spans="1:4">
      <c r="A427" t="str">
        <f>IF(DSDV!B432&lt;&gt;"",DSDV!B432,"")</f>
        <v/>
      </c>
      <c r="B427" t="str">
        <f>IF(DSDV!G432&lt;&gt;"",DSDV!G432,"")</f>
        <v/>
      </c>
      <c r="C427" s="237" t="str">
        <f>IF(DSDV!K432&lt;&gt;"",DSDV!K432,"")</f>
        <v/>
      </c>
      <c r="D427" s="417" t="str">
        <f>IF(DSDV!W432&lt;&gt;"",DSDV!W432,"")</f>
        <v/>
      </c>
    </row>
    <row r="428" spans="1:4">
      <c r="A428" t="str">
        <f>IF(DSDV!B433&lt;&gt;"",DSDV!B433,"")</f>
        <v/>
      </c>
      <c r="B428" t="str">
        <f>IF(DSDV!G433&lt;&gt;"",DSDV!G433,"")</f>
        <v/>
      </c>
      <c r="C428" s="237" t="str">
        <f>IF(DSDV!K433&lt;&gt;"",DSDV!K433,"")</f>
        <v/>
      </c>
      <c r="D428" s="417" t="str">
        <f>IF(DSDV!W433&lt;&gt;"",DSDV!W433,"")</f>
        <v/>
      </c>
    </row>
    <row r="429" spans="1:4">
      <c r="A429" t="str">
        <f>IF(DSDV!B434&lt;&gt;"",DSDV!B434,"")</f>
        <v/>
      </c>
      <c r="B429" t="str">
        <f>IF(DSDV!G434&lt;&gt;"",DSDV!G434,"")</f>
        <v/>
      </c>
      <c r="C429" s="237" t="str">
        <f>IF(DSDV!K434&lt;&gt;"",DSDV!K434,"")</f>
        <v/>
      </c>
      <c r="D429" s="417" t="str">
        <f>IF(DSDV!W434&lt;&gt;"",DSDV!W434,"")</f>
        <v/>
      </c>
    </row>
    <row r="430" spans="1:4">
      <c r="A430" t="str">
        <f>IF(DSDV!B435&lt;&gt;"",DSDV!B435,"")</f>
        <v/>
      </c>
      <c r="B430" t="str">
        <f>IF(DSDV!G435&lt;&gt;"",DSDV!G435,"")</f>
        <v/>
      </c>
      <c r="C430" s="237" t="str">
        <f>IF(DSDV!K435&lt;&gt;"",DSDV!K435,"")</f>
        <v/>
      </c>
      <c r="D430" s="417" t="str">
        <f>IF(DSDV!W435&lt;&gt;"",DSDV!W435,"")</f>
        <v/>
      </c>
    </row>
    <row r="431" spans="1:4">
      <c r="A431" t="str">
        <f>IF(DSDV!B436&lt;&gt;"",DSDV!B436,"")</f>
        <v/>
      </c>
      <c r="B431" t="str">
        <f>IF(DSDV!G436&lt;&gt;"",DSDV!G436,"")</f>
        <v/>
      </c>
      <c r="C431" s="237" t="str">
        <f>IF(DSDV!K436&lt;&gt;"",DSDV!K436,"")</f>
        <v/>
      </c>
      <c r="D431" s="417" t="str">
        <f>IF(DSDV!W436&lt;&gt;"",DSDV!W436,"")</f>
        <v/>
      </c>
    </row>
    <row r="432" spans="1:4">
      <c r="A432" t="str">
        <f>IF(DSDV!B437&lt;&gt;"",DSDV!B437,"")</f>
        <v/>
      </c>
      <c r="B432" t="str">
        <f>IF(DSDV!G437&lt;&gt;"",DSDV!G437,"")</f>
        <v/>
      </c>
      <c r="C432" s="237" t="str">
        <f>IF(DSDV!K437&lt;&gt;"",DSDV!K437,"")</f>
        <v/>
      </c>
      <c r="D432" s="417" t="str">
        <f>IF(DSDV!W437&lt;&gt;"",DSDV!W437,"")</f>
        <v/>
      </c>
    </row>
    <row r="433" spans="1:4">
      <c r="A433" t="str">
        <f>IF(DSDV!B438&lt;&gt;"",DSDV!B438,"")</f>
        <v/>
      </c>
      <c r="B433" t="str">
        <f>IF(DSDV!G438&lt;&gt;"",DSDV!G438,"")</f>
        <v/>
      </c>
      <c r="C433" s="237" t="str">
        <f>IF(DSDV!K438&lt;&gt;"",DSDV!K438,"")</f>
        <v/>
      </c>
      <c r="D433" s="417" t="str">
        <f>IF(DSDV!W438&lt;&gt;"",DSDV!W438,"")</f>
        <v/>
      </c>
    </row>
    <row r="434" spans="1:4">
      <c r="A434" t="str">
        <f>IF(DSDV!B439&lt;&gt;"",DSDV!B439,"")</f>
        <v/>
      </c>
      <c r="B434" t="str">
        <f>IF(DSDV!G439&lt;&gt;"",DSDV!G439,"")</f>
        <v/>
      </c>
      <c r="C434" s="237" t="str">
        <f>IF(DSDV!K439&lt;&gt;"",DSDV!K439,"")</f>
        <v/>
      </c>
      <c r="D434" s="417" t="str">
        <f>IF(DSDV!W439&lt;&gt;"",DSDV!W439,"")</f>
        <v/>
      </c>
    </row>
    <row r="435" spans="1:4">
      <c r="A435" t="str">
        <f>IF(DSDV!B440&lt;&gt;"",DSDV!B440,"")</f>
        <v/>
      </c>
      <c r="B435" t="str">
        <f>IF(DSDV!G440&lt;&gt;"",DSDV!G440,"")</f>
        <v/>
      </c>
      <c r="C435" s="237" t="str">
        <f>IF(DSDV!K440&lt;&gt;"",DSDV!K440,"")</f>
        <v/>
      </c>
      <c r="D435" s="417" t="str">
        <f>IF(DSDV!W440&lt;&gt;"",DSDV!W440,"")</f>
        <v/>
      </c>
    </row>
    <row r="436" spans="1:4">
      <c r="A436" t="str">
        <f>IF(DSDV!B441&lt;&gt;"",DSDV!B441,"")</f>
        <v/>
      </c>
      <c r="B436" t="str">
        <f>IF(DSDV!G441&lt;&gt;"",DSDV!G441,"")</f>
        <v/>
      </c>
      <c r="C436" s="237" t="str">
        <f>IF(DSDV!K441&lt;&gt;"",DSDV!K441,"")</f>
        <v/>
      </c>
      <c r="D436" s="417" t="str">
        <f>IF(DSDV!W441&lt;&gt;"",DSDV!W441,"")</f>
        <v/>
      </c>
    </row>
    <row r="437" spans="1:4">
      <c r="A437" t="str">
        <f>IF(DSDV!B442&lt;&gt;"",DSDV!B442,"")</f>
        <v/>
      </c>
      <c r="B437" t="str">
        <f>IF(DSDV!G442&lt;&gt;"",DSDV!G442,"")</f>
        <v/>
      </c>
      <c r="C437" s="237" t="str">
        <f>IF(DSDV!K442&lt;&gt;"",DSDV!K442,"")</f>
        <v/>
      </c>
      <c r="D437" s="417" t="str">
        <f>IF(DSDV!W442&lt;&gt;"",DSDV!W442,"")</f>
        <v/>
      </c>
    </row>
    <row r="438" spans="1:4">
      <c r="A438" t="str">
        <f>IF(DSDV!B443&lt;&gt;"",DSDV!B443,"")</f>
        <v/>
      </c>
      <c r="B438" t="str">
        <f>IF(DSDV!G443&lt;&gt;"",DSDV!G443,"")</f>
        <v/>
      </c>
      <c r="C438" s="237" t="str">
        <f>IF(DSDV!K443&lt;&gt;"",DSDV!K443,"")</f>
        <v/>
      </c>
      <c r="D438" s="417" t="str">
        <f>IF(DSDV!W443&lt;&gt;"",DSDV!W443,"")</f>
        <v/>
      </c>
    </row>
    <row r="439" spans="1:4">
      <c r="A439" t="str">
        <f>IF(DSDV!B444&lt;&gt;"",DSDV!B444,"")</f>
        <v/>
      </c>
      <c r="B439" t="str">
        <f>IF(DSDV!G444&lt;&gt;"",DSDV!G444,"")</f>
        <v/>
      </c>
      <c r="C439" s="237" t="str">
        <f>IF(DSDV!K444&lt;&gt;"",DSDV!K444,"")</f>
        <v/>
      </c>
      <c r="D439" s="417" t="str">
        <f>IF(DSDV!W444&lt;&gt;"",DSDV!W444,"")</f>
        <v/>
      </c>
    </row>
    <row r="440" spans="1:4">
      <c r="A440" t="str">
        <f>IF(DSDV!B445&lt;&gt;"",DSDV!B445,"")</f>
        <v/>
      </c>
      <c r="B440" t="str">
        <f>IF(DSDV!G445&lt;&gt;"",DSDV!G445,"")</f>
        <v/>
      </c>
      <c r="C440" s="237" t="str">
        <f>IF(DSDV!K445&lt;&gt;"",DSDV!K445,"")</f>
        <v/>
      </c>
      <c r="D440" s="417" t="str">
        <f>IF(DSDV!W445&lt;&gt;"",DSDV!W445,"")</f>
        <v/>
      </c>
    </row>
    <row r="441" spans="1:4">
      <c r="A441" t="str">
        <f>IF(DSDV!B446&lt;&gt;"",DSDV!B446,"")</f>
        <v/>
      </c>
      <c r="B441" t="str">
        <f>IF(DSDV!G446&lt;&gt;"",DSDV!G446,"")</f>
        <v/>
      </c>
      <c r="C441" s="237" t="str">
        <f>IF(DSDV!K446&lt;&gt;"",DSDV!K446,"")</f>
        <v/>
      </c>
      <c r="D441" s="417" t="str">
        <f>IF(DSDV!W446&lt;&gt;"",DSDV!W446,"")</f>
        <v/>
      </c>
    </row>
    <row r="442" spans="1:4">
      <c r="A442" t="str">
        <f>IF(DSDV!B447&lt;&gt;"",DSDV!B447,"")</f>
        <v/>
      </c>
      <c r="B442" t="str">
        <f>IF(DSDV!G447&lt;&gt;"",DSDV!G447,"")</f>
        <v/>
      </c>
      <c r="C442" s="237" t="str">
        <f>IF(DSDV!K447&lt;&gt;"",DSDV!K447,"")</f>
        <v/>
      </c>
      <c r="D442" s="417" t="str">
        <f>IF(DSDV!W447&lt;&gt;"",DSDV!W447,"")</f>
        <v/>
      </c>
    </row>
    <row r="443" spans="1:4">
      <c r="A443" t="str">
        <f>IF(DSDV!B448&lt;&gt;"",DSDV!B448,"")</f>
        <v/>
      </c>
      <c r="B443" t="str">
        <f>IF(DSDV!G448&lt;&gt;"",DSDV!G448,"")</f>
        <v/>
      </c>
      <c r="C443" s="237" t="str">
        <f>IF(DSDV!K448&lt;&gt;"",DSDV!K448,"")</f>
        <v/>
      </c>
      <c r="D443" s="417" t="str">
        <f>IF(DSDV!W448&lt;&gt;"",DSDV!W448,"")</f>
        <v/>
      </c>
    </row>
    <row r="444" spans="1:4">
      <c r="A444" t="str">
        <f>IF(DSDV!B449&lt;&gt;"",DSDV!B449,"")</f>
        <v/>
      </c>
      <c r="B444" t="str">
        <f>IF(DSDV!G449&lt;&gt;"",DSDV!G449,"")</f>
        <v/>
      </c>
      <c r="C444" s="237" t="str">
        <f>IF(DSDV!K449&lt;&gt;"",DSDV!K449,"")</f>
        <v/>
      </c>
      <c r="D444" s="417" t="str">
        <f>IF(DSDV!W449&lt;&gt;"",DSDV!W449,"")</f>
        <v/>
      </c>
    </row>
    <row r="445" spans="1:4">
      <c r="A445" t="str">
        <f>IF(DSDV!B450&lt;&gt;"",DSDV!B450,"")</f>
        <v/>
      </c>
      <c r="B445" t="str">
        <f>IF(DSDV!G450&lt;&gt;"",DSDV!G450,"")</f>
        <v/>
      </c>
      <c r="C445" s="237" t="str">
        <f>IF(DSDV!K450&lt;&gt;"",DSDV!K450,"")</f>
        <v/>
      </c>
      <c r="D445" s="417" t="str">
        <f>IF(DSDV!W450&lt;&gt;"",DSDV!W450,"")</f>
        <v/>
      </c>
    </row>
    <row r="446" spans="1:4">
      <c r="A446" t="str">
        <f>IF(DSDV!B451&lt;&gt;"",DSDV!B451,"")</f>
        <v/>
      </c>
      <c r="B446" t="str">
        <f>IF(DSDV!G451&lt;&gt;"",DSDV!G451,"")</f>
        <v/>
      </c>
      <c r="C446" s="237" t="str">
        <f>IF(DSDV!K451&lt;&gt;"",DSDV!K451,"")</f>
        <v/>
      </c>
      <c r="D446" s="417" t="str">
        <f>IF(DSDV!W451&lt;&gt;"",DSDV!W451,"")</f>
        <v/>
      </c>
    </row>
    <row r="447" spans="1:4">
      <c r="A447" t="str">
        <f>IF(DSDV!B452&lt;&gt;"",DSDV!B452,"")</f>
        <v/>
      </c>
      <c r="B447" t="str">
        <f>IF(DSDV!G452&lt;&gt;"",DSDV!G452,"")</f>
        <v/>
      </c>
      <c r="C447" s="237" t="str">
        <f>IF(DSDV!K452&lt;&gt;"",DSDV!K452,"")</f>
        <v/>
      </c>
      <c r="D447" s="417" t="str">
        <f>IF(DSDV!W452&lt;&gt;"",DSDV!W452,"")</f>
        <v/>
      </c>
    </row>
    <row r="448" spans="1:4">
      <c r="A448" t="str">
        <f>IF(DSDV!B453&lt;&gt;"",DSDV!B453,"")</f>
        <v/>
      </c>
      <c r="B448" t="str">
        <f>IF(DSDV!G453&lt;&gt;"",DSDV!G453,"")</f>
        <v/>
      </c>
      <c r="C448" s="237" t="str">
        <f>IF(DSDV!K453&lt;&gt;"",DSDV!K453,"")</f>
        <v/>
      </c>
      <c r="D448" s="417" t="str">
        <f>IF(DSDV!W453&lt;&gt;"",DSDV!W453,"")</f>
        <v/>
      </c>
    </row>
    <row r="449" spans="1:4">
      <c r="A449" t="str">
        <f>IF(DSDV!B454&lt;&gt;"",DSDV!B454,"")</f>
        <v/>
      </c>
      <c r="B449" t="str">
        <f>IF(DSDV!G454&lt;&gt;"",DSDV!G454,"")</f>
        <v/>
      </c>
      <c r="C449" s="237" t="str">
        <f>IF(DSDV!K454&lt;&gt;"",DSDV!K454,"")</f>
        <v/>
      </c>
      <c r="D449" s="417" t="str">
        <f>IF(DSDV!W454&lt;&gt;"",DSDV!W454,"")</f>
        <v/>
      </c>
    </row>
    <row r="450" spans="1:4">
      <c r="A450" t="str">
        <f>IF(DSDV!B455&lt;&gt;"",DSDV!B455,"")</f>
        <v/>
      </c>
      <c r="B450" t="str">
        <f>IF(DSDV!G455&lt;&gt;"",DSDV!G455,"")</f>
        <v/>
      </c>
      <c r="C450" s="237" t="str">
        <f>IF(DSDV!K455&lt;&gt;"",DSDV!K455,"")</f>
        <v/>
      </c>
      <c r="D450" s="417" t="str">
        <f>IF(DSDV!W455&lt;&gt;"",DSDV!W455,"")</f>
        <v/>
      </c>
    </row>
    <row r="451" spans="1:4">
      <c r="A451" t="str">
        <f>IF(DSDV!B456&lt;&gt;"",DSDV!B456,"")</f>
        <v/>
      </c>
      <c r="B451" t="str">
        <f>IF(DSDV!G456&lt;&gt;"",DSDV!G456,"")</f>
        <v/>
      </c>
      <c r="C451" s="237" t="str">
        <f>IF(DSDV!K456&lt;&gt;"",DSDV!K456,"")</f>
        <v/>
      </c>
      <c r="D451" s="417" t="str">
        <f>IF(DSDV!W456&lt;&gt;"",DSDV!W456,"")</f>
        <v/>
      </c>
    </row>
    <row r="452" spans="1:4">
      <c r="A452" t="str">
        <f>IF(DSDV!B457&lt;&gt;"",DSDV!B457,"")</f>
        <v/>
      </c>
      <c r="B452" t="str">
        <f>IF(DSDV!G457&lt;&gt;"",DSDV!G457,"")</f>
        <v/>
      </c>
      <c r="C452" s="237" t="str">
        <f>IF(DSDV!K457&lt;&gt;"",DSDV!K457,"")</f>
        <v/>
      </c>
      <c r="D452" s="417" t="str">
        <f>IF(DSDV!W457&lt;&gt;"",DSDV!W457,"")</f>
        <v/>
      </c>
    </row>
    <row r="453" spans="1:4">
      <c r="A453" t="str">
        <f>IF(DSDV!B458&lt;&gt;"",DSDV!B458,"")</f>
        <v/>
      </c>
      <c r="B453" t="str">
        <f>IF(DSDV!G458&lt;&gt;"",DSDV!G458,"")</f>
        <v/>
      </c>
      <c r="C453" s="237" t="str">
        <f>IF(DSDV!K458&lt;&gt;"",DSDV!K458,"")</f>
        <v/>
      </c>
      <c r="D453" s="417" t="str">
        <f>IF(DSDV!W458&lt;&gt;"",DSDV!W458,"")</f>
        <v/>
      </c>
    </row>
    <row r="454" spans="1:4">
      <c r="A454" t="str">
        <f>IF(DSDV!B459&lt;&gt;"",DSDV!B459,"")</f>
        <v/>
      </c>
      <c r="B454" t="str">
        <f>IF(DSDV!G459&lt;&gt;"",DSDV!G459,"")</f>
        <v/>
      </c>
      <c r="C454" s="237" t="str">
        <f>IF(DSDV!K459&lt;&gt;"",DSDV!K459,"")</f>
        <v/>
      </c>
      <c r="D454" s="417" t="str">
        <f>IF(DSDV!W459&lt;&gt;"",DSDV!W459,"")</f>
        <v/>
      </c>
    </row>
    <row r="455" spans="1:4">
      <c r="A455" t="str">
        <f>IF(DSDV!B460&lt;&gt;"",DSDV!B460,"")</f>
        <v/>
      </c>
      <c r="B455" t="str">
        <f>IF(DSDV!G460&lt;&gt;"",DSDV!G460,"")</f>
        <v/>
      </c>
      <c r="C455" s="237" t="str">
        <f>IF(DSDV!K460&lt;&gt;"",DSDV!K460,"")</f>
        <v/>
      </c>
      <c r="D455" s="417" t="str">
        <f>IF(DSDV!W460&lt;&gt;"",DSDV!W460,"")</f>
        <v/>
      </c>
    </row>
    <row r="456" spans="1:4">
      <c r="A456" t="str">
        <f>IF(DSDV!B461&lt;&gt;"",DSDV!B461,"")</f>
        <v/>
      </c>
      <c r="B456" t="str">
        <f>IF(DSDV!G461&lt;&gt;"",DSDV!G461,"")</f>
        <v/>
      </c>
      <c r="C456" s="237" t="str">
        <f>IF(DSDV!K461&lt;&gt;"",DSDV!K461,"")</f>
        <v/>
      </c>
      <c r="D456" s="417" t="str">
        <f>IF(DSDV!W461&lt;&gt;"",DSDV!W461,"")</f>
        <v/>
      </c>
    </row>
    <row r="457" spans="1:4">
      <c r="A457" t="str">
        <f>IF(DSDV!B462&lt;&gt;"",DSDV!B462,"")</f>
        <v/>
      </c>
      <c r="B457" t="str">
        <f>IF(DSDV!G462&lt;&gt;"",DSDV!G462,"")</f>
        <v/>
      </c>
      <c r="C457" s="237" t="str">
        <f>IF(DSDV!K462&lt;&gt;"",DSDV!K462,"")</f>
        <v/>
      </c>
      <c r="D457" s="417" t="str">
        <f>IF(DSDV!W462&lt;&gt;"",DSDV!W462,"")</f>
        <v/>
      </c>
    </row>
    <row r="458" spans="1:4">
      <c r="A458" t="str">
        <f>IF(DSDV!B463&lt;&gt;"",DSDV!B463,"")</f>
        <v/>
      </c>
      <c r="B458" t="str">
        <f>IF(DSDV!G463&lt;&gt;"",DSDV!G463,"")</f>
        <v/>
      </c>
      <c r="C458" s="237" t="str">
        <f>IF(DSDV!K463&lt;&gt;"",DSDV!K463,"")</f>
        <v/>
      </c>
      <c r="D458" s="417" t="str">
        <f>IF(DSDV!W463&lt;&gt;"",DSDV!W463,"")</f>
        <v/>
      </c>
    </row>
    <row r="459" spans="1:4">
      <c r="A459" t="str">
        <f>IF(DSDV!B464&lt;&gt;"",DSDV!B464,"")</f>
        <v/>
      </c>
      <c r="B459" t="str">
        <f>IF(DSDV!G464&lt;&gt;"",DSDV!G464,"")</f>
        <v/>
      </c>
      <c r="C459" s="237" t="str">
        <f>IF(DSDV!K464&lt;&gt;"",DSDV!K464,"")</f>
        <v/>
      </c>
      <c r="D459" s="417" t="str">
        <f>IF(DSDV!W464&lt;&gt;"",DSDV!W464,"")</f>
        <v/>
      </c>
    </row>
    <row r="460" spans="1:4">
      <c r="A460" t="str">
        <f>IF(DSDV!B465&lt;&gt;"",DSDV!B465,"")</f>
        <v/>
      </c>
      <c r="B460" t="str">
        <f>IF(DSDV!G465&lt;&gt;"",DSDV!G465,"")</f>
        <v/>
      </c>
      <c r="C460" s="237" t="str">
        <f>IF(DSDV!K465&lt;&gt;"",DSDV!K465,"")</f>
        <v/>
      </c>
      <c r="D460" s="417" t="str">
        <f>IF(DSDV!W465&lt;&gt;"",DSDV!W465,"")</f>
        <v/>
      </c>
    </row>
    <row r="461" spans="1:4">
      <c r="A461" t="str">
        <f>IF(DSDV!B466&lt;&gt;"",DSDV!B466,"")</f>
        <v/>
      </c>
      <c r="B461" t="str">
        <f>IF(DSDV!G466&lt;&gt;"",DSDV!G466,"")</f>
        <v/>
      </c>
      <c r="C461" s="237" t="str">
        <f>IF(DSDV!K466&lt;&gt;"",DSDV!K466,"")</f>
        <v/>
      </c>
      <c r="D461" s="417" t="str">
        <f>IF(DSDV!W466&lt;&gt;"",DSDV!W466,"")</f>
        <v/>
      </c>
    </row>
    <row r="462" spans="1:4">
      <c r="A462" t="str">
        <f>IF(DSDV!B467&lt;&gt;"",DSDV!B467,"")</f>
        <v/>
      </c>
      <c r="B462" t="str">
        <f>IF(DSDV!G467&lt;&gt;"",DSDV!G467,"")</f>
        <v/>
      </c>
      <c r="C462" s="237" t="str">
        <f>IF(DSDV!K467&lt;&gt;"",DSDV!K467,"")</f>
        <v/>
      </c>
      <c r="D462" s="417" t="str">
        <f>IF(DSDV!W467&lt;&gt;"",DSDV!W467,"")</f>
        <v/>
      </c>
    </row>
    <row r="463" spans="1:4">
      <c r="A463" t="str">
        <f>IF(DSDV!B468&lt;&gt;"",DSDV!B468,"")</f>
        <v/>
      </c>
      <c r="B463" t="str">
        <f>IF(DSDV!G468&lt;&gt;"",DSDV!G468,"")</f>
        <v/>
      </c>
      <c r="C463" s="237" t="str">
        <f>IF(DSDV!K468&lt;&gt;"",DSDV!K468,"")</f>
        <v/>
      </c>
      <c r="D463" s="417" t="str">
        <f>IF(DSDV!W468&lt;&gt;"",DSDV!W468,"")</f>
        <v/>
      </c>
    </row>
    <row r="464" spans="1:4">
      <c r="A464" t="str">
        <f>IF(DSDV!B469&lt;&gt;"",DSDV!B469,"")</f>
        <v/>
      </c>
      <c r="B464" t="str">
        <f>IF(DSDV!G469&lt;&gt;"",DSDV!G469,"")</f>
        <v/>
      </c>
      <c r="C464" s="237" t="str">
        <f>IF(DSDV!K469&lt;&gt;"",DSDV!K469,"")</f>
        <v/>
      </c>
      <c r="D464" s="417" t="str">
        <f>IF(DSDV!W469&lt;&gt;"",DSDV!W469,"")</f>
        <v/>
      </c>
    </row>
    <row r="465" spans="1:4">
      <c r="A465" t="str">
        <f>IF(DSDV!B470&lt;&gt;"",DSDV!B470,"")</f>
        <v/>
      </c>
      <c r="B465" t="str">
        <f>IF(DSDV!G470&lt;&gt;"",DSDV!G470,"")</f>
        <v/>
      </c>
      <c r="C465" s="237" t="str">
        <f>IF(DSDV!K470&lt;&gt;"",DSDV!K470,"")</f>
        <v/>
      </c>
      <c r="D465" s="417" t="str">
        <f>IF(DSDV!W470&lt;&gt;"",DSDV!W470,"")</f>
        <v/>
      </c>
    </row>
    <row r="466" spans="1:4">
      <c r="A466" t="str">
        <f>IF(DSDV!B471&lt;&gt;"",DSDV!B471,"")</f>
        <v/>
      </c>
      <c r="B466" t="str">
        <f>IF(DSDV!G471&lt;&gt;"",DSDV!G471,"")</f>
        <v/>
      </c>
      <c r="C466" s="237" t="str">
        <f>IF(DSDV!K471&lt;&gt;"",DSDV!K471,"")</f>
        <v/>
      </c>
      <c r="D466" s="417" t="str">
        <f>IF(DSDV!W471&lt;&gt;"",DSDV!W471,"")</f>
        <v/>
      </c>
    </row>
    <row r="467" spans="1:4">
      <c r="A467" t="str">
        <f>IF(DSDV!B472&lt;&gt;"",DSDV!B472,"")</f>
        <v/>
      </c>
      <c r="B467" t="str">
        <f>IF(DSDV!G472&lt;&gt;"",DSDV!G472,"")</f>
        <v/>
      </c>
      <c r="C467" s="237" t="str">
        <f>IF(DSDV!K472&lt;&gt;"",DSDV!K472,"")</f>
        <v/>
      </c>
      <c r="D467" s="417" t="str">
        <f>IF(DSDV!W472&lt;&gt;"",DSDV!W472,"")</f>
        <v/>
      </c>
    </row>
    <row r="468" spans="1:4">
      <c r="A468" t="str">
        <f>IF(DSDV!B473&lt;&gt;"",DSDV!B473,"")</f>
        <v/>
      </c>
      <c r="B468" t="str">
        <f>IF(DSDV!G473&lt;&gt;"",DSDV!G473,"")</f>
        <v/>
      </c>
      <c r="C468" s="237" t="str">
        <f>IF(DSDV!K473&lt;&gt;"",DSDV!K473,"")</f>
        <v/>
      </c>
      <c r="D468" s="417" t="str">
        <f>IF(DSDV!W473&lt;&gt;"",DSDV!W473,"")</f>
        <v/>
      </c>
    </row>
    <row r="469" spans="1:4">
      <c r="A469" t="str">
        <f>IF(DSDV!B474&lt;&gt;"",DSDV!B474,"")</f>
        <v/>
      </c>
      <c r="B469" t="str">
        <f>IF(DSDV!G474&lt;&gt;"",DSDV!G474,"")</f>
        <v/>
      </c>
      <c r="C469" s="237" t="str">
        <f>IF(DSDV!K474&lt;&gt;"",DSDV!K474,"")</f>
        <v/>
      </c>
      <c r="D469" s="417" t="str">
        <f>IF(DSDV!W474&lt;&gt;"",DSDV!W474,"")</f>
        <v/>
      </c>
    </row>
    <row r="470" spans="1:4">
      <c r="A470" t="str">
        <f>IF(DSDV!B475&lt;&gt;"",DSDV!B475,"")</f>
        <v/>
      </c>
      <c r="B470" t="str">
        <f>IF(DSDV!G475&lt;&gt;"",DSDV!G475,"")</f>
        <v/>
      </c>
      <c r="C470" s="237" t="str">
        <f>IF(DSDV!K475&lt;&gt;"",DSDV!K475,"")</f>
        <v/>
      </c>
      <c r="D470" s="417" t="str">
        <f>IF(DSDV!W475&lt;&gt;"",DSDV!W475,"")</f>
        <v/>
      </c>
    </row>
    <row r="471" spans="1:4">
      <c r="A471" t="str">
        <f>IF(DSDV!B476&lt;&gt;"",DSDV!B476,"")</f>
        <v/>
      </c>
      <c r="B471" t="str">
        <f>IF(DSDV!G476&lt;&gt;"",DSDV!G476,"")</f>
        <v/>
      </c>
      <c r="C471" s="237" t="str">
        <f>IF(DSDV!K476&lt;&gt;"",DSDV!K476,"")</f>
        <v/>
      </c>
      <c r="D471" s="417" t="str">
        <f>IF(DSDV!W476&lt;&gt;"",DSDV!W476,"")</f>
        <v/>
      </c>
    </row>
    <row r="472" spans="1:4">
      <c r="A472" t="str">
        <f>IF(DSDV!B477&lt;&gt;"",DSDV!B477,"")</f>
        <v/>
      </c>
      <c r="B472" t="str">
        <f>IF(DSDV!G477&lt;&gt;"",DSDV!G477,"")</f>
        <v/>
      </c>
      <c r="C472" s="237" t="str">
        <f>IF(DSDV!K477&lt;&gt;"",DSDV!K477,"")</f>
        <v/>
      </c>
      <c r="D472" s="417" t="str">
        <f>IF(DSDV!W477&lt;&gt;"",DSDV!W477,"")</f>
        <v/>
      </c>
    </row>
    <row r="473" spans="1:4">
      <c r="A473" t="str">
        <f>IF(DSDV!B478&lt;&gt;"",DSDV!B478,"")</f>
        <v/>
      </c>
      <c r="B473" t="str">
        <f>IF(DSDV!G478&lt;&gt;"",DSDV!G478,"")</f>
        <v/>
      </c>
      <c r="C473" s="237" t="str">
        <f>IF(DSDV!K478&lt;&gt;"",DSDV!K478,"")</f>
        <v/>
      </c>
      <c r="D473" s="417" t="str">
        <f>IF(DSDV!W478&lt;&gt;"",DSDV!W478,"")</f>
        <v/>
      </c>
    </row>
    <row r="474" spans="1:4">
      <c r="A474" t="str">
        <f>IF(DSDV!B479&lt;&gt;"",DSDV!B479,"")</f>
        <v/>
      </c>
      <c r="B474" t="str">
        <f>IF(DSDV!G479&lt;&gt;"",DSDV!G479,"")</f>
        <v/>
      </c>
      <c r="C474" s="237" t="str">
        <f>IF(DSDV!K479&lt;&gt;"",DSDV!K479,"")</f>
        <v/>
      </c>
      <c r="D474" s="417" t="str">
        <f>IF(DSDV!W479&lt;&gt;"",DSDV!W479,"")</f>
        <v/>
      </c>
    </row>
    <row r="475" spans="1:4">
      <c r="A475" t="str">
        <f>IF(DSDV!B480&lt;&gt;"",DSDV!B480,"")</f>
        <v/>
      </c>
      <c r="B475" t="str">
        <f>IF(DSDV!G480&lt;&gt;"",DSDV!G480,"")</f>
        <v/>
      </c>
      <c r="C475" s="237" t="str">
        <f>IF(DSDV!K480&lt;&gt;"",DSDV!K480,"")</f>
        <v/>
      </c>
      <c r="D475" s="417" t="str">
        <f>IF(DSDV!W480&lt;&gt;"",DSDV!W480,"")</f>
        <v/>
      </c>
    </row>
    <row r="476" spans="1:4">
      <c r="A476" t="str">
        <f>IF(DSDV!B481&lt;&gt;"",DSDV!B481,"")</f>
        <v/>
      </c>
      <c r="B476" t="str">
        <f>IF(DSDV!G481&lt;&gt;"",DSDV!G481,"")</f>
        <v/>
      </c>
      <c r="C476" s="237" t="str">
        <f>IF(DSDV!K481&lt;&gt;"",DSDV!K481,"")</f>
        <v/>
      </c>
      <c r="D476" s="417" t="str">
        <f>IF(DSDV!W481&lt;&gt;"",DSDV!W481,"")</f>
        <v/>
      </c>
    </row>
    <row r="477" spans="1:4">
      <c r="A477" t="str">
        <f>IF(DSDV!B482&lt;&gt;"",DSDV!B482,"")</f>
        <v/>
      </c>
      <c r="B477" t="str">
        <f>IF(DSDV!G482&lt;&gt;"",DSDV!G482,"")</f>
        <v/>
      </c>
      <c r="C477" s="237" t="str">
        <f>IF(DSDV!K482&lt;&gt;"",DSDV!K482,"")</f>
        <v/>
      </c>
      <c r="D477" s="417" t="str">
        <f>IF(DSDV!W482&lt;&gt;"",DSDV!W482,"")</f>
        <v/>
      </c>
    </row>
    <row r="478" spans="1:4">
      <c r="A478" t="str">
        <f>IF(DSDV!B483&lt;&gt;"",DSDV!B483,"")</f>
        <v/>
      </c>
      <c r="B478" t="str">
        <f>IF(DSDV!G483&lt;&gt;"",DSDV!G483,"")</f>
        <v/>
      </c>
      <c r="C478" s="237" t="str">
        <f>IF(DSDV!K483&lt;&gt;"",DSDV!K483,"")</f>
        <v/>
      </c>
      <c r="D478" s="417" t="str">
        <f>IF(DSDV!W483&lt;&gt;"",DSDV!W483,"")</f>
        <v/>
      </c>
    </row>
    <row r="479" spans="1:4">
      <c r="A479" t="str">
        <f>IF(DSDV!B484&lt;&gt;"",DSDV!B484,"")</f>
        <v/>
      </c>
      <c r="B479" t="str">
        <f>IF(DSDV!G484&lt;&gt;"",DSDV!G484,"")</f>
        <v/>
      </c>
      <c r="C479" s="237" t="str">
        <f>IF(DSDV!K484&lt;&gt;"",DSDV!K484,"")</f>
        <v/>
      </c>
      <c r="D479" s="417" t="str">
        <f>IF(DSDV!W484&lt;&gt;"",DSDV!W484,"")</f>
        <v/>
      </c>
    </row>
    <row r="480" spans="1:4">
      <c r="A480" t="str">
        <f>IF(DSDV!B485&lt;&gt;"",DSDV!B485,"")</f>
        <v/>
      </c>
      <c r="B480" t="str">
        <f>IF(DSDV!G485&lt;&gt;"",DSDV!G485,"")</f>
        <v/>
      </c>
      <c r="C480" s="237" t="str">
        <f>IF(DSDV!K485&lt;&gt;"",DSDV!K485,"")</f>
        <v/>
      </c>
      <c r="D480" s="417" t="str">
        <f>IF(DSDV!W485&lt;&gt;"",DSDV!W485,"")</f>
        <v/>
      </c>
    </row>
    <row r="481" spans="1:4">
      <c r="A481" t="str">
        <f>IF(DSDV!B486&lt;&gt;"",DSDV!B486,"")</f>
        <v/>
      </c>
      <c r="B481" t="str">
        <f>IF(DSDV!G486&lt;&gt;"",DSDV!G486,"")</f>
        <v/>
      </c>
      <c r="C481" s="237" t="str">
        <f>IF(DSDV!K486&lt;&gt;"",DSDV!K486,"")</f>
        <v/>
      </c>
      <c r="D481" s="417" t="str">
        <f>IF(DSDV!W486&lt;&gt;"",DSDV!W486,"")</f>
        <v/>
      </c>
    </row>
    <row r="482" spans="1:4">
      <c r="A482" t="str">
        <f>IF(DSDV!B487&lt;&gt;"",DSDV!B487,"")</f>
        <v/>
      </c>
      <c r="B482" t="str">
        <f>IF(DSDV!G487&lt;&gt;"",DSDV!G487,"")</f>
        <v/>
      </c>
      <c r="C482" s="237" t="str">
        <f>IF(DSDV!K487&lt;&gt;"",DSDV!K487,"")</f>
        <v/>
      </c>
      <c r="D482" s="417" t="str">
        <f>IF(DSDV!W487&lt;&gt;"",DSDV!W487,"")</f>
        <v/>
      </c>
    </row>
    <row r="483" spans="1:4">
      <c r="A483" t="str">
        <f>IF(DSDV!B488&lt;&gt;"",DSDV!B488,"")</f>
        <v/>
      </c>
      <c r="B483" t="str">
        <f>IF(DSDV!G488&lt;&gt;"",DSDV!G488,"")</f>
        <v/>
      </c>
      <c r="C483" s="237" t="str">
        <f>IF(DSDV!K488&lt;&gt;"",DSDV!K488,"")</f>
        <v/>
      </c>
      <c r="D483" s="417" t="str">
        <f>IF(DSDV!W488&lt;&gt;"",DSDV!W488,"")</f>
        <v/>
      </c>
    </row>
    <row r="484" spans="1:4">
      <c r="A484" t="str">
        <f>IF(DSDV!B489&lt;&gt;"",DSDV!B489,"")</f>
        <v/>
      </c>
      <c r="B484" t="str">
        <f>IF(DSDV!G489&lt;&gt;"",DSDV!G489,"")</f>
        <v/>
      </c>
      <c r="C484" s="237" t="str">
        <f>IF(DSDV!K489&lt;&gt;"",DSDV!K489,"")</f>
        <v/>
      </c>
      <c r="D484" s="417" t="str">
        <f>IF(DSDV!W489&lt;&gt;"",DSDV!W489,"")</f>
        <v/>
      </c>
    </row>
    <row r="485" spans="1:4">
      <c r="A485" t="str">
        <f>IF(DSDV!B490&lt;&gt;"",DSDV!B490,"")</f>
        <v/>
      </c>
      <c r="B485" t="str">
        <f>IF(DSDV!G490&lt;&gt;"",DSDV!G490,"")</f>
        <v/>
      </c>
      <c r="C485" s="237" t="str">
        <f>IF(DSDV!K490&lt;&gt;"",DSDV!K490,"")</f>
        <v/>
      </c>
      <c r="D485" s="417" t="str">
        <f>IF(DSDV!W490&lt;&gt;"",DSDV!W490,"")</f>
        <v/>
      </c>
    </row>
    <row r="486" spans="1:4">
      <c r="A486" t="str">
        <f>IF(DSDV!B491&lt;&gt;"",DSDV!B491,"")</f>
        <v/>
      </c>
      <c r="B486" t="str">
        <f>IF(DSDV!G491&lt;&gt;"",DSDV!G491,"")</f>
        <v/>
      </c>
      <c r="C486" s="237" t="str">
        <f>IF(DSDV!K491&lt;&gt;"",DSDV!K491,"")</f>
        <v/>
      </c>
      <c r="D486" s="417" t="str">
        <f>IF(DSDV!W491&lt;&gt;"",DSDV!W491,"")</f>
        <v/>
      </c>
    </row>
    <row r="487" spans="1:4">
      <c r="A487" t="str">
        <f>IF(DSDV!B492&lt;&gt;"",DSDV!B492,"")</f>
        <v/>
      </c>
      <c r="B487" t="str">
        <f>IF(DSDV!G492&lt;&gt;"",DSDV!G492,"")</f>
        <v/>
      </c>
      <c r="C487" s="237" t="str">
        <f>IF(DSDV!K492&lt;&gt;"",DSDV!K492,"")</f>
        <v/>
      </c>
      <c r="D487" s="417" t="str">
        <f>IF(DSDV!W492&lt;&gt;"",DSDV!W492,"")</f>
        <v/>
      </c>
    </row>
    <row r="488" spans="1:4">
      <c r="A488" t="str">
        <f>IF(DSDV!B493&lt;&gt;"",DSDV!B493,"")</f>
        <v/>
      </c>
      <c r="B488" t="str">
        <f>IF(DSDV!G493&lt;&gt;"",DSDV!G493,"")</f>
        <v/>
      </c>
      <c r="C488" s="237" t="str">
        <f>IF(DSDV!K493&lt;&gt;"",DSDV!K493,"")</f>
        <v/>
      </c>
      <c r="D488" s="417" t="str">
        <f>IF(DSDV!W493&lt;&gt;"",DSDV!W493,"")</f>
        <v/>
      </c>
    </row>
    <row r="489" spans="1:4">
      <c r="A489" t="str">
        <f>IF(DSDV!B494&lt;&gt;"",DSDV!B494,"")</f>
        <v/>
      </c>
      <c r="B489" t="str">
        <f>IF(DSDV!G494&lt;&gt;"",DSDV!G494,"")</f>
        <v/>
      </c>
      <c r="C489" s="237" t="str">
        <f>IF(DSDV!K494&lt;&gt;"",DSDV!K494,"")</f>
        <v/>
      </c>
      <c r="D489" s="417" t="str">
        <f>IF(DSDV!W494&lt;&gt;"",DSDV!W494,"")</f>
        <v/>
      </c>
    </row>
    <row r="490" spans="1:4">
      <c r="A490" t="str">
        <f>IF(DSDV!B495&lt;&gt;"",DSDV!B495,"")</f>
        <v/>
      </c>
      <c r="B490" t="str">
        <f>IF(DSDV!G495&lt;&gt;"",DSDV!G495,"")</f>
        <v/>
      </c>
      <c r="C490" s="237" t="str">
        <f>IF(DSDV!K495&lt;&gt;"",DSDV!K495,"")</f>
        <v/>
      </c>
      <c r="D490" s="417" t="str">
        <f>IF(DSDV!W495&lt;&gt;"",DSDV!W495,"")</f>
        <v/>
      </c>
    </row>
    <row r="491" spans="1:4">
      <c r="A491" t="str">
        <f>IF(DSDV!B496&lt;&gt;"",DSDV!B496,"")</f>
        <v/>
      </c>
      <c r="B491" t="str">
        <f>IF(DSDV!G496&lt;&gt;"",DSDV!G496,"")</f>
        <v/>
      </c>
      <c r="C491" s="237" t="str">
        <f>IF(DSDV!K496&lt;&gt;"",DSDV!K496,"")</f>
        <v/>
      </c>
      <c r="D491" s="417" t="str">
        <f>IF(DSDV!W496&lt;&gt;"",DSDV!W496,"")</f>
        <v/>
      </c>
    </row>
    <row r="492" spans="1:4">
      <c r="A492" t="str">
        <f>IF(DSDV!B497&lt;&gt;"",DSDV!B497,"")</f>
        <v/>
      </c>
      <c r="B492" t="str">
        <f>IF(DSDV!G497&lt;&gt;"",DSDV!G497,"")</f>
        <v/>
      </c>
      <c r="C492" s="237" t="str">
        <f>IF(DSDV!K497&lt;&gt;"",DSDV!K497,"")</f>
        <v/>
      </c>
      <c r="D492" s="417" t="str">
        <f>IF(DSDV!W497&lt;&gt;"",DSDV!W497,"")</f>
        <v/>
      </c>
    </row>
    <row r="493" spans="1:4">
      <c r="A493" t="str">
        <f>IF(DSDV!B498&lt;&gt;"",DSDV!B498,"")</f>
        <v/>
      </c>
      <c r="B493" t="str">
        <f>IF(DSDV!G498&lt;&gt;"",DSDV!G498,"")</f>
        <v/>
      </c>
      <c r="C493" s="237" t="str">
        <f>IF(DSDV!K498&lt;&gt;"",DSDV!K498,"")</f>
        <v/>
      </c>
      <c r="D493" s="417" t="str">
        <f>IF(DSDV!W498&lt;&gt;"",DSDV!W498,"")</f>
        <v/>
      </c>
    </row>
    <row r="494" spans="1:4">
      <c r="A494" t="str">
        <f>IF(DSDV!B499&lt;&gt;"",DSDV!B499,"")</f>
        <v/>
      </c>
      <c r="B494" t="str">
        <f>IF(DSDV!G499&lt;&gt;"",DSDV!G499,"")</f>
        <v/>
      </c>
      <c r="C494" s="237" t="str">
        <f>IF(DSDV!K499&lt;&gt;"",DSDV!K499,"")</f>
        <v/>
      </c>
      <c r="D494" s="417" t="str">
        <f>IF(DSDV!W499&lt;&gt;"",DSDV!W499,"")</f>
        <v/>
      </c>
    </row>
    <row r="495" spans="1:4">
      <c r="A495" t="str">
        <f>IF(DSDV!B500&lt;&gt;"",DSDV!B500,"")</f>
        <v/>
      </c>
      <c r="B495" t="str">
        <f>IF(DSDV!G500&lt;&gt;"",DSDV!G500,"")</f>
        <v/>
      </c>
      <c r="C495" s="237" t="str">
        <f>IF(DSDV!K500&lt;&gt;"",DSDV!K500,"")</f>
        <v/>
      </c>
      <c r="D495" s="417" t="str">
        <f>IF(DSDV!W500&lt;&gt;"",DSDV!W500,"")</f>
        <v/>
      </c>
    </row>
    <row r="496" spans="1:4">
      <c r="A496" t="str">
        <f>IF(DSDV!B501&lt;&gt;"",DSDV!B501,"")</f>
        <v/>
      </c>
      <c r="B496" t="str">
        <f>IF(DSDV!G501&lt;&gt;"",DSDV!G501,"")</f>
        <v/>
      </c>
      <c r="C496" s="237" t="str">
        <f>IF(DSDV!K501&lt;&gt;"",DSDV!K501,"")</f>
        <v/>
      </c>
      <c r="D496" s="417" t="str">
        <f>IF(DSDV!W501&lt;&gt;"",DSDV!W501,"")</f>
        <v/>
      </c>
    </row>
    <row r="497" spans="1:4">
      <c r="A497" t="str">
        <f>IF(DSDV!B502&lt;&gt;"",DSDV!B502,"")</f>
        <v/>
      </c>
      <c r="B497" t="str">
        <f>IF(DSDV!G502&lt;&gt;"",DSDV!G502,"")</f>
        <v/>
      </c>
      <c r="C497" s="237" t="str">
        <f>IF(DSDV!K502&lt;&gt;"",DSDV!K502,"")</f>
        <v/>
      </c>
      <c r="D497" s="417" t="str">
        <f>IF(DSDV!W502&lt;&gt;"",DSDV!W502,"")</f>
        <v/>
      </c>
    </row>
    <row r="498" spans="1:4">
      <c r="A498" t="str">
        <f>IF(DSDV!B503&lt;&gt;"",DSDV!B503,"")</f>
        <v/>
      </c>
      <c r="B498" t="str">
        <f>IF(DSDV!G503&lt;&gt;"",DSDV!G503,"")</f>
        <v/>
      </c>
      <c r="C498" s="237" t="str">
        <f>IF(DSDV!K503&lt;&gt;"",DSDV!K503,"")</f>
        <v/>
      </c>
      <c r="D498" s="417" t="str">
        <f>IF(DSDV!W503&lt;&gt;"",DSDV!W503,"")</f>
        <v/>
      </c>
    </row>
    <row r="499" spans="1:4">
      <c r="A499" t="str">
        <f>IF(DSDV!B504&lt;&gt;"",DSDV!B504,"")</f>
        <v/>
      </c>
      <c r="B499" t="str">
        <f>IF(DSDV!G504&lt;&gt;"",DSDV!G504,"")</f>
        <v/>
      </c>
      <c r="C499" s="237" t="str">
        <f>IF(DSDV!K504&lt;&gt;"",DSDV!K504,"")</f>
        <v/>
      </c>
      <c r="D499" s="417" t="str">
        <f>IF(DSDV!W504&lt;&gt;"",DSDV!W504,"")</f>
        <v/>
      </c>
    </row>
    <row r="500" spans="1:4">
      <c r="A500" t="str">
        <f>IF(DSDV!B505&lt;&gt;"",DSDV!B505,"")</f>
        <v/>
      </c>
      <c r="B500" t="str">
        <f>IF(DSDV!G505&lt;&gt;"",DSDV!G505,"")</f>
        <v/>
      </c>
      <c r="C500" s="237" t="str">
        <f>IF(DSDV!K505&lt;&gt;"",DSDV!K505,"")</f>
        <v/>
      </c>
      <c r="D500" s="417" t="str">
        <f>IF(DSDV!W505&lt;&gt;"",DSDV!W505,"")</f>
        <v/>
      </c>
    </row>
    <row r="501" spans="1:4">
      <c r="A501" t="str">
        <f>IF(DSDV!B506&lt;&gt;"",DSDV!B506,"")</f>
        <v/>
      </c>
      <c r="B501" t="str">
        <f>IF(DSDV!G506&lt;&gt;"",DSDV!G506,"")</f>
        <v/>
      </c>
      <c r="C501" s="237" t="str">
        <f>IF(DSDV!K506&lt;&gt;"",DSDV!K506,"")</f>
        <v/>
      </c>
      <c r="D501" s="417" t="str">
        <f>IF(DSDV!W506&lt;&gt;"",DSDV!W506,"")</f>
        <v/>
      </c>
    </row>
    <row r="502" spans="1:4">
      <c r="A502" t="str">
        <f>IF(DSDV!B507&lt;&gt;"",DSDV!B507,"")</f>
        <v/>
      </c>
      <c r="B502" t="str">
        <f>IF(DSDV!G507&lt;&gt;"",DSDV!G507,"")</f>
        <v/>
      </c>
      <c r="C502" s="237" t="str">
        <f>IF(DSDV!K507&lt;&gt;"",DSDV!K507,"")</f>
        <v/>
      </c>
      <c r="D502" s="417" t="str">
        <f>IF(DSDV!W507&lt;&gt;"",DSDV!W507,"")</f>
        <v/>
      </c>
    </row>
    <row r="503" spans="1:4">
      <c r="A503" t="str">
        <f>IF(DSDV!B508&lt;&gt;"",DSDV!B508,"")</f>
        <v/>
      </c>
      <c r="B503" t="str">
        <f>IF(DSDV!G508&lt;&gt;"",DSDV!G508,"")</f>
        <v/>
      </c>
      <c r="C503" s="237" t="str">
        <f>IF(DSDV!K508&lt;&gt;"",DSDV!K508,"")</f>
        <v/>
      </c>
      <c r="D503" s="417" t="str">
        <f>IF(DSDV!W508&lt;&gt;"",DSDV!W508,"")</f>
        <v/>
      </c>
    </row>
    <row r="504" spans="1:4">
      <c r="A504" t="str">
        <f>IF(DSDV!B509&lt;&gt;"",DSDV!B509,"")</f>
        <v/>
      </c>
      <c r="B504" t="str">
        <f>IF(DSDV!G509&lt;&gt;"",DSDV!G509,"")</f>
        <v/>
      </c>
      <c r="C504" s="237" t="str">
        <f>IF(DSDV!K509&lt;&gt;"",DSDV!K509,"")</f>
        <v/>
      </c>
      <c r="D504" s="417" t="str">
        <f>IF(DSDV!W509&lt;&gt;"",DSDV!W509,"")</f>
        <v/>
      </c>
    </row>
    <row r="505" spans="1:4">
      <c r="A505" t="str">
        <f>IF(DSDV!B510&lt;&gt;"",DSDV!B510,"")</f>
        <v/>
      </c>
      <c r="B505" t="str">
        <f>IF(DSDV!G510&lt;&gt;"",DSDV!G510,"")</f>
        <v/>
      </c>
      <c r="C505" s="237" t="str">
        <f>IF(DSDV!K510&lt;&gt;"",DSDV!K510,"")</f>
        <v/>
      </c>
      <c r="D505" s="417" t="str">
        <f>IF(DSDV!W510&lt;&gt;"",DSDV!W510,"")</f>
        <v/>
      </c>
    </row>
    <row r="506" spans="1:4">
      <c r="A506" t="str">
        <f>IF(DSDV!B511&lt;&gt;"",DSDV!B511,"")</f>
        <v/>
      </c>
      <c r="B506" t="str">
        <f>IF(DSDV!G511&lt;&gt;"",DSDV!G511,"")</f>
        <v/>
      </c>
      <c r="C506" s="237" t="str">
        <f>IF(DSDV!K511&lt;&gt;"",DSDV!K511,"")</f>
        <v/>
      </c>
      <c r="D506" s="417" t="str">
        <f>IF(DSDV!W511&lt;&gt;"",DSDV!W511,"")</f>
        <v/>
      </c>
    </row>
    <row r="507" spans="1:4">
      <c r="A507" t="str">
        <f>IF(DSDV!B512&lt;&gt;"",DSDV!B512,"")</f>
        <v/>
      </c>
      <c r="B507" t="str">
        <f>IF(DSDV!G512&lt;&gt;"",DSDV!G512,"")</f>
        <v/>
      </c>
      <c r="C507" s="237" t="str">
        <f>IF(DSDV!K512&lt;&gt;"",DSDV!K512,"")</f>
        <v/>
      </c>
      <c r="D507" s="417" t="str">
        <f>IF(DSDV!W512&lt;&gt;"",DSDV!W512,"")</f>
        <v/>
      </c>
    </row>
    <row r="508" spans="1:4">
      <c r="A508" t="str">
        <f>IF(DSDV!B513&lt;&gt;"",DSDV!B513,"")</f>
        <v/>
      </c>
      <c r="B508" t="str">
        <f>IF(DSDV!G513&lt;&gt;"",DSDV!G513,"")</f>
        <v/>
      </c>
      <c r="C508" s="237" t="str">
        <f>IF(DSDV!K513&lt;&gt;"",DSDV!K513,"")</f>
        <v/>
      </c>
      <c r="D508" s="417" t="str">
        <f>IF(DSDV!W513&lt;&gt;"",DSDV!W513,"")</f>
        <v/>
      </c>
    </row>
    <row r="509" spans="1:4">
      <c r="A509" t="str">
        <f>IF(DSDV!B514&lt;&gt;"",DSDV!B514,"")</f>
        <v/>
      </c>
      <c r="B509" t="str">
        <f>IF(DSDV!G514&lt;&gt;"",DSDV!G514,"")</f>
        <v/>
      </c>
      <c r="C509" s="237" t="str">
        <f>IF(DSDV!K514&lt;&gt;"",DSDV!K514,"")</f>
        <v/>
      </c>
      <c r="D509" s="417" t="str">
        <f>IF(DSDV!W514&lt;&gt;"",DSDV!W514,"")</f>
        <v/>
      </c>
    </row>
    <row r="510" spans="1:4">
      <c r="A510" t="str">
        <f>IF(DSDV!B515&lt;&gt;"",DSDV!B515,"")</f>
        <v/>
      </c>
      <c r="B510" t="str">
        <f>IF(DSDV!G515&lt;&gt;"",DSDV!G515,"")</f>
        <v/>
      </c>
      <c r="C510" s="237" t="str">
        <f>IF(DSDV!K515&lt;&gt;"",DSDV!K515,"")</f>
        <v/>
      </c>
      <c r="D510" s="417" t="str">
        <f>IF(DSDV!W515&lt;&gt;"",DSDV!W515,"")</f>
        <v/>
      </c>
    </row>
    <row r="511" spans="1:4">
      <c r="A511" t="str">
        <f>IF(DSDV!B516&lt;&gt;"",DSDV!B516,"")</f>
        <v/>
      </c>
      <c r="B511" t="str">
        <f>IF(DSDV!G516&lt;&gt;"",DSDV!G516,"")</f>
        <v/>
      </c>
      <c r="C511" s="237" t="str">
        <f>IF(DSDV!K516&lt;&gt;"",DSDV!K516,"")</f>
        <v/>
      </c>
      <c r="D511" s="417" t="str">
        <f>IF(DSDV!W516&lt;&gt;"",DSDV!W516,"")</f>
        <v/>
      </c>
    </row>
    <row r="512" spans="1:4">
      <c r="A512" t="str">
        <f>IF(DSDV!B517&lt;&gt;"",DSDV!B517,"")</f>
        <v/>
      </c>
      <c r="B512" t="str">
        <f>IF(DSDV!G517&lt;&gt;"",DSDV!G517,"")</f>
        <v/>
      </c>
      <c r="C512" s="237" t="str">
        <f>IF(DSDV!K517&lt;&gt;"",DSDV!K517,"")</f>
        <v/>
      </c>
      <c r="D512" s="417" t="str">
        <f>IF(DSDV!W517&lt;&gt;"",DSDV!W517,"")</f>
        <v/>
      </c>
    </row>
    <row r="513" spans="1:4">
      <c r="A513" t="str">
        <f>IF(DSDV!B518&lt;&gt;"",DSDV!B518,"")</f>
        <v/>
      </c>
      <c r="B513" t="str">
        <f>IF(DSDV!G518&lt;&gt;"",DSDV!G518,"")</f>
        <v/>
      </c>
      <c r="C513" s="237" t="str">
        <f>IF(DSDV!K518&lt;&gt;"",DSDV!K518,"")</f>
        <v/>
      </c>
      <c r="D513" s="417" t="str">
        <f>IF(DSDV!W518&lt;&gt;"",DSDV!W518,"")</f>
        <v/>
      </c>
    </row>
    <row r="514" spans="1:4">
      <c r="A514" t="str">
        <f>IF(DSDV!B519&lt;&gt;"",DSDV!B519,"")</f>
        <v/>
      </c>
      <c r="B514" t="str">
        <f>IF(DSDV!G519&lt;&gt;"",DSDV!G519,"")</f>
        <v/>
      </c>
      <c r="C514" s="237" t="str">
        <f>IF(DSDV!K519&lt;&gt;"",DSDV!K519,"")</f>
        <v/>
      </c>
      <c r="D514" s="417" t="str">
        <f>IF(DSDV!W519&lt;&gt;"",DSDV!W519,"")</f>
        <v/>
      </c>
    </row>
    <row r="515" spans="1:4">
      <c r="A515" t="str">
        <f>IF(DSDV!B520&lt;&gt;"",DSDV!B520,"")</f>
        <v/>
      </c>
      <c r="B515" t="str">
        <f>IF(DSDV!G520&lt;&gt;"",DSDV!G520,"")</f>
        <v/>
      </c>
      <c r="C515" s="237" t="str">
        <f>IF(DSDV!K520&lt;&gt;"",DSDV!K520,"")</f>
        <v/>
      </c>
      <c r="D515" s="417" t="str">
        <f>IF(DSDV!W520&lt;&gt;"",DSDV!W520,"")</f>
        <v/>
      </c>
    </row>
    <row r="516" spans="1:4">
      <c r="A516" t="str">
        <f>IF(DSDV!B521&lt;&gt;"",DSDV!B521,"")</f>
        <v/>
      </c>
      <c r="B516" t="str">
        <f>IF(DSDV!G521&lt;&gt;"",DSDV!G521,"")</f>
        <v/>
      </c>
      <c r="C516" s="237" t="str">
        <f>IF(DSDV!K521&lt;&gt;"",DSDV!K521,"")</f>
        <v/>
      </c>
      <c r="D516" s="417" t="str">
        <f>IF(DSDV!W521&lt;&gt;"",DSDV!W521,"")</f>
        <v/>
      </c>
    </row>
    <row r="517" spans="1:4">
      <c r="A517" t="str">
        <f>IF(DSDV!B522&lt;&gt;"",DSDV!B522,"")</f>
        <v/>
      </c>
      <c r="B517" t="str">
        <f>IF(DSDV!G522&lt;&gt;"",DSDV!G522,"")</f>
        <v/>
      </c>
      <c r="C517" s="237" t="str">
        <f>IF(DSDV!K522&lt;&gt;"",DSDV!K522,"")</f>
        <v/>
      </c>
      <c r="D517" s="417" t="str">
        <f>IF(DSDV!W522&lt;&gt;"",DSDV!W522,"")</f>
        <v/>
      </c>
    </row>
    <row r="518" spans="1:4">
      <c r="A518" t="str">
        <f>IF(DSDV!B523&lt;&gt;"",DSDV!B523,"")</f>
        <v/>
      </c>
      <c r="B518" t="str">
        <f>IF(DSDV!G523&lt;&gt;"",DSDV!G523,"")</f>
        <v/>
      </c>
      <c r="C518" s="237" t="str">
        <f>IF(DSDV!K523&lt;&gt;"",DSDV!K523,"")</f>
        <v/>
      </c>
      <c r="D518" s="417" t="str">
        <f>IF(DSDV!W523&lt;&gt;"",DSDV!W523,"")</f>
        <v/>
      </c>
    </row>
    <row r="519" spans="1:4">
      <c r="A519" t="str">
        <f>IF(DSDV!B524&lt;&gt;"",DSDV!B524,"")</f>
        <v/>
      </c>
      <c r="B519" t="str">
        <f>IF(DSDV!G524&lt;&gt;"",DSDV!G524,"")</f>
        <v/>
      </c>
      <c r="C519" s="237" t="str">
        <f>IF(DSDV!K524&lt;&gt;"",DSDV!K524,"")</f>
        <v/>
      </c>
      <c r="D519" s="417" t="str">
        <f>IF(DSDV!W524&lt;&gt;"",DSDV!W524,"")</f>
        <v/>
      </c>
    </row>
    <row r="520" spans="1:4">
      <c r="A520" t="str">
        <f>IF(DSDV!B525&lt;&gt;"",DSDV!B525,"")</f>
        <v/>
      </c>
      <c r="B520" t="str">
        <f>IF(DSDV!G525&lt;&gt;"",DSDV!G525,"")</f>
        <v/>
      </c>
      <c r="C520" s="237" t="str">
        <f>IF(DSDV!K525&lt;&gt;"",DSDV!K525,"")</f>
        <v/>
      </c>
      <c r="D520" s="417" t="str">
        <f>IF(DSDV!W525&lt;&gt;"",DSDV!W525,"")</f>
        <v/>
      </c>
    </row>
    <row r="521" spans="1:4">
      <c r="A521" t="str">
        <f>IF(DSDV!B526&lt;&gt;"",DSDV!B526,"")</f>
        <v/>
      </c>
      <c r="B521" t="str">
        <f>IF(DSDV!G526&lt;&gt;"",DSDV!G526,"")</f>
        <v/>
      </c>
      <c r="C521" s="237" t="str">
        <f>IF(DSDV!K526&lt;&gt;"",DSDV!K526,"")</f>
        <v/>
      </c>
      <c r="D521" s="417" t="str">
        <f>IF(DSDV!W526&lt;&gt;"",DSDV!W526,"")</f>
        <v/>
      </c>
    </row>
    <row r="522" spans="1:4">
      <c r="A522" t="str">
        <f>IF(DSDV!B527&lt;&gt;"",DSDV!B527,"")</f>
        <v/>
      </c>
      <c r="B522" t="str">
        <f>IF(DSDV!G527&lt;&gt;"",DSDV!G527,"")</f>
        <v/>
      </c>
      <c r="C522" s="237" t="str">
        <f>IF(DSDV!K527&lt;&gt;"",DSDV!K527,"")</f>
        <v/>
      </c>
      <c r="D522" s="417" t="str">
        <f>IF(DSDV!W527&lt;&gt;"",DSDV!W527,"")</f>
        <v/>
      </c>
    </row>
    <row r="523" spans="1:4">
      <c r="A523" t="str">
        <f>IF(DSDV!B528&lt;&gt;"",DSDV!B528,"")</f>
        <v/>
      </c>
      <c r="B523" t="str">
        <f>IF(DSDV!G528&lt;&gt;"",DSDV!G528,"")</f>
        <v/>
      </c>
      <c r="C523" s="237" t="str">
        <f>IF(DSDV!K528&lt;&gt;"",DSDV!K528,"")</f>
        <v/>
      </c>
      <c r="D523" s="417" t="str">
        <f>IF(DSDV!W528&lt;&gt;"",DSDV!W528,"")</f>
        <v/>
      </c>
    </row>
    <row r="524" spans="1:4">
      <c r="A524" t="str">
        <f>IF(DSDV!B529&lt;&gt;"",DSDV!B529,"")</f>
        <v/>
      </c>
      <c r="B524" t="str">
        <f>IF(DSDV!G529&lt;&gt;"",DSDV!G529,"")</f>
        <v/>
      </c>
      <c r="C524" s="237" t="str">
        <f>IF(DSDV!K529&lt;&gt;"",DSDV!K529,"")</f>
        <v/>
      </c>
      <c r="D524" s="417" t="str">
        <f>IF(DSDV!W529&lt;&gt;"",DSDV!W529,"")</f>
        <v/>
      </c>
    </row>
    <row r="525" spans="1:4">
      <c r="A525" t="str">
        <f>IF(DSDV!B530&lt;&gt;"",DSDV!B530,"")</f>
        <v/>
      </c>
      <c r="B525" t="str">
        <f>IF(DSDV!G530&lt;&gt;"",DSDV!G530,"")</f>
        <v/>
      </c>
      <c r="C525" s="237" t="str">
        <f>IF(DSDV!K530&lt;&gt;"",DSDV!K530,"")</f>
        <v/>
      </c>
      <c r="D525" s="417" t="str">
        <f>IF(DSDV!W530&lt;&gt;"",DSDV!W530,"")</f>
        <v/>
      </c>
    </row>
    <row r="526" spans="1:4">
      <c r="A526" t="str">
        <f>IF(DSDV!B531&lt;&gt;"",DSDV!B531,"")</f>
        <v/>
      </c>
      <c r="B526" t="str">
        <f>IF(DSDV!G531&lt;&gt;"",DSDV!G531,"")</f>
        <v/>
      </c>
      <c r="C526" s="237" t="str">
        <f>IF(DSDV!K531&lt;&gt;"",DSDV!K531,"")</f>
        <v/>
      </c>
      <c r="D526" s="417" t="str">
        <f>IF(DSDV!W531&lt;&gt;"",DSDV!W531,"")</f>
        <v/>
      </c>
    </row>
    <row r="527" spans="1:4">
      <c r="A527" t="str">
        <f>IF(DSDV!B532&lt;&gt;"",DSDV!B532,"")</f>
        <v/>
      </c>
      <c r="B527" t="str">
        <f>IF(DSDV!G532&lt;&gt;"",DSDV!G532,"")</f>
        <v/>
      </c>
      <c r="C527" s="237" t="str">
        <f>IF(DSDV!K532&lt;&gt;"",DSDV!K532,"")</f>
        <v/>
      </c>
      <c r="D527" s="417" t="str">
        <f>IF(DSDV!W532&lt;&gt;"",DSDV!W532,"")</f>
        <v/>
      </c>
    </row>
    <row r="528" spans="1:4">
      <c r="A528" t="str">
        <f>IF(DSDV!B533&lt;&gt;"",DSDV!B533,"")</f>
        <v/>
      </c>
      <c r="B528" t="str">
        <f>IF(DSDV!G533&lt;&gt;"",DSDV!G533,"")</f>
        <v/>
      </c>
      <c r="C528" s="237" t="str">
        <f>IF(DSDV!K533&lt;&gt;"",DSDV!K533,"")</f>
        <v/>
      </c>
      <c r="D528" s="417" t="str">
        <f>IF(DSDV!W533&lt;&gt;"",DSDV!W533,"")</f>
        <v/>
      </c>
    </row>
    <row r="529" spans="1:4">
      <c r="A529" t="str">
        <f>IF(DSDV!B534&lt;&gt;"",DSDV!B534,"")</f>
        <v/>
      </c>
      <c r="B529" t="str">
        <f>IF(DSDV!G534&lt;&gt;"",DSDV!G534,"")</f>
        <v/>
      </c>
      <c r="C529" s="237" t="str">
        <f>IF(DSDV!K534&lt;&gt;"",DSDV!K534,"")</f>
        <v/>
      </c>
      <c r="D529" s="417" t="str">
        <f>IF(DSDV!W534&lt;&gt;"",DSDV!W534,"")</f>
        <v/>
      </c>
    </row>
    <row r="530" spans="1:4">
      <c r="A530" t="str">
        <f>IF(DSDV!B535&lt;&gt;"",DSDV!B535,"")</f>
        <v/>
      </c>
      <c r="B530" t="str">
        <f>IF(DSDV!G535&lt;&gt;"",DSDV!G535,"")</f>
        <v/>
      </c>
      <c r="C530" s="237" t="str">
        <f>IF(DSDV!K535&lt;&gt;"",DSDV!K535,"")</f>
        <v/>
      </c>
      <c r="D530" s="417" t="str">
        <f>IF(DSDV!W535&lt;&gt;"",DSDV!W535,"")</f>
        <v/>
      </c>
    </row>
    <row r="531" spans="1:4">
      <c r="A531" t="str">
        <f>IF(DSDV!B536&lt;&gt;"",DSDV!B536,"")</f>
        <v/>
      </c>
      <c r="B531" t="str">
        <f>IF(DSDV!G536&lt;&gt;"",DSDV!G536,"")</f>
        <v/>
      </c>
      <c r="C531" s="237" t="str">
        <f>IF(DSDV!K536&lt;&gt;"",DSDV!K536,"")</f>
        <v/>
      </c>
      <c r="D531" s="417" t="str">
        <f>IF(DSDV!W536&lt;&gt;"",DSDV!W536,"")</f>
        <v/>
      </c>
    </row>
    <row r="532" spans="1:4">
      <c r="A532" t="str">
        <f>IF(DSDV!B537&lt;&gt;"",DSDV!B537,"")</f>
        <v/>
      </c>
      <c r="B532" t="str">
        <f>IF(DSDV!G537&lt;&gt;"",DSDV!G537,"")</f>
        <v/>
      </c>
      <c r="C532" s="237" t="str">
        <f>IF(DSDV!K537&lt;&gt;"",DSDV!K537,"")</f>
        <v/>
      </c>
      <c r="D532" s="417" t="str">
        <f>IF(DSDV!W537&lt;&gt;"",DSDV!W537,"")</f>
        <v/>
      </c>
    </row>
    <row r="533" spans="1:4">
      <c r="A533" t="str">
        <f>IF(DSDV!B538&lt;&gt;"",DSDV!B538,"")</f>
        <v/>
      </c>
      <c r="B533" t="str">
        <f>IF(DSDV!G538&lt;&gt;"",DSDV!G538,"")</f>
        <v/>
      </c>
      <c r="C533" s="237" t="str">
        <f>IF(DSDV!K538&lt;&gt;"",DSDV!K538,"")</f>
        <v/>
      </c>
      <c r="D533" s="417" t="str">
        <f>IF(DSDV!W538&lt;&gt;"",DSDV!W538,"")</f>
        <v/>
      </c>
    </row>
    <row r="534" spans="1:4">
      <c r="A534" t="str">
        <f>IF(DSDV!B539&lt;&gt;"",DSDV!B539,"")</f>
        <v/>
      </c>
      <c r="B534" t="str">
        <f>IF(DSDV!G539&lt;&gt;"",DSDV!G539,"")</f>
        <v/>
      </c>
      <c r="C534" s="237" t="str">
        <f>IF(DSDV!K539&lt;&gt;"",DSDV!K539,"")</f>
        <v/>
      </c>
      <c r="D534" s="417" t="str">
        <f>IF(DSDV!W539&lt;&gt;"",DSDV!W539,"")</f>
        <v/>
      </c>
    </row>
    <row r="535" spans="1:4">
      <c r="A535" t="str">
        <f>IF(DSDV!B540&lt;&gt;"",DSDV!B540,"")</f>
        <v/>
      </c>
      <c r="B535" t="str">
        <f>IF(DSDV!G540&lt;&gt;"",DSDV!G540,"")</f>
        <v/>
      </c>
      <c r="C535" s="237" t="str">
        <f>IF(DSDV!K540&lt;&gt;"",DSDV!K540,"")</f>
        <v/>
      </c>
      <c r="D535" s="417" t="str">
        <f>IF(DSDV!W540&lt;&gt;"",DSDV!W540,"")</f>
        <v/>
      </c>
    </row>
    <row r="536" spans="1:4">
      <c r="A536" t="str">
        <f>IF(DSDV!B541&lt;&gt;"",DSDV!B541,"")</f>
        <v/>
      </c>
      <c r="B536" t="str">
        <f>IF(DSDV!G541&lt;&gt;"",DSDV!G541,"")</f>
        <v/>
      </c>
      <c r="C536" s="237" t="str">
        <f>IF(DSDV!K541&lt;&gt;"",DSDV!K541,"")</f>
        <v/>
      </c>
      <c r="D536" s="417" t="str">
        <f>IF(DSDV!W541&lt;&gt;"",DSDV!W541,"")</f>
        <v/>
      </c>
    </row>
    <row r="537" spans="1:4">
      <c r="A537" t="str">
        <f>IF(DSDV!B542&lt;&gt;"",DSDV!B542,"")</f>
        <v/>
      </c>
      <c r="B537" t="str">
        <f>IF(DSDV!G542&lt;&gt;"",DSDV!G542,"")</f>
        <v/>
      </c>
      <c r="C537" s="237" t="str">
        <f>IF(DSDV!K542&lt;&gt;"",DSDV!K542,"")</f>
        <v/>
      </c>
      <c r="D537" s="417" t="str">
        <f>IF(DSDV!W542&lt;&gt;"",DSDV!W542,"")</f>
        <v/>
      </c>
    </row>
    <row r="538" spans="1:4">
      <c r="A538" t="str">
        <f>IF(DSDV!B543&lt;&gt;"",DSDV!B543,"")</f>
        <v/>
      </c>
      <c r="B538" t="str">
        <f>IF(DSDV!G543&lt;&gt;"",DSDV!G543,"")</f>
        <v/>
      </c>
      <c r="C538" s="237" t="str">
        <f>IF(DSDV!K543&lt;&gt;"",DSDV!K543,"")</f>
        <v/>
      </c>
      <c r="D538" s="417" t="str">
        <f>IF(DSDV!W543&lt;&gt;"",DSDV!W543,"")</f>
        <v/>
      </c>
    </row>
    <row r="539" spans="1:4">
      <c r="A539" t="str">
        <f>IF(DSDV!B544&lt;&gt;"",DSDV!B544,"")</f>
        <v/>
      </c>
      <c r="B539" t="str">
        <f>IF(DSDV!G544&lt;&gt;"",DSDV!G544,"")</f>
        <v/>
      </c>
      <c r="C539" s="237" t="str">
        <f>IF(DSDV!K544&lt;&gt;"",DSDV!K544,"")</f>
        <v/>
      </c>
      <c r="D539" s="417" t="str">
        <f>IF(DSDV!W544&lt;&gt;"",DSDV!W544,"")</f>
        <v/>
      </c>
    </row>
    <row r="540" spans="1:4">
      <c r="A540" t="str">
        <f>IF(DSDV!B545&lt;&gt;"",DSDV!B545,"")</f>
        <v/>
      </c>
      <c r="B540" t="str">
        <f>IF(DSDV!G545&lt;&gt;"",DSDV!G545,"")</f>
        <v/>
      </c>
      <c r="C540" s="237" t="str">
        <f>IF(DSDV!K545&lt;&gt;"",DSDV!K545,"")</f>
        <v/>
      </c>
      <c r="D540" s="417" t="str">
        <f>IF(DSDV!W545&lt;&gt;"",DSDV!W545,"")</f>
        <v/>
      </c>
    </row>
    <row r="541" spans="1:4">
      <c r="A541" t="str">
        <f>IF(DSDV!B546&lt;&gt;"",DSDV!B546,"")</f>
        <v/>
      </c>
      <c r="B541" t="str">
        <f>IF(DSDV!G546&lt;&gt;"",DSDV!G546,"")</f>
        <v/>
      </c>
      <c r="C541" s="237" t="str">
        <f>IF(DSDV!K546&lt;&gt;"",DSDV!K546,"")</f>
        <v/>
      </c>
      <c r="D541" s="417" t="str">
        <f>IF(DSDV!W546&lt;&gt;"",DSDV!W546,"")</f>
        <v/>
      </c>
    </row>
    <row r="542" spans="1:4">
      <c r="A542" t="str">
        <f>IF(DSDV!B547&lt;&gt;"",DSDV!B547,"")</f>
        <v/>
      </c>
      <c r="B542" t="str">
        <f>IF(DSDV!G547&lt;&gt;"",DSDV!G547,"")</f>
        <v/>
      </c>
      <c r="C542" s="237" t="str">
        <f>IF(DSDV!K547&lt;&gt;"",DSDV!K547,"")</f>
        <v/>
      </c>
      <c r="D542" s="417" t="str">
        <f>IF(DSDV!W547&lt;&gt;"",DSDV!W547,"")</f>
        <v/>
      </c>
    </row>
    <row r="543" spans="1:4">
      <c r="A543" t="str">
        <f>IF(DSDV!B548&lt;&gt;"",DSDV!B548,"")</f>
        <v/>
      </c>
      <c r="B543" t="str">
        <f>IF(DSDV!G548&lt;&gt;"",DSDV!G548,"")</f>
        <v/>
      </c>
      <c r="C543" s="237" t="str">
        <f>IF(DSDV!K548&lt;&gt;"",DSDV!K548,"")</f>
        <v/>
      </c>
      <c r="D543" s="417" t="str">
        <f>IF(DSDV!W548&lt;&gt;"",DSDV!W548,"")</f>
        <v/>
      </c>
    </row>
    <row r="544" spans="1:4">
      <c r="A544" t="str">
        <f>IF(DSDV!B549&lt;&gt;"",DSDV!B549,"")</f>
        <v/>
      </c>
      <c r="B544" t="str">
        <f>IF(DSDV!G549&lt;&gt;"",DSDV!G549,"")</f>
        <v/>
      </c>
      <c r="C544" s="237" t="str">
        <f>IF(DSDV!K549&lt;&gt;"",DSDV!K549,"")</f>
        <v/>
      </c>
      <c r="D544" s="417" t="str">
        <f>IF(DSDV!W549&lt;&gt;"",DSDV!W549,"")</f>
        <v/>
      </c>
    </row>
    <row r="545" spans="1:4">
      <c r="A545" t="str">
        <f>IF(DSDV!B550&lt;&gt;"",DSDV!B550,"")</f>
        <v/>
      </c>
      <c r="B545" t="str">
        <f>IF(DSDV!G550&lt;&gt;"",DSDV!G550,"")</f>
        <v/>
      </c>
      <c r="C545" s="237" t="str">
        <f>IF(DSDV!K550&lt;&gt;"",DSDV!K550,"")</f>
        <v/>
      </c>
      <c r="D545" s="417" t="str">
        <f>IF(DSDV!W550&lt;&gt;"",DSDV!W550,"")</f>
        <v/>
      </c>
    </row>
    <row r="546" spans="1:4">
      <c r="A546" t="str">
        <f>IF(DSDV!B551&lt;&gt;"",DSDV!B551,"")</f>
        <v/>
      </c>
      <c r="B546" t="str">
        <f>IF(DSDV!G551&lt;&gt;"",DSDV!G551,"")</f>
        <v/>
      </c>
      <c r="C546" s="237" t="str">
        <f>IF(DSDV!K551&lt;&gt;"",DSDV!K551,"")</f>
        <v/>
      </c>
      <c r="D546" s="417" t="str">
        <f>IF(DSDV!W551&lt;&gt;"",DSDV!W551,"")</f>
        <v/>
      </c>
    </row>
    <row r="547" spans="1:4">
      <c r="A547" t="str">
        <f>IF(DSDV!B552&lt;&gt;"",DSDV!B552,"")</f>
        <v/>
      </c>
      <c r="B547" t="str">
        <f>IF(DSDV!G552&lt;&gt;"",DSDV!G552,"")</f>
        <v/>
      </c>
      <c r="C547" s="237" t="str">
        <f>IF(DSDV!K552&lt;&gt;"",DSDV!K552,"")</f>
        <v/>
      </c>
      <c r="D547" s="417" t="str">
        <f>IF(DSDV!W552&lt;&gt;"",DSDV!W552,"")</f>
        <v/>
      </c>
    </row>
    <row r="548" spans="1:4">
      <c r="A548" t="str">
        <f>IF(DSDV!B553&lt;&gt;"",DSDV!B553,"")</f>
        <v/>
      </c>
      <c r="B548" t="str">
        <f>IF(DSDV!G553&lt;&gt;"",DSDV!G553,"")</f>
        <v/>
      </c>
      <c r="C548" s="237" t="str">
        <f>IF(DSDV!K553&lt;&gt;"",DSDV!K553,"")</f>
        <v/>
      </c>
      <c r="D548" s="417" t="str">
        <f>IF(DSDV!W553&lt;&gt;"",DSDV!W553,"")</f>
        <v/>
      </c>
    </row>
    <row r="549" spans="1:4">
      <c r="A549" t="str">
        <f>IF(DSDV!B554&lt;&gt;"",DSDV!B554,"")</f>
        <v/>
      </c>
      <c r="B549" t="str">
        <f>IF(DSDV!G554&lt;&gt;"",DSDV!G554,"")</f>
        <v/>
      </c>
      <c r="C549" s="237" t="str">
        <f>IF(DSDV!K554&lt;&gt;"",DSDV!K554,"")</f>
        <v/>
      </c>
      <c r="D549" s="417" t="str">
        <f>IF(DSDV!W554&lt;&gt;"",DSDV!W554,"")</f>
        <v/>
      </c>
    </row>
    <row r="550" spans="1:4">
      <c r="A550" t="str">
        <f>IF(DSDV!B555&lt;&gt;"",DSDV!B555,"")</f>
        <v/>
      </c>
      <c r="B550" t="str">
        <f>IF(DSDV!G555&lt;&gt;"",DSDV!G555,"")</f>
        <v/>
      </c>
      <c r="C550" s="237" t="str">
        <f>IF(DSDV!K555&lt;&gt;"",DSDV!K555,"")</f>
        <v/>
      </c>
      <c r="D550" s="417" t="str">
        <f>IF(DSDV!W555&lt;&gt;"",DSDV!W555,"")</f>
        <v/>
      </c>
    </row>
    <row r="551" spans="1:4">
      <c r="A551" t="str">
        <f>IF(DSDV!B556&lt;&gt;"",DSDV!B556,"")</f>
        <v/>
      </c>
      <c r="B551" t="str">
        <f>IF(DSDV!G556&lt;&gt;"",DSDV!G556,"")</f>
        <v/>
      </c>
      <c r="C551" s="237" t="str">
        <f>IF(DSDV!K556&lt;&gt;"",DSDV!K556,"")</f>
        <v/>
      </c>
      <c r="D551" s="417" t="str">
        <f>IF(DSDV!W556&lt;&gt;"",DSDV!W556,"")</f>
        <v/>
      </c>
    </row>
    <row r="552" spans="1:4">
      <c r="A552" t="str">
        <f>IF(DSDV!B557&lt;&gt;"",DSDV!B557,"")</f>
        <v/>
      </c>
      <c r="B552" t="str">
        <f>IF(DSDV!G557&lt;&gt;"",DSDV!G557,"")</f>
        <v/>
      </c>
      <c r="C552" s="237" t="str">
        <f>IF(DSDV!K557&lt;&gt;"",DSDV!K557,"")</f>
        <v/>
      </c>
      <c r="D552" s="417" t="str">
        <f>IF(DSDV!W557&lt;&gt;"",DSDV!W557,"")</f>
        <v/>
      </c>
    </row>
    <row r="553" spans="1:4">
      <c r="A553" t="str">
        <f>IF(DSDV!B558&lt;&gt;"",DSDV!B558,"")</f>
        <v/>
      </c>
      <c r="B553" t="str">
        <f>IF(DSDV!G558&lt;&gt;"",DSDV!G558,"")</f>
        <v/>
      </c>
      <c r="C553" s="237" t="str">
        <f>IF(DSDV!K558&lt;&gt;"",DSDV!K558,"")</f>
        <v/>
      </c>
      <c r="D553" s="417" t="str">
        <f>IF(DSDV!W558&lt;&gt;"",DSDV!W558,"")</f>
        <v/>
      </c>
    </row>
    <row r="554" spans="1:4">
      <c r="A554" t="str">
        <f>IF(DSDV!B559&lt;&gt;"",DSDV!B559,"")</f>
        <v/>
      </c>
      <c r="B554" t="str">
        <f>IF(DSDV!G559&lt;&gt;"",DSDV!G559,"")</f>
        <v/>
      </c>
      <c r="C554" s="237" t="str">
        <f>IF(DSDV!K559&lt;&gt;"",DSDV!K559,"")</f>
        <v/>
      </c>
      <c r="D554" s="417" t="str">
        <f>IF(DSDV!W559&lt;&gt;"",DSDV!W559,"")</f>
        <v/>
      </c>
    </row>
    <row r="555" spans="1:4">
      <c r="A555" t="str">
        <f>IF(DSDV!B560&lt;&gt;"",DSDV!B560,"")</f>
        <v/>
      </c>
      <c r="B555" t="str">
        <f>IF(DSDV!G560&lt;&gt;"",DSDV!G560,"")</f>
        <v/>
      </c>
      <c r="C555" s="237" t="str">
        <f>IF(DSDV!K560&lt;&gt;"",DSDV!K560,"")</f>
        <v/>
      </c>
      <c r="D555" s="417" t="str">
        <f>IF(DSDV!W560&lt;&gt;"",DSDV!W560,"")</f>
        <v/>
      </c>
    </row>
    <row r="556" spans="1:4">
      <c r="A556" t="str">
        <f>IF(DSDV!B561&lt;&gt;"",DSDV!B561,"")</f>
        <v/>
      </c>
      <c r="B556" t="str">
        <f>IF(DSDV!G561&lt;&gt;"",DSDV!G561,"")</f>
        <v/>
      </c>
      <c r="C556" s="237" t="str">
        <f>IF(DSDV!K561&lt;&gt;"",DSDV!K561,"")</f>
        <v/>
      </c>
      <c r="D556" s="417" t="str">
        <f>IF(DSDV!W561&lt;&gt;"",DSDV!W561,"")</f>
        <v/>
      </c>
    </row>
    <row r="557" spans="1:4">
      <c r="A557" t="str">
        <f>IF(DSDV!B562&lt;&gt;"",DSDV!B562,"")</f>
        <v/>
      </c>
      <c r="B557" t="str">
        <f>IF(DSDV!G562&lt;&gt;"",DSDV!G562,"")</f>
        <v/>
      </c>
      <c r="C557" s="237" t="str">
        <f>IF(DSDV!K562&lt;&gt;"",DSDV!K562,"")</f>
        <v/>
      </c>
      <c r="D557" s="417" t="str">
        <f>IF(DSDV!W562&lt;&gt;"",DSDV!W562,"")</f>
        <v/>
      </c>
    </row>
    <row r="558" spans="1:4">
      <c r="A558" t="str">
        <f>IF(DSDV!B563&lt;&gt;"",DSDV!B563,"")</f>
        <v/>
      </c>
      <c r="B558" t="str">
        <f>IF(DSDV!G563&lt;&gt;"",DSDV!G563,"")</f>
        <v/>
      </c>
      <c r="C558" s="237" t="str">
        <f>IF(DSDV!K563&lt;&gt;"",DSDV!K563,"")</f>
        <v/>
      </c>
      <c r="D558" s="417" t="str">
        <f>IF(DSDV!W563&lt;&gt;"",DSDV!W563,"")</f>
        <v/>
      </c>
    </row>
    <row r="559" spans="1:4">
      <c r="A559" t="str">
        <f>IF(DSDV!B564&lt;&gt;"",DSDV!B564,"")</f>
        <v/>
      </c>
      <c r="B559" t="str">
        <f>IF(DSDV!G564&lt;&gt;"",DSDV!G564,"")</f>
        <v/>
      </c>
      <c r="C559" s="237" t="str">
        <f>IF(DSDV!K564&lt;&gt;"",DSDV!K564,"")</f>
        <v/>
      </c>
      <c r="D559" s="417" t="str">
        <f>IF(DSDV!W564&lt;&gt;"",DSDV!W564,"")</f>
        <v/>
      </c>
    </row>
    <row r="560" spans="1:4">
      <c r="A560" t="str">
        <f>IF(DSDV!B565&lt;&gt;"",DSDV!B565,"")</f>
        <v/>
      </c>
      <c r="B560" t="str">
        <f>IF(DSDV!G565&lt;&gt;"",DSDV!G565,"")</f>
        <v/>
      </c>
      <c r="C560" s="237" t="str">
        <f>IF(DSDV!K565&lt;&gt;"",DSDV!K565,"")</f>
        <v/>
      </c>
      <c r="D560" s="417" t="str">
        <f>IF(DSDV!W565&lt;&gt;"",DSDV!W565,"")</f>
        <v/>
      </c>
    </row>
    <row r="561" spans="1:4">
      <c r="A561" t="str">
        <f>IF(DSDV!B566&lt;&gt;"",DSDV!B566,"")</f>
        <v/>
      </c>
      <c r="B561" t="str">
        <f>IF(DSDV!G566&lt;&gt;"",DSDV!G566,"")</f>
        <v/>
      </c>
      <c r="C561" s="237" t="str">
        <f>IF(DSDV!K566&lt;&gt;"",DSDV!K566,"")</f>
        <v/>
      </c>
      <c r="D561" s="417" t="str">
        <f>IF(DSDV!W566&lt;&gt;"",DSDV!W566,"")</f>
        <v/>
      </c>
    </row>
    <row r="562" spans="1:4">
      <c r="A562" t="str">
        <f>IF(DSDV!B567&lt;&gt;"",DSDV!B567,"")</f>
        <v/>
      </c>
      <c r="B562" t="str">
        <f>IF(DSDV!G567&lt;&gt;"",DSDV!G567,"")</f>
        <v/>
      </c>
      <c r="C562" s="237" t="str">
        <f>IF(DSDV!K567&lt;&gt;"",DSDV!K567,"")</f>
        <v/>
      </c>
      <c r="D562" s="417" t="str">
        <f>IF(DSDV!W567&lt;&gt;"",DSDV!W567,"")</f>
        <v/>
      </c>
    </row>
    <row r="563" spans="1:4">
      <c r="A563" t="str">
        <f>IF(DSDV!B568&lt;&gt;"",DSDV!B568,"")</f>
        <v/>
      </c>
      <c r="B563" t="str">
        <f>IF(DSDV!G568&lt;&gt;"",DSDV!G568,"")</f>
        <v/>
      </c>
      <c r="C563" s="237" t="str">
        <f>IF(DSDV!K568&lt;&gt;"",DSDV!K568,"")</f>
        <v/>
      </c>
      <c r="D563" s="417" t="str">
        <f>IF(DSDV!W568&lt;&gt;"",DSDV!W568,"")</f>
        <v/>
      </c>
    </row>
    <row r="564" spans="1:4">
      <c r="A564" t="str">
        <f>IF(DSDV!B569&lt;&gt;"",DSDV!B569,"")</f>
        <v/>
      </c>
      <c r="B564" t="str">
        <f>IF(DSDV!G569&lt;&gt;"",DSDV!G569,"")</f>
        <v/>
      </c>
      <c r="C564" s="237" t="str">
        <f>IF(DSDV!K569&lt;&gt;"",DSDV!K569,"")</f>
        <v/>
      </c>
      <c r="D564" s="417" t="str">
        <f>IF(DSDV!W569&lt;&gt;"",DSDV!W569,"")</f>
        <v/>
      </c>
    </row>
    <row r="565" spans="1:4">
      <c r="A565" t="str">
        <f>IF(DSDV!B570&lt;&gt;"",DSDV!B570,"")</f>
        <v/>
      </c>
      <c r="B565" t="str">
        <f>IF(DSDV!G570&lt;&gt;"",DSDV!G570,"")</f>
        <v/>
      </c>
      <c r="C565" s="237" t="str">
        <f>IF(DSDV!K570&lt;&gt;"",DSDV!K570,"")</f>
        <v/>
      </c>
      <c r="D565" s="417" t="str">
        <f>IF(DSDV!W570&lt;&gt;"",DSDV!W570,"")</f>
        <v/>
      </c>
    </row>
    <row r="566" spans="1:4">
      <c r="A566" t="str">
        <f>IF(DSDV!B571&lt;&gt;"",DSDV!B571,"")</f>
        <v/>
      </c>
      <c r="B566" t="str">
        <f>IF(DSDV!G571&lt;&gt;"",DSDV!G571,"")</f>
        <v/>
      </c>
      <c r="C566" s="237" t="str">
        <f>IF(DSDV!K571&lt;&gt;"",DSDV!K571,"")</f>
        <v/>
      </c>
      <c r="D566" s="417" t="str">
        <f>IF(DSDV!W571&lt;&gt;"",DSDV!W571,"")</f>
        <v/>
      </c>
    </row>
    <row r="567" spans="1:4">
      <c r="A567" t="str">
        <f>IF(DSDV!B572&lt;&gt;"",DSDV!B572,"")</f>
        <v/>
      </c>
      <c r="B567" t="str">
        <f>IF(DSDV!G572&lt;&gt;"",DSDV!G572,"")</f>
        <v/>
      </c>
      <c r="C567" s="237" t="str">
        <f>IF(DSDV!K572&lt;&gt;"",DSDV!K572,"")</f>
        <v/>
      </c>
      <c r="D567" s="417" t="str">
        <f>IF(DSDV!W572&lt;&gt;"",DSDV!W572,"")</f>
        <v/>
      </c>
    </row>
    <row r="568" spans="1:4">
      <c r="A568" t="str">
        <f>IF(DSDV!B573&lt;&gt;"",DSDV!B573,"")</f>
        <v/>
      </c>
      <c r="B568" t="str">
        <f>IF(DSDV!G573&lt;&gt;"",DSDV!G573,"")</f>
        <v/>
      </c>
      <c r="C568" s="237" t="str">
        <f>IF(DSDV!K573&lt;&gt;"",DSDV!K573,"")</f>
        <v/>
      </c>
      <c r="D568" s="417" t="str">
        <f>IF(DSDV!W573&lt;&gt;"",DSDV!W573,"")</f>
        <v/>
      </c>
    </row>
    <row r="569" spans="1:4">
      <c r="A569" t="str">
        <f>IF(DSDV!B574&lt;&gt;"",DSDV!B574,"")</f>
        <v/>
      </c>
      <c r="B569" t="str">
        <f>IF(DSDV!G574&lt;&gt;"",DSDV!G574,"")</f>
        <v/>
      </c>
      <c r="C569" s="237" t="str">
        <f>IF(DSDV!K574&lt;&gt;"",DSDV!K574,"")</f>
        <v/>
      </c>
      <c r="D569" s="417" t="str">
        <f>IF(DSDV!W574&lt;&gt;"",DSDV!W574,"")</f>
        <v/>
      </c>
    </row>
    <row r="570" spans="1:4">
      <c r="A570" t="str">
        <f>IF(DSDV!B575&lt;&gt;"",DSDV!B575,"")</f>
        <v/>
      </c>
      <c r="B570" t="str">
        <f>IF(DSDV!G575&lt;&gt;"",DSDV!G575,"")</f>
        <v/>
      </c>
      <c r="C570" s="237" t="str">
        <f>IF(DSDV!K575&lt;&gt;"",DSDV!K575,"")</f>
        <v/>
      </c>
      <c r="D570" s="417" t="str">
        <f>IF(DSDV!W575&lt;&gt;"",DSDV!W575,"")</f>
        <v/>
      </c>
    </row>
    <row r="571" spans="1:4">
      <c r="A571" t="str">
        <f>IF(DSDV!B576&lt;&gt;"",DSDV!B576,"")</f>
        <v/>
      </c>
      <c r="B571" t="str">
        <f>IF(DSDV!G576&lt;&gt;"",DSDV!G576,"")</f>
        <v/>
      </c>
      <c r="C571" s="237" t="str">
        <f>IF(DSDV!K576&lt;&gt;"",DSDV!K576,"")</f>
        <v/>
      </c>
      <c r="D571" s="417" t="str">
        <f>IF(DSDV!W576&lt;&gt;"",DSDV!W576,"")</f>
        <v/>
      </c>
    </row>
    <row r="572" spans="1:4">
      <c r="A572" t="str">
        <f>IF(DSDV!B577&lt;&gt;"",DSDV!B577,"")</f>
        <v/>
      </c>
      <c r="B572" t="str">
        <f>IF(DSDV!G577&lt;&gt;"",DSDV!G577,"")</f>
        <v/>
      </c>
      <c r="C572" s="237" t="str">
        <f>IF(DSDV!K577&lt;&gt;"",DSDV!K577,"")</f>
        <v/>
      </c>
      <c r="D572" s="417" t="str">
        <f>IF(DSDV!W577&lt;&gt;"",DSDV!W577,"")</f>
        <v/>
      </c>
    </row>
    <row r="573" spans="1:4">
      <c r="A573" t="str">
        <f>IF(DSDV!B578&lt;&gt;"",DSDV!B578,"")</f>
        <v/>
      </c>
      <c r="B573" t="str">
        <f>IF(DSDV!G578&lt;&gt;"",DSDV!G578,"")</f>
        <v/>
      </c>
      <c r="C573" s="237" t="str">
        <f>IF(DSDV!K578&lt;&gt;"",DSDV!K578,"")</f>
        <v/>
      </c>
      <c r="D573" s="417" t="str">
        <f>IF(DSDV!W578&lt;&gt;"",DSDV!W578,"")</f>
        <v/>
      </c>
    </row>
    <row r="574" spans="1:4">
      <c r="A574" t="str">
        <f>IF(DSDV!B579&lt;&gt;"",DSDV!B579,"")</f>
        <v/>
      </c>
      <c r="B574" t="str">
        <f>IF(DSDV!G579&lt;&gt;"",DSDV!G579,"")</f>
        <v/>
      </c>
      <c r="C574" s="237" t="str">
        <f>IF(DSDV!K579&lt;&gt;"",DSDV!K579,"")</f>
        <v/>
      </c>
      <c r="D574" s="417" t="str">
        <f>IF(DSDV!W579&lt;&gt;"",DSDV!W579,"")</f>
        <v/>
      </c>
    </row>
    <row r="575" spans="1:4">
      <c r="A575" t="str">
        <f>IF(DSDV!B580&lt;&gt;"",DSDV!B580,"")</f>
        <v/>
      </c>
      <c r="B575" t="str">
        <f>IF(DSDV!G580&lt;&gt;"",DSDV!G580,"")</f>
        <v/>
      </c>
      <c r="C575" s="237" t="str">
        <f>IF(DSDV!K580&lt;&gt;"",DSDV!K580,"")</f>
        <v/>
      </c>
      <c r="D575" s="417" t="str">
        <f>IF(DSDV!W580&lt;&gt;"",DSDV!W580,"")</f>
        <v/>
      </c>
    </row>
    <row r="576" spans="1:4">
      <c r="A576" t="str">
        <f>IF(DSDV!B581&lt;&gt;"",DSDV!B581,"")</f>
        <v/>
      </c>
      <c r="B576" t="str">
        <f>IF(DSDV!G581&lt;&gt;"",DSDV!G581,"")</f>
        <v/>
      </c>
      <c r="C576" s="237" t="str">
        <f>IF(DSDV!K581&lt;&gt;"",DSDV!K581,"")</f>
        <v/>
      </c>
      <c r="D576" s="417" t="str">
        <f>IF(DSDV!W581&lt;&gt;"",DSDV!W581,"")</f>
        <v/>
      </c>
    </row>
    <row r="577" spans="1:4">
      <c r="A577" t="str">
        <f>IF(DSDV!B582&lt;&gt;"",DSDV!B582,"")</f>
        <v/>
      </c>
      <c r="B577" t="str">
        <f>IF(DSDV!G582&lt;&gt;"",DSDV!G582,"")</f>
        <v/>
      </c>
      <c r="C577" s="237" t="str">
        <f>IF(DSDV!K582&lt;&gt;"",DSDV!K582,"")</f>
        <v/>
      </c>
      <c r="D577" s="417" t="str">
        <f>IF(DSDV!W582&lt;&gt;"",DSDV!W582,"")</f>
        <v/>
      </c>
    </row>
    <row r="578" spans="1:4">
      <c r="A578" t="str">
        <f>IF(DSDV!B583&lt;&gt;"",DSDV!B583,"")</f>
        <v/>
      </c>
      <c r="B578" t="str">
        <f>IF(DSDV!G583&lt;&gt;"",DSDV!G583,"")</f>
        <v/>
      </c>
      <c r="C578" s="237" t="str">
        <f>IF(DSDV!K583&lt;&gt;"",DSDV!K583,"")</f>
        <v/>
      </c>
      <c r="D578" s="417" t="str">
        <f>IF(DSDV!W583&lt;&gt;"",DSDV!W583,"")</f>
        <v/>
      </c>
    </row>
    <row r="579" spans="1:4">
      <c r="A579" t="str">
        <f>IF(DSDV!B584&lt;&gt;"",DSDV!B584,"")</f>
        <v/>
      </c>
      <c r="B579" t="str">
        <f>IF(DSDV!G584&lt;&gt;"",DSDV!G584,"")</f>
        <v/>
      </c>
      <c r="C579" s="237" t="str">
        <f>IF(DSDV!K584&lt;&gt;"",DSDV!K584,"")</f>
        <v/>
      </c>
      <c r="D579" s="417" t="str">
        <f>IF(DSDV!W584&lt;&gt;"",DSDV!W584,"")</f>
        <v/>
      </c>
    </row>
    <row r="580" spans="1:4">
      <c r="A580" t="str">
        <f>IF(DSDV!B585&lt;&gt;"",DSDV!B585,"")</f>
        <v/>
      </c>
      <c r="B580" t="str">
        <f>IF(DSDV!G585&lt;&gt;"",DSDV!G585,"")</f>
        <v/>
      </c>
      <c r="C580" s="237" t="str">
        <f>IF(DSDV!K585&lt;&gt;"",DSDV!K585,"")</f>
        <v/>
      </c>
      <c r="D580" s="417" t="str">
        <f>IF(DSDV!W585&lt;&gt;"",DSDV!W585,"")</f>
        <v/>
      </c>
    </row>
    <row r="581" spans="1:4">
      <c r="A581" t="str">
        <f>IF(DSDV!B586&lt;&gt;"",DSDV!B586,"")</f>
        <v/>
      </c>
      <c r="B581" t="str">
        <f>IF(DSDV!G586&lt;&gt;"",DSDV!G586,"")</f>
        <v/>
      </c>
      <c r="C581" s="237" t="str">
        <f>IF(DSDV!K586&lt;&gt;"",DSDV!K586,"")</f>
        <v/>
      </c>
      <c r="D581" s="417" t="str">
        <f>IF(DSDV!W586&lt;&gt;"",DSDV!W586,"")</f>
        <v/>
      </c>
    </row>
    <row r="582" spans="1:4">
      <c r="A582" t="str">
        <f>IF(DSDV!B587&lt;&gt;"",DSDV!B587,"")</f>
        <v/>
      </c>
      <c r="B582" t="str">
        <f>IF(DSDV!G587&lt;&gt;"",DSDV!G587,"")</f>
        <v/>
      </c>
      <c r="C582" s="237" t="str">
        <f>IF(DSDV!K587&lt;&gt;"",DSDV!K587,"")</f>
        <v/>
      </c>
      <c r="D582" s="417" t="str">
        <f>IF(DSDV!W587&lt;&gt;"",DSDV!W587,"")</f>
        <v/>
      </c>
    </row>
    <row r="583" spans="1:4">
      <c r="A583" t="str">
        <f>IF(DSDV!B588&lt;&gt;"",DSDV!B588,"")</f>
        <v/>
      </c>
      <c r="B583" t="str">
        <f>IF(DSDV!G588&lt;&gt;"",DSDV!G588,"")</f>
        <v/>
      </c>
      <c r="C583" s="237" t="str">
        <f>IF(DSDV!K588&lt;&gt;"",DSDV!K588,"")</f>
        <v/>
      </c>
      <c r="D583" s="417" t="str">
        <f>IF(DSDV!W588&lt;&gt;"",DSDV!W588,"")</f>
        <v/>
      </c>
    </row>
    <row r="584" spans="1:4">
      <c r="A584" t="str">
        <f>IF(DSDV!B589&lt;&gt;"",DSDV!B589,"")</f>
        <v/>
      </c>
      <c r="B584" t="str">
        <f>IF(DSDV!G589&lt;&gt;"",DSDV!G589,"")</f>
        <v/>
      </c>
      <c r="C584" s="237" t="str">
        <f>IF(DSDV!K589&lt;&gt;"",DSDV!K589,"")</f>
        <v/>
      </c>
      <c r="D584" s="417" t="str">
        <f>IF(DSDV!W589&lt;&gt;"",DSDV!W589,"")</f>
        <v/>
      </c>
    </row>
    <row r="585" spans="1:4">
      <c r="A585" t="str">
        <f>IF(DSDV!B590&lt;&gt;"",DSDV!B590,"")</f>
        <v/>
      </c>
      <c r="B585" t="str">
        <f>IF(DSDV!G590&lt;&gt;"",DSDV!G590,"")</f>
        <v/>
      </c>
      <c r="C585" s="237" t="str">
        <f>IF(DSDV!K590&lt;&gt;"",DSDV!K590,"")</f>
        <v/>
      </c>
      <c r="D585" s="417" t="str">
        <f>IF(DSDV!W590&lt;&gt;"",DSDV!W590,"")</f>
        <v/>
      </c>
    </row>
    <row r="586" spans="1:4">
      <c r="A586" t="str">
        <f>IF(DSDV!B591&lt;&gt;"",DSDV!B591,"")</f>
        <v/>
      </c>
      <c r="B586" t="str">
        <f>IF(DSDV!G591&lt;&gt;"",DSDV!G591,"")</f>
        <v/>
      </c>
      <c r="C586" s="237" t="str">
        <f>IF(DSDV!K591&lt;&gt;"",DSDV!K591,"")</f>
        <v/>
      </c>
      <c r="D586" s="417" t="str">
        <f>IF(DSDV!W591&lt;&gt;"",DSDV!W591,"")</f>
        <v/>
      </c>
    </row>
    <row r="587" spans="1:4">
      <c r="A587" t="str">
        <f>IF(DSDV!B592&lt;&gt;"",DSDV!B592,"")</f>
        <v/>
      </c>
      <c r="B587" t="str">
        <f>IF(DSDV!G592&lt;&gt;"",DSDV!G592,"")</f>
        <v/>
      </c>
      <c r="C587" s="237" t="str">
        <f>IF(DSDV!K592&lt;&gt;"",DSDV!K592,"")</f>
        <v/>
      </c>
      <c r="D587" s="417" t="str">
        <f>IF(DSDV!W592&lt;&gt;"",DSDV!W592,"")</f>
        <v/>
      </c>
    </row>
    <row r="588" spans="1:4">
      <c r="A588" t="str">
        <f>IF(DSDV!B593&lt;&gt;"",DSDV!B593,"")</f>
        <v/>
      </c>
      <c r="B588" t="str">
        <f>IF(DSDV!G593&lt;&gt;"",DSDV!G593,"")</f>
        <v/>
      </c>
      <c r="C588" s="237" t="str">
        <f>IF(DSDV!K593&lt;&gt;"",DSDV!K593,"")</f>
        <v/>
      </c>
      <c r="D588" s="417" t="str">
        <f>IF(DSDV!W593&lt;&gt;"",DSDV!W593,"")</f>
        <v/>
      </c>
    </row>
    <row r="589" spans="1:4">
      <c r="A589" t="str">
        <f>IF(DSDV!B594&lt;&gt;"",DSDV!B594,"")</f>
        <v/>
      </c>
      <c r="B589" t="str">
        <f>IF(DSDV!G594&lt;&gt;"",DSDV!G594,"")</f>
        <v/>
      </c>
      <c r="C589" s="237" t="str">
        <f>IF(DSDV!K594&lt;&gt;"",DSDV!K594,"")</f>
        <v/>
      </c>
      <c r="D589" s="417" t="str">
        <f>IF(DSDV!W594&lt;&gt;"",DSDV!W594,"")</f>
        <v/>
      </c>
    </row>
    <row r="590" spans="1:4">
      <c r="A590" t="str">
        <f>IF(DSDV!B595&lt;&gt;"",DSDV!B595,"")</f>
        <v/>
      </c>
      <c r="B590" t="str">
        <f>IF(DSDV!G595&lt;&gt;"",DSDV!G595,"")</f>
        <v/>
      </c>
      <c r="C590" s="237" t="str">
        <f>IF(DSDV!K595&lt;&gt;"",DSDV!K595,"")</f>
        <v/>
      </c>
      <c r="D590" s="417" t="str">
        <f>IF(DSDV!W595&lt;&gt;"",DSDV!W595,"")</f>
        <v/>
      </c>
    </row>
    <row r="591" spans="1:4">
      <c r="A591" t="str">
        <f>IF(DSDV!B596&lt;&gt;"",DSDV!B596,"")</f>
        <v/>
      </c>
      <c r="B591" t="str">
        <f>IF(DSDV!G596&lt;&gt;"",DSDV!G596,"")</f>
        <v/>
      </c>
      <c r="C591" s="237" t="str">
        <f>IF(DSDV!K596&lt;&gt;"",DSDV!K596,"")</f>
        <v/>
      </c>
      <c r="D591" s="417" t="str">
        <f>IF(DSDV!W596&lt;&gt;"",DSDV!W596,"")</f>
        <v/>
      </c>
    </row>
    <row r="592" spans="1:4">
      <c r="A592" t="str">
        <f>IF(DSDV!B597&lt;&gt;"",DSDV!B597,"")</f>
        <v/>
      </c>
      <c r="B592" t="str">
        <f>IF(DSDV!G597&lt;&gt;"",DSDV!G597,"")</f>
        <v/>
      </c>
      <c r="C592" s="237" t="str">
        <f>IF(DSDV!K597&lt;&gt;"",DSDV!K597,"")</f>
        <v/>
      </c>
      <c r="D592" s="417" t="str">
        <f>IF(DSDV!W597&lt;&gt;"",DSDV!W597,"")</f>
        <v/>
      </c>
    </row>
    <row r="593" spans="1:4">
      <c r="A593" t="str">
        <f>IF(DSDV!B598&lt;&gt;"",DSDV!B598,"")</f>
        <v/>
      </c>
      <c r="B593" t="str">
        <f>IF(DSDV!G598&lt;&gt;"",DSDV!G598,"")</f>
        <v/>
      </c>
      <c r="C593" s="237" t="str">
        <f>IF(DSDV!K598&lt;&gt;"",DSDV!K598,"")</f>
        <v/>
      </c>
      <c r="D593" s="417" t="str">
        <f>IF(DSDV!W598&lt;&gt;"",DSDV!W598,"")</f>
        <v/>
      </c>
    </row>
    <row r="594" spans="1:4">
      <c r="A594" t="str">
        <f>IF(DSDV!B599&lt;&gt;"",DSDV!B599,"")</f>
        <v/>
      </c>
      <c r="B594" t="str">
        <f>IF(DSDV!G599&lt;&gt;"",DSDV!G599,"")</f>
        <v/>
      </c>
      <c r="C594" s="237" t="str">
        <f>IF(DSDV!K599&lt;&gt;"",DSDV!K599,"")</f>
        <v/>
      </c>
      <c r="D594" s="417" t="str">
        <f>IF(DSDV!W599&lt;&gt;"",DSDV!W599,"")</f>
        <v/>
      </c>
    </row>
    <row r="595" spans="1:4">
      <c r="A595" t="str">
        <f>IF(DSDV!B600&lt;&gt;"",DSDV!B600,"")</f>
        <v/>
      </c>
      <c r="B595" t="str">
        <f>IF(DSDV!G600&lt;&gt;"",DSDV!G600,"")</f>
        <v/>
      </c>
      <c r="C595" s="237" t="str">
        <f>IF(DSDV!K600&lt;&gt;"",DSDV!K600,"")</f>
        <v/>
      </c>
      <c r="D595" s="417" t="str">
        <f>IF(DSDV!W600&lt;&gt;"",DSDV!W600,"")</f>
        <v/>
      </c>
    </row>
    <row r="596" spans="1:4">
      <c r="A596" t="str">
        <f>IF(DSDV!B601&lt;&gt;"",DSDV!B601,"")</f>
        <v/>
      </c>
      <c r="B596" t="str">
        <f>IF(DSDV!G601&lt;&gt;"",DSDV!G601,"")</f>
        <v/>
      </c>
      <c r="C596" s="237" t="str">
        <f>IF(DSDV!K601&lt;&gt;"",DSDV!K601,"")</f>
        <v/>
      </c>
      <c r="D596" s="417" t="str">
        <f>IF(DSDV!W601&lt;&gt;"",DSDV!W601,"")</f>
        <v/>
      </c>
    </row>
    <row r="597" spans="1:4">
      <c r="A597" t="str">
        <f>IF(DSDV!B602&lt;&gt;"",DSDV!B602,"")</f>
        <v/>
      </c>
      <c r="B597" t="str">
        <f>IF(DSDV!G602&lt;&gt;"",DSDV!G602,"")</f>
        <v/>
      </c>
      <c r="C597" s="237" t="str">
        <f>IF(DSDV!K602&lt;&gt;"",DSDV!K602,"")</f>
        <v/>
      </c>
      <c r="D597" s="417" t="str">
        <f>IF(DSDV!W602&lt;&gt;"",DSDV!W602,"")</f>
        <v/>
      </c>
    </row>
    <row r="598" spans="1:4">
      <c r="A598" t="str">
        <f>IF(DSDV!B603&lt;&gt;"",DSDV!B603,"")</f>
        <v/>
      </c>
      <c r="B598" t="str">
        <f>IF(DSDV!G603&lt;&gt;"",DSDV!G603,"")</f>
        <v/>
      </c>
      <c r="C598" s="237" t="str">
        <f>IF(DSDV!K603&lt;&gt;"",DSDV!K603,"")</f>
        <v/>
      </c>
      <c r="D598" s="417" t="str">
        <f>IF(DSDV!W603&lt;&gt;"",DSDV!W603,"")</f>
        <v/>
      </c>
    </row>
    <row r="599" spans="1:4">
      <c r="A599" t="str">
        <f>IF(DSDV!B604&lt;&gt;"",DSDV!B604,"")</f>
        <v/>
      </c>
      <c r="B599" t="str">
        <f>IF(DSDV!G604&lt;&gt;"",DSDV!G604,"")</f>
        <v/>
      </c>
      <c r="C599" s="237" t="str">
        <f>IF(DSDV!K604&lt;&gt;"",DSDV!K604,"")</f>
        <v/>
      </c>
      <c r="D599" s="417" t="str">
        <f>IF(DSDV!W604&lt;&gt;"",DSDV!W604,"")</f>
        <v/>
      </c>
    </row>
    <row r="600" spans="1:4">
      <c r="A600" t="str">
        <f>IF(DSDV!B605&lt;&gt;"",DSDV!B605,"")</f>
        <v/>
      </c>
      <c r="B600" t="str">
        <f>IF(DSDV!G605&lt;&gt;"",DSDV!G605,"")</f>
        <v/>
      </c>
      <c r="C600" s="237" t="str">
        <f>IF(DSDV!K605&lt;&gt;"",DSDV!K605,"")</f>
        <v/>
      </c>
      <c r="D600" s="417" t="str">
        <f>IF(DSDV!W605&lt;&gt;"",DSDV!W605,"")</f>
        <v/>
      </c>
    </row>
    <row r="601" spans="1:4">
      <c r="A601" t="str">
        <f>IF(DSDV!B606&lt;&gt;"",DSDV!B606,"")</f>
        <v/>
      </c>
      <c r="B601" t="str">
        <f>IF(DSDV!G606&lt;&gt;"",DSDV!G606,"")</f>
        <v/>
      </c>
      <c r="C601" s="237" t="str">
        <f>IF(DSDV!K606&lt;&gt;"",DSDV!K606,"")</f>
        <v/>
      </c>
      <c r="D601" s="417" t="str">
        <f>IF(DSDV!W606&lt;&gt;"",DSDV!W606,"")</f>
        <v/>
      </c>
    </row>
    <row r="602" spans="1:4">
      <c r="A602" t="str">
        <f>IF(DSDV!B607&lt;&gt;"",DSDV!B607,"")</f>
        <v/>
      </c>
      <c r="B602" t="str">
        <f>IF(DSDV!G607&lt;&gt;"",DSDV!G607,"")</f>
        <v/>
      </c>
      <c r="C602" s="237" t="str">
        <f>IF(DSDV!K607&lt;&gt;"",DSDV!K607,"")</f>
        <v/>
      </c>
      <c r="D602" s="417" t="str">
        <f>IF(DSDV!W607&lt;&gt;"",DSDV!W607,"")</f>
        <v/>
      </c>
    </row>
    <row r="603" spans="1:4">
      <c r="A603" t="str">
        <f>IF(DSDV!B608&lt;&gt;"",DSDV!B608,"")</f>
        <v/>
      </c>
      <c r="B603" t="str">
        <f>IF(DSDV!G608&lt;&gt;"",DSDV!G608,"")</f>
        <v/>
      </c>
      <c r="C603" s="237" t="str">
        <f>IF(DSDV!K608&lt;&gt;"",DSDV!K608,"")</f>
        <v/>
      </c>
      <c r="D603" s="417" t="str">
        <f>IF(DSDV!W608&lt;&gt;"",DSDV!W608,"")</f>
        <v/>
      </c>
    </row>
    <row r="604" spans="1:4">
      <c r="A604" t="str">
        <f>IF(DSDV!B609&lt;&gt;"",DSDV!B609,"")</f>
        <v/>
      </c>
      <c r="B604" t="str">
        <f>IF(DSDV!G609&lt;&gt;"",DSDV!G609,"")</f>
        <v/>
      </c>
      <c r="C604" s="237" t="str">
        <f>IF(DSDV!K609&lt;&gt;"",DSDV!K609,"")</f>
        <v/>
      </c>
      <c r="D604" s="417" t="str">
        <f>IF(DSDV!W609&lt;&gt;"",DSDV!W609,"")</f>
        <v/>
      </c>
    </row>
    <row r="605" spans="1:4">
      <c r="A605" t="str">
        <f>IF(DSDV!B610&lt;&gt;"",DSDV!B610,"")</f>
        <v/>
      </c>
      <c r="B605" t="str">
        <f>IF(DSDV!G610&lt;&gt;"",DSDV!G610,"")</f>
        <v/>
      </c>
      <c r="C605" s="237" t="str">
        <f>IF(DSDV!K610&lt;&gt;"",DSDV!K610,"")</f>
        <v/>
      </c>
      <c r="D605" s="417" t="str">
        <f>IF(DSDV!W610&lt;&gt;"",DSDV!W610,"")</f>
        <v/>
      </c>
    </row>
    <row r="606" spans="1:4">
      <c r="A606" t="str">
        <f>IF(DSDV!B611&lt;&gt;"",DSDV!B611,"")</f>
        <v/>
      </c>
      <c r="B606" t="str">
        <f>IF(DSDV!G611&lt;&gt;"",DSDV!G611,"")</f>
        <v/>
      </c>
      <c r="C606" s="237" t="str">
        <f>IF(DSDV!K611&lt;&gt;"",DSDV!K611,"")</f>
        <v/>
      </c>
      <c r="D606" s="417" t="str">
        <f>IF(DSDV!W611&lt;&gt;"",DSDV!W611,"")</f>
        <v/>
      </c>
    </row>
    <row r="607" spans="1:4">
      <c r="A607" t="str">
        <f>IF(DSDV!B612&lt;&gt;"",DSDV!B612,"")</f>
        <v/>
      </c>
      <c r="B607" t="str">
        <f>IF(DSDV!G612&lt;&gt;"",DSDV!G612,"")</f>
        <v/>
      </c>
      <c r="C607" s="237" t="str">
        <f>IF(DSDV!K612&lt;&gt;"",DSDV!K612,"")</f>
        <v/>
      </c>
      <c r="D607" s="417" t="str">
        <f>IF(DSDV!W612&lt;&gt;"",DSDV!W612,"")</f>
        <v/>
      </c>
    </row>
    <row r="608" spans="1:4">
      <c r="A608" t="str">
        <f>IF(DSDV!B613&lt;&gt;"",DSDV!B613,"")</f>
        <v/>
      </c>
      <c r="B608" t="str">
        <f>IF(DSDV!G613&lt;&gt;"",DSDV!G613,"")</f>
        <v/>
      </c>
      <c r="C608" s="237" t="str">
        <f>IF(DSDV!K613&lt;&gt;"",DSDV!K613,"")</f>
        <v/>
      </c>
      <c r="D608" s="417" t="str">
        <f>IF(DSDV!W613&lt;&gt;"",DSDV!W613,"")</f>
        <v/>
      </c>
    </row>
    <row r="609" spans="1:4">
      <c r="A609" t="str">
        <f>IF(DSDV!B614&lt;&gt;"",DSDV!B614,"")</f>
        <v/>
      </c>
      <c r="B609" t="str">
        <f>IF(DSDV!G614&lt;&gt;"",DSDV!G614,"")</f>
        <v/>
      </c>
      <c r="C609" s="237" t="str">
        <f>IF(DSDV!K614&lt;&gt;"",DSDV!K614,"")</f>
        <v/>
      </c>
      <c r="D609" s="417" t="str">
        <f>IF(DSDV!W614&lt;&gt;"",DSDV!W614,"")</f>
        <v/>
      </c>
    </row>
    <row r="610" spans="1:4">
      <c r="A610" t="str">
        <f>IF(DSDV!B615&lt;&gt;"",DSDV!B615,"")</f>
        <v/>
      </c>
      <c r="B610" t="str">
        <f>IF(DSDV!G615&lt;&gt;"",DSDV!G615,"")</f>
        <v/>
      </c>
      <c r="C610" s="237" t="str">
        <f>IF(DSDV!K615&lt;&gt;"",DSDV!K615,"")</f>
        <v/>
      </c>
      <c r="D610" s="417" t="str">
        <f>IF(DSDV!W615&lt;&gt;"",DSDV!W615,"")</f>
        <v/>
      </c>
    </row>
    <row r="611" spans="1:4">
      <c r="A611" t="str">
        <f>IF(DSDV!B616&lt;&gt;"",DSDV!B616,"")</f>
        <v/>
      </c>
      <c r="B611" t="str">
        <f>IF(DSDV!G616&lt;&gt;"",DSDV!G616,"")</f>
        <v/>
      </c>
      <c r="C611" s="237" t="str">
        <f>IF(DSDV!K616&lt;&gt;"",DSDV!K616,"")</f>
        <v/>
      </c>
      <c r="D611" s="417" t="str">
        <f>IF(DSDV!W616&lt;&gt;"",DSDV!W616,"")</f>
        <v/>
      </c>
    </row>
    <row r="612" spans="1:4">
      <c r="A612" t="str">
        <f>IF(DSDV!B617&lt;&gt;"",DSDV!B617,"")</f>
        <v/>
      </c>
      <c r="B612" t="str">
        <f>IF(DSDV!G617&lt;&gt;"",DSDV!G617,"")</f>
        <v/>
      </c>
      <c r="C612" s="237" t="str">
        <f>IF(DSDV!K617&lt;&gt;"",DSDV!K617,"")</f>
        <v/>
      </c>
      <c r="D612" s="417" t="str">
        <f>IF(DSDV!W617&lt;&gt;"",DSDV!W617,"")</f>
        <v/>
      </c>
    </row>
    <row r="613" spans="1:4">
      <c r="A613" t="str">
        <f>IF(DSDV!B618&lt;&gt;"",DSDV!B618,"")</f>
        <v/>
      </c>
      <c r="B613" t="str">
        <f>IF(DSDV!G618&lt;&gt;"",DSDV!G618,"")</f>
        <v/>
      </c>
      <c r="C613" s="237" t="str">
        <f>IF(DSDV!K618&lt;&gt;"",DSDV!K618,"")</f>
        <v/>
      </c>
      <c r="D613" s="417" t="str">
        <f>IF(DSDV!W618&lt;&gt;"",DSDV!W618,"")</f>
        <v/>
      </c>
    </row>
    <row r="614" spans="1:4">
      <c r="A614" t="str">
        <f>IF(DSDV!B619&lt;&gt;"",DSDV!B619,"")</f>
        <v/>
      </c>
      <c r="B614" t="str">
        <f>IF(DSDV!G619&lt;&gt;"",DSDV!G619,"")</f>
        <v/>
      </c>
      <c r="C614" s="237" t="str">
        <f>IF(DSDV!K619&lt;&gt;"",DSDV!K619,"")</f>
        <v/>
      </c>
      <c r="D614" s="417" t="str">
        <f>IF(DSDV!W619&lt;&gt;"",DSDV!W619,"")</f>
        <v/>
      </c>
    </row>
    <row r="615" spans="1:4">
      <c r="A615" t="str">
        <f>IF(DSDV!B620&lt;&gt;"",DSDV!B620,"")</f>
        <v/>
      </c>
      <c r="B615" t="str">
        <f>IF(DSDV!G620&lt;&gt;"",DSDV!G620,"")</f>
        <v/>
      </c>
      <c r="C615" s="237" t="str">
        <f>IF(DSDV!K620&lt;&gt;"",DSDV!K620,"")</f>
        <v/>
      </c>
      <c r="D615" s="417" t="str">
        <f>IF(DSDV!W620&lt;&gt;"",DSDV!W620,"")</f>
        <v/>
      </c>
    </row>
    <row r="616" spans="1:4">
      <c r="A616" t="str">
        <f>IF(DSDV!B621&lt;&gt;"",DSDV!B621,"")</f>
        <v/>
      </c>
      <c r="B616" t="str">
        <f>IF(DSDV!G621&lt;&gt;"",DSDV!G621,"")</f>
        <v/>
      </c>
      <c r="C616" s="237" t="str">
        <f>IF(DSDV!K621&lt;&gt;"",DSDV!K621,"")</f>
        <v/>
      </c>
      <c r="D616" s="417" t="str">
        <f>IF(DSDV!W621&lt;&gt;"",DSDV!W621,"")</f>
        <v/>
      </c>
    </row>
    <row r="617" spans="1:4">
      <c r="A617" t="str">
        <f>IF(DSDV!B622&lt;&gt;"",DSDV!B622,"")</f>
        <v/>
      </c>
      <c r="B617" t="str">
        <f>IF(DSDV!G622&lt;&gt;"",DSDV!G622,"")</f>
        <v/>
      </c>
      <c r="C617" s="237" t="str">
        <f>IF(DSDV!K622&lt;&gt;"",DSDV!K622,"")</f>
        <v/>
      </c>
      <c r="D617" s="417" t="str">
        <f>IF(DSDV!W622&lt;&gt;"",DSDV!W622,"")</f>
        <v/>
      </c>
    </row>
    <row r="618" spans="1:4">
      <c r="A618" t="str">
        <f>IF(DSDV!B623&lt;&gt;"",DSDV!B623,"")</f>
        <v/>
      </c>
      <c r="B618" t="str">
        <f>IF(DSDV!G623&lt;&gt;"",DSDV!G623,"")</f>
        <v/>
      </c>
      <c r="C618" s="237" t="str">
        <f>IF(DSDV!K623&lt;&gt;"",DSDV!K623,"")</f>
        <v/>
      </c>
      <c r="D618" s="417" t="str">
        <f>IF(DSDV!W623&lt;&gt;"",DSDV!W623,"")</f>
        <v/>
      </c>
    </row>
    <row r="619" spans="1:4">
      <c r="A619" t="str">
        <f>IF(DSDV!B624&lt;&gt;"",DSDV!B624,"")</f>
        <v/>
      </c>
      <c r="B619" t="str">
        <f>IF(DSDV!G624&lt;&gt;"",DSDV!G624,"")</f>
        <v/>
      </c>
      <c r="C619" s="237" t="str">
        <f>IF(DSDV!K624&lt;&gt;"",DSDV!K624,"")</f>
        <v/>
      </c>
      <c r="D619" s="417" t="str">
        <f>IF(DSDV!W624&lt;&gt;"",DSDV!W624,"")</f>
        <v/>
      </c>
    </row>
    <row r="620" spans="1:4">
      <c r="A620" t="str">
        <f>IF(DSDV!B625&lt;&gt;"",DSDV!B625,"")</f>
        <v/>
      </c>
      <c r="B620" t="str">
        <f>IF(DSDV!G625&lt;&gt;"",DSDV!G625,"")</f>
        <v/>
      </c>
      <c r="C620" s="237" t="str">
        <f>IF(DSDV!K625&lt;&gt;"",DSDV!K625,"")</f>
        <v/>
      </c>
      <c r="D620" s="417" t="str">
        <f>IF(DSDV!W625&lt;&gt;"",DSDV!W625,"")</f>
        <v/>
      </c>
    </row>
    <row r="621" spans="1:4">
      <c r="A621" t="str">
        <f>IF(DSDV!B626&lt;&gt;"",DSDV!B626,"")</f>
        <v/>
      </c>
      <c r="B621" t="str">
        <f>IF(DSDV!G626&lt;&gt;"",DSDV!G626,"")</f>
        <v/>
      </c>
      <c r="C621" s="237" t="str">
        <f>IF(DSDV!K626&lt;&gt;"",DSDV!K626,"")</f>
        <v/>
      </c>
      <c r="D621" s="417" t="str">
        <f>IF(DSDV!W626&lt;&gt;"",DSDV!W626,"")</f>
        <v/>
      </c>
    </row>
    <row r="622" spans="1:4">
      <c r="A622" t="str">
        <f>IF(DSDV!B627&lt;&gt;"",DSDV!B627,"")</f>
        <v/>
      </c>
      <c r="B622" t="str">
        <f>IF(DSDV!G627&lt;&gt;"",DSDV!G627,"")</f>
        <v/>
      </c>
      <c r="C622" s="237" t="str">
        <f>IF(DSDV!K627&lt;&gt;"",DSDV!K627,"")</f>
        <v/>
      </c>
      <c r="D622" s="417" t="str">
        <f>IF(DSDV!W627&lt;&gt;"",DSDV!W627,"")</f>
        <v/>
      </c>
    </row>
    <row r="623" spans="1:4">
      <c r="A623" t="str">
        <f>IF(DSDV!B628&lt;&gt;"",DSDV!B628,"")</f>
        <v/>
      </c>
      <c r="B623" t="str">
        <f>IF(DSDV!G628&lt;&gt;"",DSDV!G628,"")</f>
        <v/>
      </c>
      <c r="C623" s="237" t="str">
        <f>IF(DSDV!K628&lt;&gt;"",DSDV!K628,"")</f>
        <v/>
      </c>
      <c r="D623" s="417" t="str">
        <f>IF(DSDV!W628&lt;&gt;"",DSDV!W628,"")</f>
        <v/>
      </c>
    </row>
    <row r="624" spans="1:4">
      <c r="A624" t="str">
        <f>IF(DSDV!B629&lt;&gt;"",DSDV!B629,"")</f>
        <v/>
      </c>
      <c r="B624" t="str">
        <f>IF(DSDV!G629&lt;&gt;"",DSDV!G629,"")</f>
        <v/>
      </c>
      <c r="C624" s="237" t="str">
        <f>IF(DSDV!K629&lt;&gt;"",DSDV!K629,"")</f>
        <v/>
      </c>
      <c r="D624" s="417" t="str">
        <f>IF(DSDV!W629&lt;&gt;"",DSDV!W629,"")</f>
        <v/>
      </c>
    </row>
    <row r="625" spans="1:4">
      <c r="A625" t="str">
        <f>IF(DSDV!B630&lt;&gt;"",DSDV!B630,"")</f>
        <v/>
      </c>
      <c r="B625" t="str">
        <f>IF(DSDV!G630&lt;&gt;"",DSDV!G630,"")</f>
        <v/>
      </c>
      <c r="C625" s="237" t="str">
        <f>IF(DSDV!K630&lt;&gt;"",DSDV!K630,"")</f>
        <v/>
      </c>
      <c r="D625" s="417" t="str">
        <f>IF(DSDV!W630&lt;&gt;"",DSDV!W630,"")</f>
        <v/>
      </c>
    </row>
    <row r="626" spans="1:4">
      <c r="A626" t="str">
        <f>IF(DSDV!B631&lt;&gt;"",DSDV!B631,"")</f>
        <v/>
      </c>
      <c r="B626" t="str">
        <f>IF(DSDV!G631&lt;&gt;"",DSDV!G631,"")</f>
        <v/>
      </c>
      <c r="C626" s="237" t="str">
        <f>IF(DSDV!K631&lt;&gt;"",DSDV!K631,"")</f>
        <v/>
      </c>
      <c r="D626" s="417" t="str">
        <f>IF(DSDV!W631&lt;&gt;"",DSDV!W631,"")</f>
        <v/>
      </c>
    </row>
    <row r="627" spans="1:4">
      <c r="A627" t="str">
        <f>IF(DSDV!B632&lt;&gt;"",DSDV!B632,"")</f>
        <v/>
      </c>
      <c r="B627" t="str">
        <f>IF(DSDV!G632&lt;&gt;"",DSDV!G632,"")</f>
        <v/>
      </c>
      <c r="C627" s="237" t="str">
        <f>IF(DSDV!K632&lt;&gt;"",DSDV!K632,"")</f>
        <v/>
      </c>
      <c r="D627" s="417" t="str">
        <f>IF(DSDV!W632&lt;&gt;"",DSDV!W632,"")</f>
        <v/>
      </c>
    </row>
    <row r="628" spans="1:4">
      <c r="A628" t="str">
        <f>IF(DSDV!B633&lt;&gt;"",DSDV!B633,"")</f>
        <v/>
      </c>
      <c r="B628" t="str">
        <f>IF(DSDV!G633&lt;&gt;"",DSDV!G633,"")</f>
        <v/>
      </c>
      <c r="C628" s="237" t="str">
        <f>IF(DSDV!K633&lt;&gt;"",DSDV!K633,"")</f>
        <v/>
      </c>
      <c r="D628" s="417" t="str">
        <f>IF(DSDV!W633&lt;&gt;"",DSDV!W633,"")</f>
        <v/>
      </c>
    </row>
    <row r="629" spans="1:4">
      <c r="A629" t="str">
        <f>IF(DSDV!B634&lt;&gt;"",DSDV!B634,"")</f>
        <v/>
      </c>
      <c r="B629" t="str">
        <f>IF(DSDV!G634&lt;&gt;"",DSDV!G634,"")</f>
        <v/>
      </c>
      <c r="C629" s="237" t="str">
        <f>IF(DSDV!K634&lt;&gt;"",DSDV!K634,"")</f>
        <v/>
      </c>
      <c r="D629" s="417" t="str">
        <f>IF(DSDV!W634&lt;&gt;"",DSDV!W634,"")</f>
        <v/>
      </c>
    </row>
    <row r="630" spans="1:4">
      <c r="A630" t="str">
        <f>IF(DSDV!B635&lt;&gt;"",DSDV!B635,"")</f>
        <v/>
      </c>
      <c r="B630" t="str">
        <f>IF(DSDV!G635&lt;&gt;"",DSDV!G635,"")</f>
        <v/>
      </c>
      <c r="C630" s="237" t="str">
        <f>IF(DSDV!K635&lt;&gt;"",DSDV!K635,"")</f>
        <v/>
      </c>
      <c r="D630" s="417" t="str">
        <f>IF(DSDV!W635&lt;&gt;"",DSDV!W635,"")</f>
        <v/>
      </c>
    </row>
    <row r="631" spans="1:4">
      <c r="A631" t="str">
        <f>IF(DSDV!B636&lt;&gt;"",DSDV!B636,"")</f>
        <v/>
      </c>
      <c r="B631" t="str">
        <f>IF(DSDV!G636&lt;&gt;"",DSDV!G636,"")</f>
        <v/>
      </c>
      <c r="C631" s="237" t="str">
        <f>IF(DSDV!K636&lt;&gt;"",DSDV!K636,"")</f>
        <v/>
      </c>
      <c r="D631" s="417" t="str">
        <f>IF(DSDV!W636&lt;&gt;"",DSDV!W636,"")</f>
        <v/>
      </c>
    </row>
    <row r="632" spans="1:4">
      <c r="A632" t="str">
        <f>IF(DSDV!B637&lt;&gt;"",DSDV!B637,"")</f>
        <v/>
      </c>
      <c r="B632" t="str">
        <f>IF(DSDV!G637&lt;&gt;"",DSDV!G637,"")</f>
        <v/>
      </c>
      <c r="C632" s="237" t="str">
        <f>IF(DSDV!K637&lt;&gt;"",DSDV!K637,"")</f>
        <v/>
      </c>
      <c r="D632" s="417" t="str">
        <f>IF(DSDV!W637&lt;&gt;"",DSDV!W637,"")</f>
        <v/>
      </c>
    </row>
    <row r="633" spans="1:4">
      <c r="A633" t="str">
        <f>IF(DSDV!B638&lt;&gt;"",DSDV!B638,"")</f>
        <v/>
      </c>
      <c r="B633" t="str">
        <f>IF(DSDV!G638&lt;&gt;"",DSDV!G638,"")</f>
        <v/>
      </c>
      <c r="C633" s="237" t="str">
        <f>IF(DSDV!K638&lt;&gt;"",DSDV!K638,"")</f>
        <v/>
      </c>
      <c r="D633" s="417" t="str">
        <f>IF(DSDV!W638&lt;&gt;"",DSDV!W638,"")</f>
        <v/>
      </c>
    </row>
    <row r="634" spans="1:4">
      <c r="A634" t="str">
        <f>IF(DSDV!B639&lt;&gt;"",DSDV!B639,"")</f>
        <v/>
      </c>
      <c r="B634" t="str">
        <f>IF(DSDV!G639&lt;&gt;"",DSDV!G639,"")</f>
        <v/>
      </c>
      <c r="C634" s="237" t="str">
        <f>IF(DSDV!K639&lt;&gt;"",DSDV!K639,"")</f>
        <v/>
      </c>
      <c r="D634" s="417" t="str">
        <f>IF(DSDV!W639&lt;&gt;"",DSDV!W639,"")</f>
        <v/>
      </c>
    </row>
    <row r="635" spans="1:4">
      <c r="A635" t="str">
        <f>IF(DSDV!B640&lt;&gt;"",DSDV!B640,"")</f>
        <v/>
      </c>
      <c r="B635" t="str">
        <f>IF(DSDV!G640&lt;&gt;"",DSDV!G640,"")</f>
        <v/>
      </c>
      <c r="C635" s="237" t="str">
        <f>IF(DSDV!K640&lt;&gt;"",DSDV!K640,"")</f>
        <v/>
      </c>
      <c r="D635" s="417" t="str">
        <f>IF(DSDV!W640&lt;&gt;"",DSDV!W640,"")</f>
        <v/>
      </c>
    </row>
    <row r="636" spans="1:4">
      <c r="A636" t="str">
        <f>IF(DSDV!B641&lt;&gt;"",DSDV!B641,"")</f>
        <v/>
      </c>
      <c r="B636" t="str">
        <f>IF(DSDV!G641&lt;&gt;"",DSDV!G641,"")</f>
        <v/>
      </c>
      <c r="C636" s="237" t="str">
        <f>IF(DSDV!K641&lt;&gt;"",DSDV!K641,"")</f>
        <v/>
      </c>
      <c r="D636" s="417" t="str">
        <f>IF(DSDV!W641&lt;&gt;"",DSDV!W641,"")</f>
        <v/>
      </c>
    </row>
    <row r="637" spans="1:4">
      <c r="A637" t="str">
        <f>IF(DSDV!B642&lt;&gt;"",DSDV!B642,"")</f>
        <v/>
      </c>
      <c r="B637" t="str">
        <f>IF(DSDV!G642&lt;&gt;"",DSDV!G642,"")</f>
        <v/>
      </c>
      <c r="C637" s="237" t="str">
        <f>IF(DSDV!K642&lt;&gt;"",DSDV!K642,"")</f>
        <v/>
      </c>
      <c r="D637" s="417" t="str">
        <f>IF(DSDV!W642&lt;&gt;"",DSDV!W642,"")</f>
        <v/>
      </c>
    </row>
    <row r="638" spans="1:4">
      <c r="A638" t="str">
        <f>IF(DSDV!B643&lt;&gt;"",DSDV!B643,"")</f>
        <v/>
      </c>
      <c r="B638" t="str">
        <f>IF(DSDV!G643&lt;&gt;"",DSDV!G643,"")</f>
        <v/>
      </c>
      <c r="C638" s="237" t="str">
        <f>IF(DSDV!K643&lt;&gt;"",DSDV!K643,"")</f>
        <v/>
      </c>
      <c r="D638" s="417" t="str">
        <f>IF(DSDV!W643&lt;&gt;"",DSDV!W643,"")</f>
        <v/>
      </c>
    </row>
    <row r="639" spans="1:4">
      <c r="A639" t="str">
        <f>IF(DSDV!B644&lt;&gt;"",DSDV!B644,"")</f>
        <v/>
      </c>
      <c r="B639" t="str">
        <f>IF(DSDV!G644&lt;&gt;"",DSDV!G644,"")</f>
        <v/>
      </c>
      <c r="C639" s="237" t="str">
        <f>IF(DSDV!K644&lt;&gt;"",DSDV!K644,"")</f>
        <v/>
      </c>
      <c r="D639" s="417" t="str">
        <f>IF(DSDV!W644&lt;&gt;"",DSDV!W644,"")</f>
        <v/>
      </c>
    </row>
    <row r="640" spans="1:4">
      <c r="A640" t="str">
        <f>IF(DSDV!B645&lt;&gt;"",DSDV!B645,"")</f>
        <v/>
      </c>
      <c r="B640" t="str">
        <f>IF(DSDV!G645&lt;&gt;"",DSDV!G645,"")</f>
        <v/>
      </c>
      <c r="C640" s="237" t="str">
        <f>IF(DSDV!K645&lt;&gt;"",DSDV!K645,"")</f>
        <v/>
      </c>
      <c r="D640" s="417" t="str">
        <f>IF(DSDV!W645&lt;&gt;"",DSDV!W645,"")</f>
        <v/>
      </c>
    </row>
    <row r="641" spans="1:4">
      <c r="A641" t="str">
        <f>IF(DSDV!B646&lt;&gt;"",DSDV!B646,"")</f>
        <v/>
      </c>
      <c r="B641" t="str">
        <f>IF(DSDV!G646&lt;&gt;"",DSDV!G646,"")</f>
        <v/>
      </c>
      <c r="C641" s="237" t="str">
        <f>IF(DSDV!K646&lt;&gt;"",DSDV!K646,"")</f>
        <v/>
      </c>
      <c r="D641" s="417" t="str">
        <f>IF(DSDV!W646&lt;&gt;"",DSDV!W646,"")</f>
        <v/>
      </c>
    </row>
    <row r="642" spans="1:4">
      <c r="A642" t="str">
        <f>IF(DSDV!B647&lt;&gt;"",DSDV!B647,"")</f>
        <v/>
      </c>
      <c r="B642" t="str">
        <f>IF(DSDV!G647&lt;&gt;"",DSDV!G647,"")</f>
        <v/>
      </c>
      <c r="C642" s="237" t="str">
        <f>IF(DSDV!K647&lt;&gt;"",DSDV!K647,"")</f>
        <v/>
      </c>
      <c r="D642" s="417" t="str">
        <f>IF(DSDV!W647&lt;&gt;"",DSDV!W647,"")</f>
        <v/>
      </c>
    </row>
    <row r="643" spans="1:4">
      <c r="A643" t="str">
        <f>IF(DSDV!B648&lt;&gt;"",DSDV!B648,"")</f>
        <v/>
      </c>
      <c r="B643" t="str">
        <f>IF(DSDV!G648&lt;&gt;"",DSDV!G648,"")</f>
        <v/>
      </c>
      <c r="C643" s="237" t="str">
        <f>IF(DSDV!K648&lt;&gt;"",DSDV!K648,"")</f>
        <v/>
      </c>
      <c r="D643" s="417" t="str">
        <f>IF(DSDV!W648&lt;&gt;"",DSDV!W648,"")</f>
        <v/>
      </c>
    </row>
    <row r="644" spans="1:4">
      <c r="A644" t="str">
        <f>IF(DSDV!B649&lt;&gt;"",DSDV!B649,"")</f>
        <v/>
      </c>
      <c r="B644" t="str">
        <f>IF(DSDV!G649&lt;&gt;"",DSDV!G649,"")</f>
        <v/>
      </c>
      <c r="C644" s="237" t="str">
        <f>IF(DSDV!K649&lt;&gt;"",DSDV!K649,"")</f>
        <v/>
      </c>
      <c r="D644" s="417" t="str">
        <f>IF(DSDV!W649&lt;&gt;"",DSDV!W649,"")</f>
        <v/>
      </c>
    </row>
    <row r="645" spans="1:4">
      <c r="A645" t="str">
        <f>IF(DSDV!B650&lt;&gt;"",DSDV!B650,"")</f>
        <v/>
      </c>
      <c r="B645" t="str">
        <f>IF(DSDV!G650&lt;&gt;"",DSDV!G650,"")</f>
        <v/>
      </c>
      <c r="C645" s="237" t="str">
        <f>IF(DSDV!K650&lt;&gt;"",DSDV!K650,"")</f>
        <v/>
      </c>
      <c r="D645" s="417" t="str">
        <f>IF(DSDV!W650&lt;&gt;"",DSDV!W650,"")</f>
        <v/>
      </c>
    </row>
    <row r="646" spans="1:4">
      <c r="A646" t="str">
        <f>IF(DSDV!B651&lt;&gt;"",DSDV!B651,"")</f>
        <v/>
      </c>
      <c r="B646" t="str">
        <f>IF(DSDV!G651&lt;&gt;"",DSDV!G651,"")</f>
        <v/>
      </c>
      <c r="C646" s="237" t="str">
        <f>IF(DSDV!K651&lt;&gt;"",DSDV!K651,"")</f>
        <v/>
      </c>
      <c r="D646" s="417" t="str">
        <f>IF(DSDV!W651&lt;&gt;"",DSDV!W651,"")</f>
        <v/>
      </c>
    </row>
    <row r="647" spans="1:4">
      <c r="A647" t="str">
        <f>IF(DSDV!B652&lt;&gt;"",DSDV!B652,"")</f>
        <v/>
      </c>
      <c r="B647" t="str">
        <f>IF(DSDV!G652&lt;&gt;"",DSDV!G652,"")</f>
        <v/>
      </c>
      <c r="C647" s="237" t="str">
        <f>IF(DSDV!K652&lt;&gt;"",DSDV!K652,"")</f>
        <v/>
      </c>
      <c r="D647" s="417" t="str">
        <f>IF(DSDV!W652&lt;&gt;"",DSDV!W652,"")</f>
        <v/>
      </c>
    </row>
    <row r="648" spans="1:4">
      <c r="A648" t="str">
        <f>IF(DSDV!B653&lt;&gt;"",DSDV!B653,"")</f>
        <v/>
      </c>
      <c r="B648" t="str">
        <f>IF(DSDV!G653&lt;&gt;"",DSDV!G653,"")</f>
        <v/>
      </c>
      <c r="C648" s="237" t="str">
        <f>IF(DSDV!K653&lt;&gt;"",DSDV!K653,"")</f>
        <v/>
      </c>
      <c r="D648" s="417" t="str">
        <f>IF(DSDV!W653&lt;&gt;"",DSDV!W653,"")</f>
        <v/>
      </c>
    </row>
    <row r="649" spans="1:4">
      <c r="A649" t="str">
        <f>IF(DSDV!B654&lt;&gt;"",DSDV!B654,"")</f>
        <v/>
      </c>
      <c r="B649" t="str">
        <f>IF(DSDV!G654&lt;&gt;"",DSDV!G654,"")</f>
        <v/>
      </c>
      <c r="C649" s="237" t="str">
        <f>IF(DSDV!K654&lt;&gt;"",DSDV!K654,"")</f>
        <v/>
      </c>
      <c r="D649" s="417" t="str">
        <f>IF(DSDV!W654&lt;&gt;"",DSDV!W654,"")</f>
        <v/>
      </c>
    </row>
    <row r="650" spans="1:4">
      <c r="A650" t="str">
        <f>IF(DSDV!B655&lt;&gt;"",DSDV!B655,"")</f>
        <v/>
      </c>
      <c r="B650" t="str">
        <f>IF(DSDV!G655&lt;&gt;"",DSDV!G655,"")</f>
        <v/>
      </c>
      <c r="C650" s="237" t="str">
        <f>IF(DSDV!K655&lt;&gt;"",DSDV!K655,"")</f>
        <v/>
      </c>
      <c r="D650" s="417" t="str">
        <f>IF(DSDV!W655&lt;&gt;"",DSDV!W655,"")</f>
        <v/>
      </c>
    </row>
    <row r="651" spans="1:4">
      <c r="A651" t="str">
        <f>IF(DSDV!B656&lt;&gt;"",DSDV!B656,"")</f>
        <v/>
      </c>
      <c r="B651" t="str">
        <f>IF(DSDV!G656&lt;&gt;"",DSDV!G656,"")</f>
        <v/>
      </c>
      <c r="C651" s="237" t="str">
        <f>IF(DSDV!K656&lt;&gt;"",DSDV!K656,"")</f>
        <v/>
      </c>
      <c r="D651" s="417" t="str">
        <f>IF(DSDV!W656&lt;&gt;"",DSDV!W656,"")</f>
        <v/>
      </c>
    </row>
    <row r="652" spans="1:4">
      <c r="A652" t="str">
        <f>IF(DSDV!B657&lt;&gt;"",DSDV!B657,"")</f>
        <v/>
      </c>
      <c r="B652" t="str">
        <f>IF(DSDV!G657&lt;&gt;"",DSDV!G657,"")</f>
        <v/>
      </c>
      <c r="C652" s="237" t="str">
        <f>IF(DSDV!K657&lt;&gt;"",DSDV!K657,"")</f>
        <v/>
      </c>
      <c r="D652" s="417" t="str">
        <f>IF(DSDV!W657&lt;&gt;"",DSDV!W657,"")</f>
        <v/>
      </c>
    </row>
    <row r="653" spans="1:4">
      <c r="A653" t="str">
        <f>IF(DSDV!B658&lt;&gt;"",DSDV!B658,"")</f>
        <v/>
      </c>
      <c r="B653" t="str">
        <f>IF(DSDV!G658&lt;&gt;"",DSDV!G658,"")</f>
        <v/>
      </c>
      <c r="C653" s="237" t="str">
        <f>IF(DSDV!K658&lt;&gt;"",DSDV!K658,"")</f>
        <v/>
      </c>
      <c r="D653" s="417" t="str">
        <f>IF(DSDV!W658&lt;&gt;"",DSDV!W658,"")</f>
        <v/>
      </c>
    </row>
    <row r="654" spans="1:4">
      <c r="A654" t="str">
        <f>IF(DSDV!B659&lt;&gt;"",DSDV!B659,"")</f>
        <v/>
      </c>
      <c r="B654" t="str">
        <f>IF(DSDV!G659&lt;&gt;"",DSDV!G659,"")</f>
        <v/>
      </c>
      <c r="C654" s="237" t="str">
        <f>IF(DSDV!K659&lt;&gt;"",DSDV!K659,"")</f>
        <v/>
      </c>
      <c r="D654" s="417" t="str">
        <f>IF(DSDV!W659&lt;&gt;"",DSDV!W659,"")</f>
        <v/>
      </c>
    </row>
    <row r="655" spans="1:4">
      <c r="A655" t="str">
        <f>IF(DSDV!B660&lt;&gt;"",DSDV!B660,"")</f>
        <v/>
      </c>
      <c r="B655" t="str">
        <f>IF(DSDV!G660&lt;&gt;"",DSDV!G660,"")</f>
        <v/>
      </c>
      <c r="C655" s="237" t="str">
        <f>IF(DSDV!K660&lt;&gt;"",DSDV!K660,"")</f>
        <v/>
      </c>
      <c r="D655" s="417" t="str">
        <f>IF(DSDV!W660&lt;&gt;"",DSDV!W660,"")</f>
        <v/>
      </c>
    </row>
    <row r="656" spans="1:4">
      <c r="A656" t="str">
        <f>IF(DSDV!B661&lt;&gt;"",DSDV!B661,"")</f>
        <v/>
      </c>
      <c r="B656" t="str">
        <f>IF(DSDV!G661&lt;&gt;"",DSDV!G661,"")</f>
        <v/>
      </c>
      <c r="C656" s="237" t="str">
        <f>IF(DSDV!K661&lt;&gt;"",DSDV!K661,"")</f>
        <v/>
      </c>
      <c r="D656" s="417" t="str">
        <f>IF(DSDV!W661&lt;&gt;"",DSDV!W661,"")</f>
        <v/>
      </c>
    </row>
    <row r="657" spans="1:4">
      <c r="A657" t="str">
        <f>IF(DSDV!B662&lt;&gt;"",DSDV!B662,"")</f>
        <v/>
      </c>
      <c r="B657" t="str">
        <f>IF(DSDV!G662&lt;&gt;"",DSDV!G662,"")</f>
        <v/>
      </c>
      <c r="C657" s="237" t="str">
        <f>IF(DSDV!K662&lt;&gt;"",DSDV!K662,"")</f>
        <v/>
      </c>
      <c r="D657" s="417" t="str">
        <f>IF(DSDV!W662&lt;&gt;"",DSDV!W662,"")</f>
        <v/>
      </c>
    </row>
    <row r="658" spans="1:4">
      <c r="A658" t="str">
        <f>IF(DSDV!B663&lt;&gt;"",DSDV!B663,"")</f>
        <v/>
      </c>
      <c r="B658" t="str">
        <f>IF(DSDV!G663&lt;&gt;"",DSDV!G663,"")</f>
        <v/>
      </c>
      <c r="C658" s="237" t="str">
        <f>IF(DSDV!K663&lt;&gt;"",DSDV!K663,"")</f>
        <v/>
      </c>
      <c r="D658" s="417" t="str">
        <f>IF(DSDV!W663&lt;&gt;"",DSDV!W663,"")</f>
        <v/>
      </c>
    </row>
    <row r="659" spans="1:4">
      <c r="A659" t="str">
        <f>IF(DSDV!B664&lt;&gt;"",DSDV!B664,"")</f>
        <v/>
      </c>
      <c r="B659" t="str">
        <f>IF(DSDV!G664&lt;&gt;"",DSDV!G664,"")</f>
        <v/>
      </c>
      <c r="C659" s="237" t="str">
        <f>IF(DSDV!K664&lt;&gt;"",DSDV!K664,"")</f>
        <v/>
      </c>
      <c r="D659" s="417" t="str">
        <f>IF(DSDV!W664&lt;&gt;"",DSDV!W664,"")</f>
        <v/>
      </c>
    </row>
    <row r="660" spans="1:4">
      <c r="A660" t="str">
        <f>IF(DSDV!B665&lt;&gt;"",DSDV!B665,"")</f>
        <v/>
      </c>
      <c r="B660" t="str">
        <f>IF(DSDV!G665&lt;&gt;"",DSDV!G665,"")</f>
        <v/>
      </c>
      <c r="C660" s="237" t="str">
        <f>IF(DSDV!K665&lt;&gt;"",DSDV!K665,"")</f>
        <v/>
      </c>
      <c r="D660" s="417" t="str">
        <f>IF(DSDV!W665&lt;&gt;"",DSDV!W665,"")</f>
        <v/>
      </c>
    </row>
    <row r="661" spans="1:4">
      <c r="A661" t="str">
        <f>IF(DSDV!B666&lt;&gt;"",DSDV!B666,"")</f>
        <v/>
      </c>
      <c r="B661" t="str">
        <f>IF(DSDV!G666&lt;&gt;"",DSDV!G666,"")</f>
        <v/>
      </c>
      <c r="C661" s="237" t="str">
        <f>IF(DSDV!K666&lt;&gt;"",DSDV!K666,"")</f>
        <v/>
      </c>
      <c r="D661" s="417" t="str">
        <f>IF(DSDV!W666&lt;&gt;"",DSDV!W666,"")</f>
        <v/>
      </c>
    </row>
    <row r="662" spans="1:4">
      <c r="A662" t="str">
        <f>IF(DSDV!B667&lt;&gt;"",DSDV!B667,"")</f>
        <v/>
      </c>
      <c r="B662" t="str">
        <f>IF(DSDV!G667&lt;&gt;"",DSDV!G667,"")</f>
        <v/>
      </c>
      <c r="C662" s="237" t="str">
        <f>IF(DSDV!K667&lt;&gt;"",DSDV!K667,"")</f>
        <v/>
      </c>
      <c r="D662" s="417" t="str">
        <f>IF(DSDV!W667&lt;&gt;"",DSDV!W667,"")</f>
        <v/>
      </c>
    </row>
    <row r="663" spans="1:4">
      <c r="A663" t="str">
        <f>IF(DSDV!B668&lt;&gt;"",DSDV!B668,"")</f>
        <v/>
      </c>
      <c r="B663" t="str">
        <f>IF(DSDV!G668&lt;&gt;"",DSDV!G668,"")</f>
        <v/>
      </c>
      <c r="C663" s="237" t="str">
        <f>IF(DSDV!K668&lt;&gt;"",DSDV!K668,"")</f>
        <v/>
      </c>
      <c r="D663" s="417" t="str">
        <f>IF(DSDV!W668&lt;&gt;"",DSDV!W668,"")</f>
        <v/>
      </c>
    </row>
    <row r="664" spans="1:4">
      <c r="A664" t="str">
        <f>IF(DSDV!B669&lt;&gt;"",DSDV!B669,"")</f>
        <v/>
      </c>
      <c r="B664" t="str">
        <f>IF(DSDV!G669&lt;&gt;"",DSDV!G669,"")</f>
        <v/>
      </c>
      <c r="C664" s="237" t="str">
        <f>IF(DSDV!K669&lt;&gt;"",DSDV!K669,"")</f>
        <v/>
      </c>
      <c r="D664" s="417" t="str">
        <f>IF(DSDV!W669&lt;&gt;"",DSDV!W669,"")</f>
        <v/>
      </c>
    </row>
    <row r="665" spans="1:4">
      <c r="A665" t="str">
        <f>IF(DSDV!B670&lt;&gt;"",DSDV!B670,"")</f>
        <v/>
      </c>
      <c r="B665" t="str">
        <f>IF(DSDV!G670&lt;&gt;"",DSDV!G670,"")</f>
        <v/>
      </c>
      <c r="C665" s="237" t="str">
        <f>IF(DSDV!K670&lt;&gt;"",DSDV!K670,"")</f>
        <v/>
      </c>
      <c r="D665" s="417" t="str">
        <f>IF(DSDV!W670&lt;&gt;"",DSDV!W670,"")</f>
        <v/>
      </c>
    </row>
    <row r="666" spans="1:4">
      <c r="A666" t="str">
        <f>IF(DSDV!B671&lt;&gt;"",DSDV!B671,"")</f>
        <v/>
      </c>
      <c r="B666" t="str">
        <f>IF(DSDV!G671&lt;&gt;"",DSDV!G671,"")</f>
        <v/>
      </c>
      <c r="C666" s="237" t="str">
        <f>IF(DSDV!K671&lt;&gt;"",DSDV!K671,"")</f>
        <v/>
      </c>
      <c r="D666" s="417" t="str">
        <f>IF(DSDV!W671&lt;&gt;"",DSDV!W671,"")</f>
        <v/>
      </c>
    </row>
    <row r="667" spans="1:4">
      <c r="A667" t="str">
        <f>IF(DSDV!B672&lt;&gt;"",DSDV!B672,"")</f>
        <v/>
      </c>
      <c r="B667" t="str">
        <f>IF(DSDV!G672&lt;&gt;"",DSDV!G672,"")</f>
        <v/>
      </c>
      <c r="C667" s="237" t="str">
        <f>IF(DSDV!K672&lt;&gt;"",DSDV!K672,"")</f>
        <v/>
      </c>
      <c r="D667" s="417" t="str">
        <f>IF(DSDV!W672&lt;&gt;"",DSDV!W672,"")</f>
        <v/>
      </c>
    </row>
    <row r="668" spans="1:4">
      <c r="A668" t="str">
        <f>IF(DSDV!B673&lt;&gt;"",DSDV!B673,"")</f>
        <v/>
      </c>
      <c r="B668" t="str">
        <f>IF(DSDV!G673&lt;&gt;"",DSDV!G673,"")</f>
        <v/>
      </c>
      <c r="C668" s="237" t="str">
        <f>IF(DSDV!K673&lt;&gt;"",DSDV!K673,"")</f>
        <v/>
      </c>
      <c r="D668" s="417" t="str">
        <f>IF(DSDV!W673&lt;&gt;"",DSDV!W673,"")</f>
        <v/>
      </c>
    </row>
    <row r="669" spans="1:4">
      <c r="A669" t="str">
        <f>IF(DSDV!B674&lt;&gt;"",DSDV!B674,"")</f>
        <v/>
      </c>
      <c r="B669" t="str">
        <f>IF(DSDV!G674&lt;&gt;"",DSDV!G674,"")</f>
        <v/>
      </c>
      <c r="C669" s="237" t="str">
        <f>IF(DSDV!K674&lt;&gt;"",DSDV!K674,"")</f>
        <v/>
      </c>
      <c r="D669" s="417" t="str">
        <f>IF(DSDV!W674&lt;&gt;"",DSDV!W674,"")</f>
        <v/>
      </c>
    </row>
    <row r="670" spans="1:4">
      <c r="A670" t="str">
        <f>IF(DSDV!B675&lt;&gt;"",DSDV!B675,"")</f>
        <v/>
      </c>
      <c r="B670" t="str">
        <f>IF(DSDV!G675&lt;&gt;"",DSDV!G675,"")</f>
        <v/>
      </c>
      <c r="C670" s="237" t="str">
        <f>IF(DSDV!K675&lt;&gt;"",DSDV!K675,"")</f>
        <v/>
      </c>
      <c r="D670" s="417" t="str">
        <f>IF(DSDV!W675&lt;&gt;"",DSDV!W675,"")</f>
        <v/>
      </c>
    </row>
    <row r="671" spans="1:4">
      <c r="A671" t="str">
        <f>IF(DSDV!B676&lt;&gt;"",DSDV!B676,"")</f>
        <v/>
      </c>
      <c r="B671" t="str">
        <f>IF(DSDV!G676&lt;&gt;"",DSDV!G676,"")</f>
        <v/>
      </c>
      <c r="C671" s="237" t="str">
        <f>IF(DSDV!K676&lt;&gt;"",DSDV!K676,"")</f>
        <v/>
      </c>
      <c r="D671" s="417" t="str">
        <f>IF(DSDV!W676&lt;&gt;"",DSDV!W676,"")</f>
        <v/>
      </c>
    </row>
    <row r="672" spans="1:4">
      <c r="A672" t="str">
        <f>IF(DSDV!B677&lt;&gt;"",DSDV!B677,"")</f>
        <v/>
      </c>
      <c r="B672" t="str">
        <f>IF(DSDV!G677&lt;&gt;"",DSDV!G677,"")</f>
        <v/>
      </c>
      <c r="C672" s="237" t="str">
        <f>IF(DSDV!K677&lt;&gt;"",DSDV!K677,"")</f>
        <v/>
      </c>
      <c r="D672" s="417" t="str">
        <f>IF(DSDV!W677&lt;&gt;"",DSDV!W677,"")</f>
        <v/>
      </c>
    </row>
    <row r="673" spans="1:4">
      <c r="A673" t="str">
        <f>IF(DSDV!B678&lt;&gt;"",DSDV!B678,"")</f>
        <v/>
      </c>
      <c r="B673" t="str">
        <f>IF(DSDV!G678&lt;&gt;"",DSDV!G678,"")</f>
        <v/>
      </c>
      <c r="C673" s="237" t="str">
        <f>IF(DSDV!K678&lt;&gt;"",DSDV!K678,"")</f>
        <v/>
      </c>
      <c r="D673" s="417" t="str">
        <f>IF(DSDV!W678&lt;&gt;"",DSDV!W678,"")</f>
        <v/>
      </c>
    </row>
    <row r="674" spans="1:4">
      <c r="A674" t="str">
        <f>IF(DSDV!B679&lt;&gt;"",DSDV!B679,"")</f>
        <v/>
      </c>
      <c r="B674" t="str">
        <f>IF(DSDV!G679&lt;&gt;"",DSDV!G679,"")</f>
        <v/>
      </c>
      <c r="C674" s="237" t="str">
        <f>IF(DSDV!K679&lt;&gt;"",DSDV!K679,"")</f>
        <v/>
      </c>
      <c r="D674" s="417" t="str">
        <f>IF(DSDV!W679&lt;&gt;"",DSDV!W679,"")</f>
        <v/>
      </c>
    </row>
    <row r="675" spans="1:4">
      <c r="A675" t="str">
        <f>IF(DSDV!B680&lt;&gt;"",DSDV!B680,"")</f>
        <v/>
      </c>
      <c r="B675" t="str">
        <f>IF(DSDV!G680&lt;&gt;"",DSDV!G680,"")</f>
        <v/>
      </c>
      <c r="C675" s="237" t="str">
        <f>IF(DSDV!K680&lt;&gt;"",DSDV!K680,"")</f>
        <v/>
      </c>
      <c r="D675" s="417" t="str">
        <f>IF(DSDV!W680&lt;&gt;"",DSDV!W680,"")</f>
        <v/>
      </c>
    </row>
    <row r="676" spans="1:4">
      <c r="A676" t="str">
        <f>IF(DSDV!B681&lt;&gt;"",DSDV!B681,"")</f>
        <v/>
      </c>
      <c r="B676" t="str">
        <f>IF(DSDV!G681&lt;&gt;"",DSDV!G681,"")</f>
        <v/>
      </c>
      <c r="C676" s="237" t="str">
        <f>IF(DSDV!K681&lt;&gt;"",DSDV!K681,"")</f>
        <v/>
      </c>
      <c r="D676" s="417" t="str">
        <f>IF(DSDV!W681&lt;&gt;"",DSDV!W681,"")</f>
        <v/>
      </c>
    </row>
    <row r="677" spans="1:4">
      <c r="A677" t="str">
        <f>IF(DSDV!B682&lt;&gt;"",DSDV!B682,"")</f>
        <v/>
      </c>
      <c r="B677" t="str">
        <f>IF(DSDV!G682&lt;&gt;"",DSDV!G682,"")</f>
        <v/>
      </c>
      <c r="C677" s="237" t="str">
        <f>IF(DSDV!K682&lt;&gt;"",DSDV!K682,"")</f>
        <v/>
      </c>
      <c r="D677" s="417" t="str">
        <f>IF(DSDV!W682&lt;&gt;"",DSDV!W682,"")</f>
        <v/>
      </c>
    </row>
    <row r="678" spans="1:4">
      <c r="A678" t="str">
        <f>IF(DSDV!B683&lt;&gt;"",DSDV!B683,"")</f>
        <v/>
      </c>
      <c r="B678" t="str">
        <f>IF(DSDV!G683&lt;&gt;"",DSDV!G683,"")</f>
        <v/>
      </c>
      <c r="C678" s="237" t="str">
        <f>IF(DSDV!K683&lt;&gt;"",DSDV!K683,"")</f>
        <v/>
      </c>
      <c r="D678" s="417" t="str">
        <f>IF(DSDV!W683&lt;&gt;"",DSDV!W683,"")</f>
        <v/>
      </c>
    </row>
    <row r="679" spans="1:4">
      <c r="A679" t="str">
        <f>IF(DSDV!B684&lt;&gt;"",DSDV!B684,"")</f>
        <v/>
      </c>
      <c r="B679" t="str">
        <f>IF(DSDV!G684&lt;&gt;"",DSDV!G684,"")</f>
        <v/>
      </c>
      <c r="C679" s="237" t="str">
        <f>IF(DSDV!K684&lt;&gt;"",DSDV!K684,"")</f>
        <v/>
      </c>
      <c r="D679" s="417" t="str">
        <f>IF(DSDV!W684&lt;&gt;"",DSDV!W684,"")</f>
        <v/>
      </c>
    </row>
    <row r="680" spans="1:4">
      <c r="A680" t="str">
        <f>IF(DSDV!B685&lt;&gt;"",DSDV!B685,"")</f>
        <v/>
      </c>
      <c r="B680" t="str">
        <f>IF(DSDV!G685&lt;&gt;"",DSDV!G685,"")</f>
        <v/>
      </c>
      <c r="C680" s="237" t="str">
        <f>IF(DSDV!K685&lt;&gt;"",DSDV!K685,"")</f>
        <v/>
      </c>
      <c r="D680" s="417" t="str">
        <f>IF(DSDV!W685&lt;&gt;"",DSDV!W685,"")</f>
        <v/>
      </c>
    </row>
    <row r="681" spans="1:4">
      <c r="A681" t="str">
        <f>IF(DSDV!B686&lt;&gt;"",DSDV!B686,"")</f>
        <v/>
      </c>
      <c r="B681" t="str">
        <f>IF(DSDV!G686&lt;&gt;"",DSDV!G686,"")</f>
        <v/>
      </c>
      <c r="C681" s="237" t="str">
        <f>IF(DSDV!K686&lt;&gt;"",DSDV!K686,"")</f>
        <v/>
      </c>
      <c r="D681" s="417" t="str">
        <f>IF(DSDV!W686&lt;&gt;"",DSDV!W686,"")</f>
        <v/>
      </c>
    </row>
    <row r="682" spans="1:4">
      <c r="A682" t="str">
        <f>IF(DSDV!B687&lt;&gt;"",DSDV!B687,"")</f>
        <v/>
      </c>
      <c r="B682" t="str">
        <f>IF(DSDV!G687&lt;&gt;"",DSDV!G687,"")</f>
        <v/>
      </c>
      <c r="C682" s="237" t="str">
        <f>IF(DSDV!K687&lt;&gt;"",DSDV!K687,"")</f>
        <v/>
      </c>
      <c r="D682" s="417" t="str">
        <f>IF(DSDV!W687&lt;&gt;"",DSDV!W687,"")</f>
        <v/>
      </c>
    </row>
    <row r="683" spans="1:4">
      <c r="A683" t="str">
        <f>IF(DSDV!B688&lt;&gt;"",DSDV!B688,"")</f>
        <v/>
      </c>
      <c r="B683" t="str">
        <f>IF(DSDV!G688&lt;&gt;"",DSDV!G688,"")</f>
        <v/>
      </c>
      <c r="C683" s="237" t="str">
        <f>IF(DSDV!K688&lt;&gt;"",DSDV!K688,"")</f>
        <v/>
      </c>
      <c r="D683" s="417" t="str">
        <f>IF(DSDV!W688&lt;&gt;"",DSDV!W688,"")</f>
        <v/>
      </c>
    </row>
    <row r="684" spans="1:4">
      <c r="A684" t="str">
        <f>IF(DSDV!B689&lt;&gt;"",DSDV!B689,"")</f>
        <v/>
      </c>
      <c r="B684" t="str">
        <f>IF(DSDV!G689&lt;&gt;"",DSDV!G689,"")</f>
        <v/>
      </c>
      <c r="C684" s="237" t="str">
        <f>IF(DSDV!K689&lt;&gt;"",DSDV!K689,"")</f>
        <v/>
      </c>
      <c r="D684" s="417" t="str">
        <f>IF(DSDV!W689&lt;&gt;"",DSDV!W689,"")</f>
        <v/>
      </c>
    </row>
    <row r="685" spans="1:4">
      <c r="A685" t="str">
        <f>IF(DSDV!B690&lt;&gt;"",DSDV!B690,"")</f>
        <v/>
      </c>
      <c r="B685" t="str">
        <f>IF(DSDV!G690&lt;&gt;"",DSDV!G690,"")</f>
        <v/>
      </c>
      <c r="C685" s="237" t="str">
        <f>IF(DSDV!K690&lt;&gt;"",DSDV!K690,"")</f>
        <v/>
      </c>
      <c r="D685" s="417" t="str">
        <f>IF(DSDV!W690&lt;&gt;"",DSDV!W690,"")</f>
        <v/>
      </c>
    </row>
    <row r="686" spans="1:4">
      <c r="A686" t="str">
        <f>IF(DSDV!B691&lt;&gt;"",DSDV!B691,"")</f>
        <v/>
      </c>
      <c r="B686" t="str">
        <f>IF(DSDV!G691&lt;&gt;"",DSDV!G691,"")</f>
        <v/>
      </c>
      <c r="C686" s="237" t="str">
        <f>IF(DSDV!K691&lt;&gt;"",DSDV!K691,"")</f>
        <v/>
      </c>
      <c r="D686" s="417" t="str">
        <f>IF(DSDV!W691&lt;&gt;"",DSDV!W691,"")</f>
        <v/>
      </c>
    </row>
    <row r="687" spans="1:4">
      <c r="A687" t="str">
        <f>IF(DSDV!B692&lt;&gt;"",DSDV!B692,"")</f>
        <v/>
      </c>
      <c r="B687" t="str">
        <f>IF(DSDV!G692&lt;&gt;"",DSDV!G692,"")</f>
        <v/>
      </c>
      <c r="C687" s="237" t="str">
        <f>IF(DSDV!K692&lt;&gt;"",DSDV!K692,"")</f>
        <v/>
      </c>
      <c r="D687" s="417" t="str">
        <f>IF(DSDV!W692&lt;&gt;"",DSDV!W692,"")</f>
        <v/>
      </c>
    </row>
    <row r="688" spans="1:4">
      <c r="A688" t="str">
        <f>IF(DSDV!B693&lt;&gt;"",DSDV!B693,"")</f>
        <v/>
      </c>
      <c r="B688" t="str">
        <f>IF(DSDV!G693&lt;&gt;"",DSDV!G693,"")</f>
        <v/>
      </c>
      <c r="C688" s="237" t="str">
        <f>IF(DSDV!K693&lt;&gt;"",DSDV!K693,"")</f>
        <v/>
      </c>
      <c r="D688" s="417" t="str">
        <f>IF(DSDV!W693&lt;&gt;"",DSDV!W693,"")</f>
        <v/>
      </c>
    </row>
    <row r="689" spans="1:4">
      <c r="A689" t="str">
        <f>IF(DSDV!B694&lt;&gt;"",DSDV!B694,"")</f>
        <v/>
      </c>
      <c r="B689" t="str">
        <f>IF(DSDV!G694&lt;&gt;"",DSDV!G694,"")</f>
        <v/>
      </c>
      <c r="C689" s="237" t="str">
        <f>IF(DSDV!K694&lt;&gt;"",DSDV!K694,"")</f>
        <v/>
      </c>
      <c r="D689" s="417" t="str">
        <f>IF(DSDV!W694&lt;&gt;"",DSDV!W694,"")</f>
        <v/>
      </c>
    </row>
    <row r="690" spans="1:4">
      <c r="A690" t="str">
        <f>IF(DSDV!B695&lt;&gt;"",DSDV!B695,"")</f>
        <v/>
      </c>
      <c r="B690" t="str">
        <f>IF(DSDV!G695&lt;&gt;"",DSDV!G695,"")</f>
        <v/>
      </c>
      <c r="C690" s="237" t="str">
        <f>IF(DSDV!K695&lt;&gt;"",DSDV!K695,"")</f>
        <v/>
      </c>
      <c r="D690" s="417" t="str">
        <f>IF(DSDV!W695&lt;&gt;"",DSDV!W695,"")</f>
        <v/>
      </c>
    </row>
    <row r="691" spans="1:4">
      <c r="A691" t="str">
        <f>IF(DSDV!B696&lt;&gt;"",DSDV!B696,"")</f>
        <v/>
      </c>
      <c r="B691" t="str">
        <f>IF(DSDV!G696&lt;&gt;"",DSDV!G696,"")</f>
        <v/>
      </c>
      <c r="C691" s="237" t="str">
        <f>IF(DSDV!K696&lt;&gt;"",DSDV!K696,"")</f>
        <v/>
      </c>
      <c r="D691" s="417" t="str">
        <f>IF(DSDV!W696&lt;&gt;"",DSDV!W696,"")</f>
        <v/>
      </c>
    </row>
    <row r="692" spans="1:4">
      <c r="A692" t="str">
        <f>IF(DSDV!B697&lt;&gt;"",DSDV!B697,"")</f>
        <v/>
      </c>
      <c r="B692" t="str">
        <f>IF(DSDV!G697&lt;&gt;"",DSDV!G697,"")</f>
        <v/>
      </c>
      <c r="C692" s="237" t="str">
        <f>IF(DSDV!K697&lt;&gt;"",DSDV!K697,"")</f>
        <v/>
      </c>
      <c r="D692" s="417" t="str">
        <f>IF(DSDV!W697&lt;&gt;"",DSDV!W697,"")</f>
        <v/>
      </c>
    </row>
    <row r="693" spans="1:4">
      <c r="A693" t="str">
        <f>IF(DSDV!B698&lt;&gt;"",DSDV!B698,"")</f>
        <v/>
      </c>
      <c r="B693" t="str">
        <f>IF(DSDV!G698&lt;&gt;"",DSDV!G698,"")</f>
        <v/>
      </c>
      <c r="C693" s="237" t="str">
        <f>IF(DSDV!K698&lt;&gt;"",DSDV!K698,"")</f>
        <v/>
      </c>
      <c r="D693" s="417" t="str">
        <f>IF(DSDV!W698&lt;&gt;"",DSDV!W698,"")</f>
        <v/>
      </c>
    </row>
    <row r="694" spans="1:4">
      <c r="A694" t="str">
        <f>IF(DSDV!B699&lt;&gt;"",DSDV!B699,"")</f>
        <v/>
      </c>
      <c r="B694" t="str">
        <f>IF(DSDV!G699&lt;&gt;"",DSDV!G699,"")</f>
        <v/>
      </c>
      <c r="C694" s="237" t="str">
        <f>IF(DSDV!K699&lt;&gt;"",DSDV!K699,"")</f>
        <v/>
      </c>
      <c r="D694" s="417" t="str">
        <f>IF(DSDV!W699&lt;&gt;"",DSDV!W699,"")</f>
        <v/>
      </c>
    </row>
    <row r="695" spans="1:4">
      <c r="A695" t="str">
        <f>IF(DSDV!B700&lt;&gt;"",DSDV!B700,"")</f>
        <v/>
      </c>
      <c r="B695" t="str">
        <f>IF(DSDV!G700&lt;&gt;"",DSDV!G700,"")</f>
        <v/>
      </c>
      <c r="C695" s="237" t="str">
        <f>IF(DSDV!K700&lt;&gt;"",DSDV!K700,"")</f>
        <v/>
      </c>
      <c r="D695" s="417" t="str">
        <f>IF(DSDV!W700&lt;&gt;"",DSDV!W700,"")</f>
        <v/>
      </c>
    </row>
    <row r="696" spans="1:4">
      <c r="A696" t="str">
        <f>IF(DSDV!B701&lt;&gt;"",DSDV!B701,"")</f>
        <v/>
      </c>
      <c r="B696" t="str">
        <f>IF(DSDV!G701&lt;&gt;"",DSDV!G701,"")</f>
        <v/>
      </c>
      <c r="C696" s="237" t="str">
        <f>IF(DSDV!K701&lt;&gt;"",DSDV!K701,"")</f>
        <v/>
      </c>
      <c r="D696" s="417" t="str">
        <f>IF(DSDV!W701&lt;&gt;"",DSDV!W701,"")</f>
        <v/>
      </c>
    </row>
    <row r="697" spans="1:4">
      <c r="A697" t="str">
        <f>IF(DSDV!B702&lt;&gt;"",DSDV!B702,"")</f>
        <v/>
      </c>
      <c r="B697" t="str">
        <f>IF(DSDV!G702&lt;&gt;"",DSDV!G702,"")</f>
        <v/>
      </c>
      <c r="C697" s="237" t="str">
        <f>IF(DSDV!K702&lt;&gt;"",DSDV!K702,"")</f>
        <v/>
      </c>
      <c r="D697" s="417" t="str">
        <f>IF(DSDV!W702&lt;&gt;"",DSDV!W702,"")</f>
        <v/>
      </c>
    </row>
    <row r="698" spans="1:4">
      <c r="A698" t="str">
        <f>IF(DSDV!B703&lt;&gt;"",DSDV!B703,"")</f>
        <v/>
      </c>
      <c r="B698" t="str">
        <f>IF(DSDV!G703&lt;&gt;"",DSDV!G703,"")</f>
        <v/>
      </c>
      <c r="C698" s="237" t="str">
        <f>IF(DSDV!K703&lt;&gt;"",DSDV!K703,"")</f>
        <v/>
      </c>
      <c r="D698" s="417" t="str">
        <f>IF(DSDV!W703&lt;&gt;"",DSDV!W703,"")</f>
        <v/>
      </c>
    </row>
    <row r="699" spans="1:4">
      <c r="A699" t="str">
        <f>IF(DSDV!B704&lt;&gt;"",DSDV!B704,"")</f>
        <v/>
      </c>
      <c r="B699" t="str">
        <f>IF(DSDV!G704&lt;&gt;"",DSDV!G704,"")</f>
        <v/>
      </c>
      <c r="C699" s="237" t="str">
        <f>IF(DSDV!K704&lt;&gt;"",DSDV!K704,"")</f>
        <v/>
      </c>
      <c r="D699" s="417" t="str">
        <f>IF(DSDV!W704&lt;&gt;"",DSDV!W704,"")</f>
        <v/>
      </c>
    </row>
    <row r="700" spans="1:4">
      <c r="A700" t="str">
        <f>IF(DSDV!B705&lt;&gt;"",DSDV!B705,"")</f>
        <v/>
      </c>
      <c r="B700" t="str">
        <f>IF(DSDV!G705&lt;&gt;"",DSDV!G705,"")</f>
        <v/>
      </c>
      <c r="C700" s="237" t="str">
        <f>IF(DSDV!K705&lt;&gt;"",DSDV!K705,"")</f>
        <v/>
      </c>
      <c r="D700" s="417" t="str">
        <f>IF(DSDV!W705&lt;&gt;"",DSDV!W705,"")</f>
        <v/>
      </c>
    </row>
    <row r="701" spans="1:4">
      <c r="A701" t="str">
        <f>IF(DSDV!B706&lt;&gt;"",DSDV!B706,"")</f>
        <v/>
      </c>
      <c r="B701" t="str">
        <f>IF(DSDV!G706&lt;&gt;"",DSDV!G706,"")</f>
        <v/>
      </c>
      <c r="C701" s="237" t="str">
        <f>IF(DSDV!K706&lt;&gt;"",DSDV!K706,"")</f>
        <v/>
      </c>
      <c r="D701" s="417" t="str">
        <f>IF(DSDV!W706&lt;&gt;"",DSDV!W706,"")</f>
        <v/>
      </c>
    </row>
    <row r="702" spans="1:4">
      <c r="A702" t="str">
        <f>IF(DSDV!B707&lt;&gt;"",DSDV!B707,"")</f>
        <v/>
      </c>
      <c r="B702" t="str">
        <f>IF(DSDV!G707&lt;&gt;"",DSDV!G707,"")</f>
        <v/>
      </c>
      <c r="C702" s="237" t="str">
        <f>IF(DSDV!K707&lt;&gt;"",DSDV!K707,"")</f>
        <v/>
      </c>
      <c r="D702" s="417" t="str">
        <f>IF(DSDV!W707&lt;&gt;"",DSDV!W707,"")</f>
        <v/>
      </c>
    </row>
    <row r="703" spans="1:4">
      <c r="A703" t="str">
        <f>IF(DSDV!B708&lt;&gt;"",DSDV!B708,"")</f>
        <v/>
      </c>
      <c r="B703" t="str">
        <f>IF(DSDV!G708&lt;&gt;"",DSDV!G708,"")</f>
        <v/>
      </c>
      <c r="C703" s="237" t="str">
        <f>IF(DSDV!K708&lt;&gt;"",DSDV!K708,"")</f>
        <v/>
      </c>
      <c r="D703" s="417" t="str">
        <f>IF(DSDV!W708&lt;&gt;"",DSDV!W708,"")</f>
        <v/>
      </c>
    </row>
    <row r="704" spans="1:4">
      <c r="A704" t="str">
        <f>IF(DSDV!B709&lt;&gt;"",DSDV!B709,"")</f>
        <v/>
      </c>
      <c r="B704" t="str">
        <f>IF(DSDV!G709&lt;&gt;"",DSDV!G709,"")</f>
        <v/>
      </c>
      <c r="C704" s="237" t="str">
        <f>IF(DSDV!K709&lt;&gt;"",DSDV!K709,"")</f>
        <v/>
      </c>
      <c r="D704" s="417" t="str">
        <f>IF(DSDV!W709&lt;&gt;"",DSDV!W709,"")</f>
        <v/>
      </c>
    </row>
    <row r="705" spans="1:4">
      <c r="A705" t="str">
        <f>IF(DSDV!B710&lt;&gt;"",DSDV!B710,"")</f>
        <v/>
      </c>
      <c r="B705" t="str">
        <f>IF(DSDV!G710&lt;&gt;"",DSDV!G710,"")</f>
        <v/>
      </c>
      <c r="C705" s="237" t="str">
        <f>IF(DSDV!K710&lt;&gt;"",DSDV!K710,"")</f>
        <v/>
      </c>
      <c r="D705" s="417" t="str">
        <f>IF(DSDV!W710&lt;&gt;"",DSDV!W710,"")</f>
        <v/>
      </c>
    </row>
    <row r="706" spans="1:4">
      <c r="A706" t="str">
        <f>IF(DSDV!B711&lt;&gt;"",DSDV!B711,"")</f>
        <v/>
      </c>
      <c r="B706" t="str">
        <f>IF(DSDV!G711&lt;&gt;"",DSDV!G711,"")</f>
        <v/>
      </c>
      <c r="C706" s="237" t="str">
        <f>IF(DSDV!K711&lt;&gt;"",DSDV!K711,"")</f>
        <v/>
      </c>
      <c r="D706" s="417" t="str">
        <f>IF(DSDV!W711&lt;&gt;"",DSDV!W711,"")</f>
        <v/>
      </c>
    </row>
    <row r="707" spans="1:4">
      <c r="A707" t="str">
        <f>IF(DSDV!B712&lt;&gt;"",DSDV!B712,"")</f>
        <v/>
      </c>
      <c r="B707" t="str">
        <f>IF(DSDV!G712&lt;&gt;"",DSDV!G712,"")</f>
        <v/>
      </c>
      <c r="C707" s="237" t="str">
        <f>IF(DSDV!K712&lt;&gt;"",DSDV!K712,"")</f>
        <v/>
      </c>
      <c r="D707" s="417" t="str">
        <f>IF(DSDV!W712&lt;&gt;"",DSDV!W712,"")</f>
        <v/>
      </c>
    </row>
    <row r="708" spans="1:4">
      <c r="A708" t="str">
        <f>IF(DSDV!B713&lt;&gt;"",DSDV!B713,"")</f>
        <v/>
      </c>
      <c r="B708" t="str">
        <f>IF(DSDV!G713&lt;&gt;"",DSDV!G713,"")</f>
        <v/>
      </c>
      <c r="C708" s="237" t="str">
        <f>IF(DSDV!K713&lt;&gt;"",DSDV!K713,"")</f>
        <v/>
      </c>
      <c r="D708" s="417" t="str">
        <f>IF(DSDV!W713&lt;&gt;"",DSDV!W713,"")</f>
        <v/>
      </c>
    </row>
    <row r="709" spans="1:4">
      <c r="A709" t="str">
        <f>IF(DSDV!B714&lt;&gt;"",DSDV!B714,"")</f>
        <v/>
      </c>
      <c r="B709" t="str">
        <f>IF(DSDV!G714&lt;&gt;"",DSDV!G714,"")</f>
        <v/>
      </c>
      <c r="C709" s="237" t="str">
        <f>IF(DSDV!K714&lt;&gt;"",DSDV!K714,"")</f>
        <v/>
      </c>
      <c r="D709" s="417" t="str">
        <f>IF(DSDV!W714&lt;&gt;"",DSDV!W714,"")</f>
        <v/>
      </c>
    </row>
    <row r="710" spans="1:4">
      <c r="A710" t="str">
        <f>IF(DSDV!B715&lt;&gt;"",DSDV!B715,"")</f>
        <v/>
      </c>
      <c r="B710" t="str">
        <f>IF(DSDV!G715&lt;&gt;"",DSDV!G715,"")</f>
        <v/>
      </c>
      <c r="C710" s="237" t="str">
        <f>IF(DSDV!K715&lt;&gt;"",DSDV!K715,"")</f>
        <v/>
      </c>
      <c r="D710" s="417" t="str">
        <f>IF(DSDV!W715&lt;&gt;"",DSDV!W715,"")</f>
        <v/>
      </c>
    </row>
    <row r="711" spans="1:4">
      <c r="A711" t="str">
        <f>IF(DSDV!B716&lt;&gt;"",DSDV!B716,"")</f>
        <v/>
      </c>
      <c r="B711" t="str">
        <f>IF(DSDV!G716&lt;&gt;"",DSDV!G716,"")</f>
        <v/>
      </c>
      <c r="C711" s="237" t="str">
        <f>IF(DSDV!K716&lt;&gt;"",DSDV!K716,"")</f>
        <v/>
      </c>
      <c r="D711" s="417" t="str">
        <f>IF(DSDV!W716&lt;&gt;"",DSDV!W716,"")</f>
        <v/>
      </c>
    </row>
    <row r="712" spans="1:4">
      <c r="A712" t="str">
        <f>IF(DSDV!B717&lt;&gt;"",DSDV!B717,"")</f>
        <v/>
      </c>
      <c r="B712" t="str">
        <f>IF(DSDV!G717&lt;&gt;"",DSDV!G717,"")</f>
        <v/>
      </c>
      <c r="C712" s="237" t="str">
        <f>IF(DSDV!K717&lt;&gt;"",DSDV!K717,"")</f>
        <v/>
      </c>
      <c r="D712" s="417" t="str">
        <f>IF(DSDV!W717&lt;&gt;"",DSDV!W717,"")</f>
        <v/>
      </c>
    </row>
    <row r="713" spans="1:4">
      <c r="A713" t="str">
        <f>IF(DSDV!B718&lt;&gt;"",DSDV!B718,"")</f>
        <v/>
      </c>
      <c r="B713" t="str">
        <f>IF(DSDV!G718&lt;&gt;"",DSDV!G718,"")</f>
        <v/>
      </c>
      <c r="C713" s="237" t="str">
        <f>IF(DSDV!K718&lt;&gt;"",DSDV!K718,"")</f>
        <v/>
      </c>
      <c r="D713" s="417" t="str">
        <f>IF(DSDV!W718&lt;&gt;"",DSDV!W718,"")</f>
        <v/>
      </c>
    </row>
    <row r="714" spans="1:4">
      <c r="A714" t="str">
        <f>IF(DSDV!B719&lt;&gt;"",DSDV!B719,"")</f>
        <v/>
      </c>
      <c r="B714" t="str">
        <f>IF(DSDV!G719&lt;&gt;"",DSDV!G719,"")</f>
        <v/>
      </c>
      <c r="C714" s="237" t="str">
        <f>IF(DSDV!K719&lt;&gt;"",DSDV!K719,"")</f>
        <v/>
      </c>
      <c r="D714" s="417" t="str">
        <f>IF(DSDV!W719&lt;&gt;"",DSDV!W719,"")</f>
        <v/>
      </c>
    </row>
    <row r="715" spans="1:4">
      <c r="A715" t="str">
        <f>IF(DSDV!B720&lt;&gt;"",DSDV!B720,"")</f>
        <v/>
      </c>
      <c r="B715" t="str">
        <f>IF(DSDV!G720&lt;&gt;"",DSDV!G720,"")</f>
        <v/>
      </c>
      <c r="C715" s="237" t="str">
        <f>IF(DSDV!K720&lt;&gt;"",DSDV!K720,"")</f>
        <v/>
      </c>
      <c r="D715" s="417" t="str">
        <f>IF(DSDV!W720&lt;&gt;"",DSDV!W720,"")</f>
        <v/>
      </c>
    </row>
    <row r="716" spans="1:4">
      <c r="A716" t="str">
        <f>IF(DSDV!B721&lt;&gt;"",DSDV!B721,"")</f>
        <v/>
      </c>
      <c r="B716" t="str">
        <f>IF(DSDV!G721&lt;&gt;"",DSDV!G721,"")</f>
        <v/>
      </c>
      <c r="C716" s="237" t="str">
        <f>IF(DSDV!K721&lt;&gt;"",DSDV!K721,"")</f>
        <v/>
      </c>
      <c r="D716" s="417" t="str">
        <f>IF(DSDV!W721&lt;&gt;"",DSDV!W721,"")</f>
        <v/>
      </c>
    </row>
    <row r="717" spans="1:4">
      <c r="A717" t="str">
        <f>IF(DSDV!B722&lt;&gt;"",DSDV!B722,"")</f>
        <v/>
      </c>
      <c r="B717" t="str">
        <f>IF(DSDV!G722&lt;&gt;"",DSDV!G722,"")</f>
        <v/>
      </c>
      <c r="C717" s="237" t="str">
        <f>IF(DSDV!K722&lt;&gt;"",DSDV!K722,"")</f>
        <v/>
      </c>
      <c r="D717" s="417" t="str">
        <f>IF(DSDV!W722&lt;&gt;"",DSDV!W722,"")</f>
        <v/>
      </c>
    </row>
    <row r="718" spans="1:4">
      <c r="A718" t="str">
        <f>IF(DSDV!B723&lt;&gt;"",DSDV!B723,"")</f>
        <v/>
      </c>
      <c r="B718" t="str">
        <f>IF(DSDV!G723&lt;&gt;"",DSDV!G723,"")</f>
        <v/>
      </c>
      <c r="C718" s="237" t="str">
        <f>IF(DSDV!K723&lt;&gt;"",DSDV!K723,"")</f>
        <v/>
      </c>
      <c r="D718" s="417" t="str">
        <f>IF(DSDV!W723&lt;&gt;"",DSDV!W723,"")</f>
        <v/>
      </c>
    </row>
    <row r="719" spans="1:4">
      <c r="A719" t="str">
        <f>IF(DSDV!B724&lt;&gt;"",DSDV!B724,"")</f>
        <v/>
      </c>
      <c r="B719" t="str">
        <f>IF(DSDV!G724&lt;&gt;"",DSDV!G724,"")</f>
        <v/>
      </c>
      <c r="C719" s="237" t="str">
        <f>IF(DSDV!K724&lt;&gt;"",DSDV!K724,"")</f>
        <v/>
      </c>
      <c r="D719" s="417" t="str">
        <f>IF(DSDV!W724&lt;&gt;"",DSDV!W724,"")</f>
        <v/>
      </c>
    </row>
    <row r="720" spans="1:4">
      <c r="A720" t="str">
        <f>IF(DSDV!B725&lt;&gt;"",DSDV!B725,"")</f>
        <v/>
      </c>
      <c r="B720" t="str">
        <f>IF(DSDV!G725&lt;&gt;"",DSDV!G725,"")</f>
        <v/>
      </c>
      <c r="C720" s="237" t="str">
        <f>IF(DSDV!K725&lt;&gt;"",DSDV!K725,"")</f>
        <v/>
      </c>
      <c r="D720" s="417" t="str">
        <f>IF(DSDV!W725&lt;&gt;"",DSDV!W725,"")</f>
        <v/>
      </c>
    </row>
    <row r="721" spans="1:4">
      <c r="A721" t="str">
        <f>IF(DSDV!B726&lt;&gt;"",DSDV!B726,"")</f>
        <v/>
      </c>
      <c r="B721" t="str">
        <f>IF(DSDV!G726&lt;&gt;"",DSDV!G726,"")</f>
        <v/>
      </c>
      <c r="C721" s="237" t="str">
        <f>IF(DSDV!K726&lt;&gt;"",DSDV!K726,"")</f>
        <v/>
      </c>
      <c r="D721" s="417" t="str">
        <f>IF(DSDV!W726&lt;&gt;"",DSDV!W726,"")</f>
        <v/>
      </c>
    </row>
    <row r="722" spans="1:4">
      <c r="A722" t="str">
        <f>IF(DSDV!B727&lt;&gt;"",DSDV!B727,"")</f>
        <v/>
      </c>
      <c r="B722" t="str">
        <f>IF(DSDV!G727&lt;&gt;"",DSDV!G727,"")</f>
        <v/>
      </c>
      <c r="C722" s="237" t="str">
        <f>IF(DSDV!K727&lt;&gt;"",DSDV!K727,"")</f>
        <v/>
      </c>
      <c r="D722" s="417" t="str">
        <f>IF(DSDV!W727&lt;&gt;"",DSDV!W727,"")</f>
        <v/>
      </c>
    </row>
    <row r="723" spans="1:4">
      <c r="A723" t="str">
        <f>IF(DSDV!B728&lt;&gt;"",DSDV!B728,"")</f>
        <v/>
      </c>
      <c r="B723" t="str">
        <f>IF(DSDV!G728&lt;&gt;"",DSDV!G728,"")</f>
        <v/>
      </c>
      <c r="C723" s="237" t="str">
        <f>IF(DSDV!K728&lt;&gt;"",DSDV!K728,"")</f>
        <v/>
      </c>
      <c r="D723" s="417" t="str">
        <f>IF(DSDV!W728&lt;&gt;"",DSDV!W728,"")</f>
        <v/>
      </c>
    </row>
    <row r="724" spans="1:4">
      <c r="A724" t="str">
        <f>IF(DSDV!B729&lt;&gt;"",DSDV!B729,"")</f>
        <v/>
      </c>
      <c r="B724" t="str">
        <f>IF(DSDV!G729&lt;&gt;"",DSDV!G729,"")</f>
        <v/>
      </c>
      <c r="C724" s="237" t="str">
        <f>IF(DSDV!K729&lt;&gt;"",DSDV!K729,"")</f>
        <v/>
      </c>
      <c r="D724" s="417" t="str">
        <f>IF(DSDV!W729&lt;&gt;"",DSDV!W729,"")</f>
        <v/>
      </c>
    </row>
    <row r="725" spans="1:4">
      <c r="A725" t="str">
        <f>IF(DSDV!B730&lt;&gt;"",DSDV!B730,"")</f>
        <v/>
      </c>
      <c r="B725" t="str">
        <f>IF(DSDV!G730&lt;&gt;"",DSDV!G730,"")</f>
        <v/>
      </c>
      <c r="C725" s="237" t="str">
        <f>IF(DSDV!K730&lt;&gt;"",DSDV!K730,"")</f>
        <v/>
      </c>
      <c r="D725" s="417" t="str">
        <f>IF(DSDV!W730&lt;&gt;"",DSDV!W730,"")</f>
        <v/>
      </c>
    </row>
    <row r="726" spans="1:4">
      <c r="A726" t="str">
        <f>IF(DSDV!B731&lt;&gt;"",DSDV!B731,"")</f>
        <v/>
      </c>
      <c r="B726" t="str">
        <f>IF(DSDV!G731&lt;&gt;"",DSDV!G731,"")</f>
        <v/>
      </c>
      <c r="C726" s="237" t="str">
        <f>IF(DSDV!K731&lt;&gt;"",DSDV!K731,"")</f>
        <v/>
      </c>
      <c r="D726" s="417" t="str">
        <f>IF(DSDV!W731&lt;&gt;"",DSDV!W731,"")</f>
        <v/>
      </c>
    </row>
    <row r="727" spans="1:4">
      <c r="A727" t="str">
        <f>IF(DSDV!B732&lt;&gt;"",DSDV!B732,"")</f>
        <v/>
      </c>
      <c r="B727" t="str">
        <f>IF(DSDV!G732&lt;&gt;"",DSDV!G732,"")</f>
        <v/>
      </c>
      <c r="C727" s="237" t="str">
        <f>IF(DSDV!K732&lt;&gt;"",DSDV!K732,"")</f>
        <v/>
      </c>
      <c r="D727" s="417" t="str">
        <f>IF(DSDV!W732&lt;&gt;"",DSDV!W732,"")</f>
        <v/>
      </c>
    </row>
    <row r="728" spans="1:4">
      <c r="A728" t="str">
        <f>IF(DSDV!B733&lt;&gt;"",DSDV!B733,"")</f>
        <v/>
      </c>
      <c r="B728" t="str">
        <f>IF(DSDV!G733&lt;&gt;"",DSDV!G733,"")</f>
        <v/>
      </c>
      <c r="C728" s="237" t="str">
        <f>IF(DSDV!K733&lt;&gt;"",DSDV!K733,"")</f>
        <v/>
      </c>
      <c r="D728" s="417" t="str">
        <f>IF(DSDV!W733&lt;&gt;"",DSDV!W733,"")</f>
        <v/>
      </c>
    </row>
    <row r="729" spans="1:4">
      <c r="A729" t="str">
        <f>IF(DSDV!B734&lt;&gt;"",DSDV!B734,"")</f>
        <v/>
      </c>
      <c r="B729" t="str">
        <f>IF(DSDV!G734&lt;&gt;"",DSDV!G734,"")</f>
        <v/>
      </c>
      <c r="C729" s="237" t="str">
        <f>IF(DSDV!K734&lt;&gt;"",DSDV!K734,"")</f>
        <v/>
      </c>
      <c r="D729" s="417" t="str">
        <f>IF(DSDV!W734&lt;&gt;"",DSDV!W734,"")</f>
        <v/>
      </c>
    </row>
    <row r="730" spans="1:4">
      <c r="A730" t="str">
        <f>IF(DSDV!B735&lt;&gt;"",DSDV!B735,"")</f>
        <v/>
      </c>
      <c r="B730" t="str">
        <f>IF(DSDV!G735&lt;&gt;"",DSDV!G735,"")</f>
        <v/>
      </c>
      <c r="C730" s="237" t="str">
        <f>IF(DSDV!K735&lt;&gt;"",DSDV!K735,"")</f>
        <v/>
      </c>
      <c r="D730" s="417" t="str">
        <f>IF(DSDV!W735&lt;&gt;"",DSDV!W735,"")</f>
        <v/>
      </c>
    </row>
    <row r="731" spans="1:4">
      <c r="A731" t="str">
        <f>IF(DSDV!B736&lt;&gt;"",DSDV!B736,"")</f>
        <v/>
      </c>
      <c r="B731" t="str">
        <f>IF(DSDV!G736&lt;&gt;"",DSDV!G736,"")</f>
        <v/>
      </c>
      <c r="C731" s="237" t="str">
        <f>IF(DSDV!K736&lt;&gt;"",DSDV!K736,"")</f>
        <v/>
      </c>
      <c r="D731" s="417" t="str">
        <f>IF(DSDV!W736&lt;&gt;"",DSDV!W736,"")</f>
        <v/>
      </c>
    </row>
    <row r="732" spans="1:4">
      <c r="A732" t="str">
        <f>IF(DSDV!B737&lt;&gt;"",DSDV!B737,"")</f>
        <v/>
      </c>
      <c r="B732" t="str">
        <f>IF(DSDV!G737&lt;&gt;"",DSDV!G737,"")</f>
        <v/>
      </c>
      <c r="C732" s="237" t="str">
        <f>IF(DSDV!K737&lt;&gt;"",DSDV!K737,"")</f>
        <v/>
      </c>
      <c r="D732" s="417" t="str">
        <f>IF(DSDV!W737&lt;&gt;"",DSDV!W737,"")</f>
        <v/>
      </c>
    </row>
    <row r="733" spans="1:4">
      <c r="A733" t="str">
        <f>IF(DSDV!B738&lt;&gt;"",DSDV!B738,"")</f>
        <v/>
      </c>
      <c r="B733" t="str">
        <f>IF(DSDV!G738&lt;&gt;"",DSDV!G738,"")</f>
        <v/>
      </c>
      <c r="C733" s="237" t="str">
        <f>IF(DSDV!K738&lt;&gt;"",DSDV!K738,"")</f>
        <v/>
      </c>
      <c r="D733" s="417" t="str">
        <f>IF(DSDV!W738&lt;&gt;"",DSDV!W738,"")</f>
        <v/>
      </c>
    </row>
    <row r="734" spans="1:4">
      <c r="A734" t="str">
        <f>IF(DSDV!B739&lt;&gt;"",DSDV!B739,"")</f>
        <v/>
      </c>
      <c r="B734" t="str">
        <f>IF(DSDV!G739&lt;&gt;"",DSDV!G739,"")</f>
        <v/>
      </c>
      <c r="C734" s="237" t="str">
        <f>IF(DSDV!K739&lt;&gt;"",DSDV!K739,"")</f>
        <v/>
      </c>
      <c r="D734" s="417" t="str">
        <f>IF(DSDV!W739&lt;&gt;"",DSDV!W739,"")</f>
        <v/>
      </c>
    </row>
    <row r="735" spans="1:4">
      <c r="A735" t="str">
        <f>IF(DSDV!B740&lt;&gt;"",DSDV!B740,"")</f>
        <v/>
      </c>
      <c r="B735" t="str">
        <f>IF(DSDV!G740&lt;&gt;"",DSDV!G740,"")</f>
        <v/>
      </c>
      <c r="C735" s="237" t="str">
        <f>IF(DSDV!K740&lt;&gt;"",DSDV!K740,"")</f>
        <v/>
      </c>
      <c r="D735" s="417" t="str">
        <f>IF(DSDV!W740&lt;&gt;"",DSDV!W740,"")</f>
        <v/>
      </c>
    </row>
    <row r="736" spans="1:4">
      <c r="A736" t="str">
        <f>IF(DSDV!B741&lt;&gt;"",DSDV!B741,"")</f>
        <v/>
      </c>
      <c r="B736" t="str">
        <f>IF(DSDV!G741&lt;&gt;"",DSDV!G741,"")</f>
        <v/>
      </c>
      <c r="C736" s="237" t="str">
        <f>IF(DSDV!K741&lt;&gt;"",DSDV!K741,"")</f>
        <v/>
      </c>
      <c r="D736" s="417" t="str">
        <f>IF(DSDV!W741&lt;&gt;"",DSDV!W741,"")</f>
        <v/>
      </c>
    </row>
    <row r="737" spans="1:4">
      <c r="A737" t="str">
        <f>IF(DSDV!B742&lt;&gt;"",DSDV!B742,"")</f>
        <v/>
      </c>
      <c r="B737" t="str">
        <f>IF(DSDV!G742&lt;&gt;"",DSDV!G742,"")</f>
        <v/>
      </c>
      <c r="C737" s="237" t="str">
        <f>IF(DSDV!K742&lt;&gt;"",DSDV!K742,"")</f>
        <v/>
      </c>
      <c r="D737" s="417" t="str">
        <f>IF(DSDV!W742&lt;&gt;"",DSDV!W742,"")</f>
        <v/>
      </c>
    </row>
    <row r="738" spans="1:4">
      <c r="A738" t="str">
        <f>IF(DSDV!B743&lt;&gt;"",DSDV!B743,"")</f>
        <v/>
      </c>
      <c r="B738" t="str">
        <f>IF(DSDV!G743&lt;&gt;"",DSDV!G743,"")</f>
        <v/>
      </c>
      <c r="C738" s="237" t="str">
        <f>IF(DSDV!K743&lt;&gt;"",DSDV!K743,"")</f>
        <v/>
      </c>
      <c r="D738" s="417" t="str">
        <f>IF(DSDV!W743&lt;&gt;"",DSDV!W743,"")</f>
        <v/>
      </c>
    </row>
    <row r="739" spans="1:4">
      <c r="A739" t="str">
        <f>IF(DSDV!B744&lt;&gt;"",DSDV!B744,"")</f>
        <v/>
      </c>
      <c r="B739" t="str">
        <f>IF(DSDV!G744&lt;&gt;"",DSDV!G744,"")</f>
        <v/>
      </c>
      <c r="C739" s="237" t="str">
        <f>IF(DSDV!K744&lt;&gt;"",DSDV!K744,"")</f>
        <v/>
      </c>
      <c r="D739" s="417" t="str">
        <f>IF(DSDV!W744&lt;&gt;"",DSDV!W744,"")</f>
        <v/>
      </c>
    </row>
    <row r="740" spans="1:4">
      <c r="A740" t="str">
        <f>IF(DSDV!B745&lt;&gt;"",DSDV!B745,"")</f>
        <v/>
      </c>
      <c r="B740" t="str">
        <f>IF(DSDV!G745&lt;&gt;"",DSDV!G745,"")</f>
        <v/>
      </c>
      <c r="C740" s="237" t="str">
        <f>IF(DSDV!K745&lt;&gt;"",DSDV!K745,"")</f>
        <v/>
      </c>
      <c r="D740" s="417" t="str">
        <f>IF(DSDV!W745&lt;&gt;"",DSDV!W745,"")</f>
        <v/>
      </c>
    </row>
    <row r="741" spans="1:4">
      <c r="A741" t="str">
        <f>IF(DSDV!B746&lt;&gt;"",DSDV!B746,"")</f>
        <v/>
      </c>
      <c r="B741" t="str">
        <f>IF(DSDV!G746&lt;&gt;"",DSDV!G746,"")</f>
        <v/>
      </c>
      <c r="C741" s="237" t="str">
        <f>IF(DSDV!K746&lt;&gt;"",DSDV!K746,"")</f>
        <v/>
      </c>
      <c r="D741" s="417" t="str">
        <f>IF(DSDV!W746&lt;&gt;"",DSDV!W746,"")</f>
        <v/>
      </c>
    </row>
    <row r="742" spans="1:4">
      <c r="A742" t="str">
        <f>IF(DSDV!B747&lt;&gt;"",DSDV!B747,"")</f>
        <v/>
      </c>
      <c r="B742" t="str">
        <f>IF(DSDV!G747&lt;&gt;"",DSDV!G747,"")</f>
        <v/>
      </c>
      <c r="C742" s="237" t="str">
        <f>IF(DSDV!K747&lt;&gt;"",DSDV!K747,"")</f>
        <v/>
      </c>
      <c r="D742" s="417" t="str">
        <f>IF(DSDV!W747&lt;&gt;"",DSDV!W747,"")</f>
        <v/>
      </c>
    </row>
    <row r="743" spans="1:4">
      <c r="A743" t="str">
        <f>IF(DSDV!B748&lt;&gt;"",DSDV!B748,"")</f>
        <v/>
      </c>
      <c r="B743" t="str">
        <f>IF(DSDV!G748&lt;&gt;"",DSDV!G748,"")</f>
        <v/>
      </c>
      <c r="C743" s="237" t="str">
        <f>IF(DSDV!K748&lt;&gt;"",DSDV!K748,"")</f>
        <v/>
      </c>
      <c r="D743" s="417" t="str">
        <f>IF(DSDV!W748&lt;&gt;"",DSDV!W748,"")</f>
        <v/>
      </c>
    </row>
    <row r="744" spans="1:4">
      <c r="A744" t="str">
        <f>IF(DSDV!B749&lt;&gt;"",DSDV!B749,"")</f>
        <v/>
      </c>
      <c r="B744" t="str">
        <f>IF(DSDV!G749&lt;&gt;"",DSDV!G749,"")</f>
        <v/>
      </c>
      <c r="C744" s="237" t="str">
        <f>IF(DSDV!K749&lt;&gt;"",DSDV!K749,"")</f>
        <v/>
      </c>
      <c r="D744" s="417" t="str">
        <f>IF(DSDV!W749&lt;&gt;"",DSDV!W749,"")</f>
        <v/>
      </c>
    </row>
    <row r="745" spans="1:4">
      <c r="A745" t="str">
        <f>IF(DSDV!B750&lt;&gt;"",DSDV!B750,"")</f>
        <v/>
      </c>
      <c r="B745" t="str">
        <f>IF(DSDV!G750&lt;&gt;"",DSDV!G750,"")</f>
        <v/>
      </c>
      <c r="C745" s="237" t="str">
        <f>IF(DSDV!K750&lt;&gt;"",DSDV!K750,"")</f>
        <v/>
      </c>
      <c r="D745" s="417" t="str">
        <f>IF(DSDV!W750&lt;&gt;"",DSDV!W750,"")</f>
        <v/>
      </c>
    </row>
    <row r="746" spans="1:4">
      <c r="A746" t="str">
        <f>IF(DSDV!B751&lt;&gt;"",DSDV!B751,"")</f>
        <v/>
      </c>
      <c r="B746" t="str">
        <f>IF(DSDV!G751&lt;&gt;"",DSDV!G751,"")</f>
        <v/>
      </c>
      <c r="C746" s="237" t="str">
        <f>IF(DSDV!K751&lt;&gt;"",DSDV!K751,"")</f>
        <v/>
      </c>
      <c r="D746" s="417" t="str">
        <f>IF(DSDV!W751&lt;&gt;"",DSDV!W751,"")</f>
        <v/>
      </c>
    </row>
    <row r="747" spans="1:4">
      <c r="A747" t="str">
        <f>IF(DSDV!B752&lt;&gt;"",DSDV!B752,"")</f>
        <v/>
      </c>
      <c r="B747" t="str">
        <f>IF(DSDV!G752&lt;&gt;"",DSDV!G752,"")</f>
        <v/>
      </c>
      <c r="C747" s="237" t="str">
        <f>IF(DSDV!K752&lt;&gt;"",DSDV!K752,"")</f>
        <v/>
      </c>
      <c r="D747" s="417" t="str">
        <f>IF(DSDV!W752&lt;&gt;"",DSDV!W752,"")</f>
        <v/>
      </c>
    </row>
    <row r="748" spans="1:4">
      <c r="A748" t="str">
        <f>IF(DSDV!B753&lt;&gt;"",DSDV!B753,"")</f>
        <v/>
      </c>
      <c r="B748" t="str">
        <f>IF(DSDV!G753&lt;&gt;"",DSDV!G753,"")</f>
        <v/>
      </c>
      <c r="C748" s="237" t="str">
        <f>IF(DSDV!K753&lt;&gt;"",DSDV!K753,"")</f>
        <v/>
      </c>
      <c r="D748" s="417" t="str">
        <f>IF(DSDV!W753&lt;&gt;"",DSDV!W753,"")</f>
        <v/>
      </c>
    </row>
    <row r="749" spans="1:4">
      <c r="A749" t="str">
        <f>IF(DSDV!B754&lt;&gt;"",DSDV!B754,"")</f>
        <v/>
      </c>
      <c r="B749" t="str">
        <f>IF(DSDV!G754&lt;&gt;"",DSDV!G754,"")</f>
        <v/>
      </c>
      <c r="C749" s="237" t="str">
        <f>IF(DSDV!K754&lt;&gt;"",DSDV!K754,"")</f>
        <v/>
      </c>
      <c r="D749" s="417" t="str">
        <f>IF(DSDV!W754&lt;&gt;"",DSDV!W754,"")</f>
        <v/>
      </c>
    </row>
    <row r="750" spans="1:4">
      <c r="A750" t="str">
        <f>IF(DSDV!B755&lt;&gt;"",DSDV!B755,"")</f>
        <v/>
      </c>
      <c r="B750" t="str">
        <f>IF(DSDV!G755&lt;&gt;"",DSDV!G755,"")</f>
        <v/>
      </c>
      <c r="C750" s="237" t="str">
        <f>IF(DSDV!K755&lt;&gt;"",DSDV!K755,"")</f>
        <v/>
      </c>
      <c r="D750" s="417" t="str">
        <f>IF(DSDV!W755&lt;&gt;"",DSDV!W755,"")</f>
        <v/>
      </c>
    </row>
    <row r="751" spans="1:4">
      <c r="A751" t="str">
        <f>IF(DSDV!B756&lt;&gt;"",DSDV!B756,"")</f>
        <v/>
      </c>
      <c r="B751" t="str">
        <f>IF(DSDV!G756&lt;&gt;"",DSDV!G756,"")</f>
        <v/>
      </c>
      <c r="C751" s="237" t="str">
        <f>IF(DSDV!K756&lt;&gt;"",DSDV!K756,"")</f>
        <v/>
      </c>
      <c r="D751" s="417" t="str">
        <f>IF(DSDV!W756&lt;&gt;"",DSDV!W756,"")</f>
        <v/>
      </c>
    </row>
    <row r="752" spans="1:4">
      <c r="A752" t="str">
        <f>IF(DSDV!B757&lt;&gt;"",DSDV!B757,"")</f>
        <v/>
      </c>
      <c r="B752" t="str">
        <f>IF(DSDV!G757&lt;&gt;"",DSDV!G757,"")</f>
        <v/>
      </c>
      <c r="C752" s="237" t="str">
        <f>IF(DSDV!K757&lt;&gt;"",DSDV!K757,"")</f>
        <v/>
      </c>
      <c r="D752" s="417" t="str">
        <f>IF(DSDV!W757&lt;&gt;"",DSDV!W757,"")</f>
        <v/>
      </c>
    </row>
    <row r="753" spans="1:4">
      <c r="A753" t="str">
        <f>IF(DSDV!B758&lt;&gt;"",DSDV!B758,"")</f>
        <v/>
      </c>
      <c r="B753" t="str">
        <f>IF(DSDV!G758&lt;&gt;"",DSDV!G758,"")</f>
        <v/>
      </c>
      <c r="C753" s="237" t="str">
        <f>IF(DSDV!K758&lt;&gt;"",DSDV!K758,"")</f>
        <v/>
      </c>
      <c r="D753" s="417" t="str">
        <f>IF(DSDV!W758&lt;&gt;"",DSDV!W758,"")</f>
        <v/>
      </c>
    </row>
    <row r="754" spans="1:4">
      <c r="A754" t="str">
        <f>IF(DSDV!B759&lt;&gt;"",DSDV!B759,"")</f>
        <v/>
      </c>
      <c r="B754" t="str">
        <f>IF(DSDV!G759&lt;&gt;"",DSDV!G759,"")</f>
        <v/>
      </c>
      <c r="C754" s="237" t="str">
        <f>IF(DSDV!K759&lt;&gt;"",DSDV!K759,"")</f>
        <v/>
      </c>
      <c r="D754" s="417" t="str">
        <f>IF(DSDV!W759&lt;&gt;"",DSDV!W759,"")</f>
        <v/>
      </c>
    </row>
    <row r="755" spans="1:4">
      <c r="A755" t="str">
        <f>IF(DSDV!B760&lt;&gt;"",DSDV!B760,"")</f>
        <v/>
      </c>
      <c r="B755" t="str">
        <f>IF(DSDV!G760&lt;&gt;"",DSDV!G760,"")</f>
        <v/>
      </c>
      <c r="C755" s="237" t="str">
        <f>IF(DSDV!K760&lt;&gt;"",DSDV!K760,"")</f>
        <v/>
      </c>
      <c r="D755" s="417" t="str">
        <f>IF(DSDV!W760&lt;&gt;"",DSDV!W760,"")</f>
        <v/>
      </c>
    </row>
    <row r="756" spans="1:4">
      <c r="A756" t="str">
        <f>IF(DSDV!B761&lt;&gt;"",DSDV!B761,"")</f>
        <v/>
      </c>
      <c r="B756" t="str">
        <f>IF(DSDV!G761&lt;&gt;"",DSDV!G761,"")</f>
        <v/>
      </c>
      <c r="C756" s="237" t="str">
        <f>IF(DSDV!K761&lt;&gt;"",DSDV!K761,"")</f>
        <v/>
      </c>
      <c r="D756" s="417" t="str">
        <f>IF(DSDV!W761&lt;&gt;"",DSDV!W761,"")</f>
        <v/>
      </c>
    </row>
    <row r="757" spans="1:4">
      <c r="A757" t="str">
        <f>IF(DSDV!B762&lt;&gt;"",DSDV!B762,"")</f>
        <v/>
      </c>
      <c r="B757" t="str">
        <f>IF(DSDV!G762&lt;&gt;"",DSDV!G762,"")</f>
        <v/>
      </c>
      <c r="C757" s="237" t="str">
        <f>IF(DSDV!K762&lt;&gt;"",DSDV!K762,"")</f>
        <v/>
      </c>
      <c r="D757" s="417" t="str">
        <f>IF(DSDV!W762&lt;&gt;"",DSDV!W762,"")</f>
        <v/>
      </c>
    </row>
    <row r="758" spans="1:4">
      <c r="A758" t="str">
        <f>IF(DSDV!B763&lt;&gt;"",DSDV!B763,"")</f>
        <v/>
      </c>
      <c r="B758" t="str">
        <f>IF(DSDV!G763&lt;&gt;"",DSDV!G763,"")</f>
        <v/>
      </c>
      <c r="C758" s="237" t="str">
        <f>IF(DSDV!K763&lt;&gt;"",DSDV!K763,"")</f>
        <v/>
      </c>
      <c r="D758" s="417" t="str">
        <f>IF(DSDV!W763&lt;&gt;"",DSDV!W763,"")</f>
        <v/>
      </c>
    </row>
    <row r="759" spans="1:4">
      <c r="A759" t="str">
        <f>IF(DSDV!B764&lt;&gt;"",DSDV!B764,"")</f>
        <v/>
      </c>
      <c r="B759" t="str">
        <f>IF(DSDV!G764&lt;&gt;"",DSDV!G764,"")</f>
        <v/>
      </c>
      <c r="C759" s="237" t="str">
        <f>IF(DSDV!K764&lt;&gt;"",DSDV!K764,"")</f>
        <v/>
      </c>
      <c r="D759" s="417" t="str">
        <f>IF(DSDV!W764&lt;&gt;"",DSDV!W764,"")</f>
        <v/>
      </c>
    </row>
    <row r="760" spans="1:4">
      <c r="A760" t="str">
        <f>IF(DSDV!B765&lt;&gt;"",DSDV!B765,"")</f>
        <v/>
      </c>
      <c r="B760" t="str">
        <f>IF(DSDV!G765&lt;&gt;"",DSDV!G765,"")</f>
        <v/>
      </c>
      <c r="C760" s="237" t="str">
        <f>IF(DSDV!K765&lt;&gt;"",DSDV!K765,"")</f>
        <v/>
      </c>
      <c r="D760" s="417" t="str">
        <f>IF(DSDV!W765&lt;&gt;"",DSDV!W765,"")</f>
        <v/>
      </c>
    </row>
    <row r="761" spans="1:4">
      <c r="A761" t="str">
        <f>IF(DSDV!B766&lt;&gt;"",DSDV!B766,"")</f>
        <v/>
      </c>
      <c r="B761" t="str">
        <f>IF(DSDV!G766&lt;&gt;"",DSDV!G766,"")</f>
        <v/>
      </c>
      <c r="C761" s="237" t="str">
        <f>IF(DSDV!K766&lt;&gt;"",DSDV!K766,"")</f>
        <v/>
      </c>
      <c r="D761" s="417" t="str">
        <f>IF(DSDV!W766&lt;&gt;"",DSDV!W766,"")</f>
        <v/>
      </c>
    </row>
    <row r="762" spans="1:4">
      <c r="A762" t="str">
        <f>IF(DSDV!B767&lt;&gt;"",DSDV!B767,"")</f>
        <v/>
      </c>
      <c r="B762" t="str">
        <f>IF(DSDV!G767&lt;&gt;"",DSDV!G767,"")</f>
        <v/>
      </c>
      <c r="C762" s="237" t="str">
        <f>IF(DSDV!K767&lt;&gt;"",DSDV!K767,"")</f>
        <v/>
      </c>
      <c r="D762" s="417" t="str">
        <f>IF(DSDV!W767&lt;&gt;"",DSDV!W767,"")</f>
        <v/>
      </c>
    </row>
    <row r="763" spans="1:4">
      <c r="A763" t="str">
        <f>IF(DSDV!B768&lt;&gt;"",DSDV!B768,"")</f>
        <v/>
      </c>
      <c r="B763" t="str">
        <f>IF(DSDV!G768&lt;&gt;"",DSDV!G768,"")</f>
        <v/>
      </c>
      <c r="C763" s="237" t="str">
        <f>IF(DSDV!K768&lt;&gt;"",DSDV!K768,"")</f>
        <v/>
      </c>
      <c r="D763" s="417" t="str">
        <f>IF(DSDV!W768&lt;&gt;"",DSDV!W768,"")</f>
        <v/>
      </c>
    </row>
    <row r="764" spans="1:4">
      <c r="A764" t="str">
        <f>IF(DSDV!B769&lt;&gt;"",DSDV!B769,"")</f>
        <v/>
      </c>
      <c r="B764" t="str">
        <f>IF(DSDV!G769&lt;&gt;"",DSDV!G769,"")</f>
        <v/>
      </c>
      <c r="C764" s="237" t="str">
        <f>IF(DSDV!K769&lt;&gt;"",DSDV!K769,"")</f>
        <v/>
      </c>
      <c r="D764" s="417" t="str">
        <f>IF(DSDV!W769&lt;&gt;"",DSDV!W769,"")</f>
        <v/>
      </c>
    </row>
    <row r="765" spans="1:4">
      <c r="A765" t="str">
        <f>IF(DSDV!B770&lt;&gt;"",DSDV!B770,"")</f>
        <v/>
      </c>
      <c r="B765" t="str">
        <f>IF(DSDV!G770&lt;&gt;"",DSDV!G770,"")</f>
        <v/>
      </c>
      <c r="C765" s="237" t="str">
        <f>IF(DSDV!K770&lt;&gt;"",DSDV!K770,"")</f>
        <v/>
      </c>
      <c r="D765" s="417" t="str">
        <f>IF(DSDV!W770&lt;&gt;"",DSDV!W770,"")</f>
        <v/>
      </c>
    </row>
    <row r="766" spans="1:4">
      <c r="A766" t="str">
        <f>IF(DSDV!B771&lt;&gt;"",DSDV!B771,"")</f>
        <v/>
      </c>
      <c r="B766" t="str">
        <f>IF(DSDV!G771&lt;&gt;"",DSDV!G771,"")</f>
        <v/>
      </c>
      <c r="C766" s="237" t="str">
        <f>IF(DSDV!K771&lt;&gt;"",DSDV!K771,"")</f>
        <v/>
      </c>
      <c r="D766" s="417" t="str">
        <f>IF(DSDV!W771&lt;&gt;"",DSDV!W771,"")</f>
        <v/>
      </c>
    </row>
    <row r="767" spans="1:4">
      <c r="A767" t="str">
        <f>IF(DSDV!B772&lt;&gt;"",DSDV!B772,"")</f>
        <v/>
      </c>
      <c r="B767" t="str">
        <f>IF(DSDV!G772&lt;&gt;"",DSDV!G772,"")</f>
        <v/>
      </c>
      <c r="C767" s="237" t="str">
        <f>IF(DSDV!K772&lt;&gt;"",DSDV!K772,"")</f>
        <v/>
      </c>
      <c r="D767" s="417" t="str">
        <f>IF(DSDV!W772&lt;&gt;"",DSDV!W772,"")</f>
        <v/>
      </c>
    </row>
    <row r="768" spans="1:4">
      <c r="A768" t="str">
        <f>IF(DSDV!B773&lt;&gt;"",DSDV!B773,"")</f>
        <v/>
      </c>
      <c r="B768" t="str">
        <f>IF(DSDV!G773&lt;&gt;"",DSDV!G773,"")</f>
        <v/>
      </c>
      <c r="C768" s="237" t="str">
        <f>IF(DSDV!K773&lt;&gt;"",DSDV!K773,"")</f>
        <v/>
      </c>
      <c r="D768" s="417" t="str">
        <f>IF(DSDV!W773&lt;&gt;"",DSDV!W773,"")</f>
        <v/>
      </c>
    </row>
    <row r="769" spans="1:4">
      <c r="A769" t="str">
        <f>IF(DSDV!B774&lt;&gt;"",DSDV!B774,"")</f>
        <v/>
      </c>
      <c r="B769" t="str">
        <f>IF(DSDV!G774&lt;&gt;"",DSDV!G774,"")</f>
        <v/>
      </c>
      <c r="C769" s="237" t="str">
        <f>IF(DSDV!K774&lt;&gt;"",DSDV!K774,"")</f>
        <v/>
      </c>
      <c r="D769" s="417" t="str">
        <f>IF(DSDV!W774&lt;&gt;"",DSDV!W774,"")</f>
        <v/>
      </c>
    </row>
    <row r="770" spans="1:4">
      <c r="A770" t="str">
        <f>IF(DSDV!B775&lt;&gt;"",DSDV!B775,"")</f>
        <v/>
      </c>
      <c r="B770" t="str">
        <f>IF(DSDV!G775&lt;&gt;"",DSDV!G775,"")</f>
        <v/>
      </c>
      <c r="C770" s="237" t="str">
        <f>IF(DSDV!K775&lt;&gt;"",DSDV!K775,"")</f>
        <v/>
      </c>
      <c r="D770" s="417" t="str">
        <f>IF(DSDV!W775&lt;&gt;"",DSDV!W775,"")</f>
        <v/>
      </c>
    </row>
    <row r="771" spans="1:4">
      <c r="A771" t="str">
        <f>IF(DSDV!B776&lt;&gt;"",DSDV!B776,"")</f>
        <v/>
      </c>
      <c r="B771" t="str">
        <f>IF(DSDV!G776&lt;&gt;"",DSDV!G776,"")</f>
        <v/>
      </c>
      <c r="C771" s="237" t="str">
        <f>IF(DSDV!K776&lt;&gt;"",DSDV!K776,"")</f>
        <v/>
      </c>
      <c r="D771" s="417" t="str">
        <f>IF(DSDV!W776&lt;&gt;"",DSDV!W776,"")</f>
        <v/>
      </c>
    </row>
    <row r="772" spans="1:4">
      <c r="A772" t="str">
        <f>IF(DSDV!B777&lt;&gt;"",DSDV!B777,"")</f>
        <v/>
      </c>
      <c r="B772" t="str">
        <f>IF(DSDV!G777&lt;&gt;"",DSDV!G777,"")</f>
        <v/>
      </c>
      <c r="C772" s="237" t="str">
        <f>IF(DSDV!K777&lt;&gt;"",DSDV!K777,"")</f>
        <v/>
      </c>
      <c r="D772" s="417" t="str">
        <f>IF(DSDV!W777&lt;&gt;"",DSDV!W777,"")</f>
        <v/>
      </c>
    </row>
    <row r="773" spans="1:4">
      <c r="A773" t="str">
        <f>IF(DSDV!B778&lt;&gt;"",DSDV!B778,"")</f>
        <v/>
      </c>
      <c r="B773" t="str">
        <f>IF(DSDV!G778&lt;&gt;"",DSDV!G778,"")</f>
        <v/>
      </c>
      <c r="C773" s="237" t="str">
        <f>IF(DSDV!K778&lt;&gt;"",DSDV!K778,"")</f>
        <v/>
      </c>
      <c r="D773" s="417" t="str">
        <f>IF(DSDV!W778&lt;&gt;"",DSDV!W778,"")</f>
        <v/>
      </c>
    </row>
    <row r="774" spans="1:4">
      <c r="A774" t="str">
        <f>IF(DSDV!B779&lt;&gt;"",DSDV!B779,"")</f>
        <v/>
      </c>
      <c r="B774" t="str">
        <f>IF(DSDV!G779&lt;&gt;"",DSDV!G779,"")</f>
        <v/>
      </c>
      <c r="C774" s="237" t="str">
        <f>IF(DSDV!K779&lt;&gt;"",DSDV!K779,"")</f>
        <v/>
      </c>
      <c r="D774" s="417" t="str">
        <f>IF(DSDV!W779&lt;&gt;"",DSDV!W779,"")</f>
        <v/>
      </c>
    </row>
    <row r="775" spans="1:4">
      <c r="A775" t="str">
        <f>IF(DSDV!B780&lt;&gt;"",DSDV!B780,"")</f>
        <v/>
      </c>
      <c r="B775" t="str">
        <f>IF(DSDV!G780&lt;&gt;"",DSDV!G780,"")</f>
        <v/>
      </c>
      <c r="C775" s="237" t="str">
        <f>IF(DSDV!K780&lt;&gt;"",DSDV!K780,"")</f>
        <v/>
      </c>
      <c r="D775" s="417" t="str">
        <f>IF(DSDV!W780&lt;&gt;"",DSDV!W780,"")</f>
        <v/>
      </c>
    </row>
    <row r="776" spans="1:4">
      <c r="A776" t="str">
        <f>IF(DSDV!B781&lt;&gt;"",DSDV!B781,"")</f>
        <v/>
      </c>
      <c r="B776" t="str">
        <f>IF(DSDV!G781&lt;&gt;"",DSDV!G781,"")</f>
        <v/>
      </c>
      <c r="C776" s="237" t="str">
        <f>IF(DSDV!K781&lt;&gt;"",DSDV!K781,"")</f>
        <v/>
      </c>
      <c r="D776" s="417" t="str">
        <f>IF(DSDV!W781&lt;&gt;"",DSDV!W781,"")</f>
        <v/>
      </c>
    </row>
    <row r="777" spans="1:4">
      <c r="A777" t="str">
        <f>IF(DSDV!B782&lt;&gt;"",DSDV!B782,"")</f>
        <v/>
      </c>
      <c r="B777" t="str">
        <f>IF(DSDV!G782&lt;&gt;"",DSDV!G782,"")</f>
        <v/>
      </c>
      <c r="C777" s="237" t="str">
        <f>IF(DSDV!K782&lt;&gt;"",DSDV!K782,"")</f>
        <v/>
      </c>
      <c r="D777" s="417" t="str">
        <f>IF(DSDV!W782&lt;&gt;"",DSDV!W782,"")</f>
        <v/>
      </c>
    </row>
    <row r="778" spans="1:4">
      <c r="A778" t="str">
        <f>IF(DSDV!B783&lt;&gt;"",DSDV!B783,"")</f>
        <v/>
      </c>
      <c r="B778" t="str">
        <f>IF(DSDV!G783&lt;&gt;"",DSDV!G783,"")</f>
        <v/>
      </c>
      <c r="C778" s="237" t="str">
        <f>IF(DSDV!K783&lt;&gt;"",DSDV!K783,"")</f>
        <v/>
      </c>
      <c r="D778" s="417" t="str">
        <f>IF(DSDV!W783&lt;&gt;"",DSDV!W783,"")</f>
        <v/>
      </c>
    </row>
    <row r="779" spans="1:4">
      <c r="A779" t="str">
        <f>IF(DSDV!B784&lt;&gt;"",DSDV!B784,"")</f>
        <v/>
      </c>
      <c r="B779" t="str">
        <f>IF(DSDV!G784&lt;&gt;"",DSDV!G784,"")</f>
        <v/>
      </c>
      <c r="C779" s="237" t="str">
        <f>IF(DSDV!K784&lt;&gt;"",DSDV!K784,"")</f>
        <v/>
      </c>
      <c r="D779" s="417" t="str">
        <f>IF(DSDV!W784&lt;&gt;"",DSDV!W784,"")</f>
        <v/>
      </c>
    </row>
    <row r="780" spans="1:4">
      <c r="A780" t="str">
        <f>IF(DSDV!B785&lt;&gt;"",DSDV!B785,"")</f>
        <v/>
      </c>
      <c r="B780" t="str">
        <f>IF(DSDV!G785&lt;&gt;"",DSDV!G785,"")</f>
        <v/>
      </c>
      <c r="C780" s="237" t="str">
        <f>IF(DSDV!K785&lt;&gt;"",DSDV!K785,"")</f>
        <v/>
      </c>
      <c r="D780" s="417" t="str">
        <f>IF(DSDV!W785&lt;&gt;"",DSDV!W785,"")</f>
        <v/>
      </c>
    </row>
    <row r="781" spans="1:4">
      <c r="A781" t="str">
        <f>IF(DSDV!B786&lt;&gt;"",DSDV!B786,"")</f>
        <v/>
      </c>
      <c r="B781" t="str">
        <f>IF(DSDV!G786&lt;&gt;"",DSDV!G786,"")</f>
        <v/>
      </c>
      <c r="C781" s="237" t="str">
        <f>IF(DSDV!K786&lt;&gt;"",DSDV!K786,"")</f>
        <v/>
      </c>
      <c r="D781" s="417" t="str">
        <f>IF(DSDV!W786&lt;&gt;"",DSDV!W786,"")</f>
        <v/>
      </c>
    </row>
    <row r="782" spans="1:4">
      <c r="A782" t="str">
        <f>IF(DSDV!B787&lt;&gt;"",DSDV!B787,"")</f>
        <v/>
      </c>
      <c r="B782" t="str">
        <f>IF(DSDV!G787&lt;&gt;"",DSDV!G787,"")</f>
        <v/>
      </c>
      <c r="C782" s="237" t="str">
        <f>IF(DSDV!K787&lt;&gt;"",DSDV!K787,"")</f>
        <v/>
      </c>
      <c r="D782" s="417" t="str">
        <f>IF(DSDV!W787&lt;&gt;"",DSDV!W787,"")</f>
        <v/>
      </c>
    </row>
    <row r="783" spans="1:4">
      <c r="A783" t="str">
        <f>IF(DSDV!B788&lt;&gt;"",DSDV!B788,"")</f>
        <v/>
      </c>
      <c r="B783" t="str">
        <f>IF(DSDV!G788&lt;&gt;"",DSDV!G788,"")</f>
        <v/>
      </c>
      <c r="C783" s="237" t="str">
        <f>IF(DSDV!K788&lt;&gt;"",DSDV!K788,"")</f>
        <v/>
      </c>
      <c r="D783" s="417" t="str">
        <f>IF(DSDV!W788&lt;&gt;"",DSDV!W788,"")</f>
        <v/>
      </c>
    </row>
    <row r="784" spans="1:4">
      <c r="A784" t="str">
        <f>IF(DSDV!B789&lt;&gt;"",DSDV!B789,"")</f>
        <v/>
      </c>
      <c r="B784" t="str">
        <f>IF(DSDV!G789&lt;&gt;"",DSDV!G789,"")</f>
        <v/>
      </c>
      <c r="C784" s="237" t="str">
        <f>IF(DSDV!K789&lt;&gt;"",DSDV!K789,"")</f>
        <v/>
      </c>
      <c r="D784" s="417" t="str">
        <f>IF(DSDV!W789&lt;&gt;"",DSDV!W789,"")</f>
        <v/>
      </c>
    </row>
    <row r="785" spans="1:4">
      <c r="A785" t="str">
        <f>IF(DSDV!B790&lt;&gt;"",DSDV!B790,"")</f>
        <v/>
      </c>
      <c r="B785" t="str">
        <f>IF(DSDV!G790&lt;&gt;"",DSDV!G790,"")</f>
        <v/>
      </c>
      <c r="C785" s="237" t="str">
        <f>IF(DSDV!K790&lt;&gt;"",DSDV!K790,"")</f>
        <v/>
      </c>
      <c r="D785" s="417" t="str">
        <f>IF(DSDV!W790&lt;&gt;"",DSDV!W790,"")</f>
        <v/>
      </c>
    </row>
    <row r="786" spans="1:4">
      <c r="A786" t="str">
        <f>IF(DSDV!B791&lt;&gt;"",DSDV!B791,"")</f>
        <v/>
      </c>
      <c r="B786" t="str">
        <f>IF(DSDV!G791&lt;&gt;"",DSDV!G791,"")</f>
        <v/>
      </c>
      <c r="C786" s="237" t="str">
        <f>IF(DSDV!K791&lt;&gt;"",DSDV!K791,"")</f>
        <v/>
      </c>
      <c r="D786" s="417" t="str">
        <f>IF(DSDV!W791&lt;&gt;"",DSDV!W791,"")</f>
        <v/>
      </c>
    </row>
    <row r="787" spans="1:4">
      <c r="A787" t="str">
        <f>IF(DSDV!B792&lt;&gt;"",DSDV!B792,"")</f>
        <v/>
      </c>
      <c r="B787" t="str">
        <f>IF(DSDV!G792&lt;&gt;"",DSDV!G792,"")</f>
        <v/>
      </c>
      <c r="C787" s="237" t="str">
        <f>IF(DSDV!K792&lt;&gt;"",DSDV!K792,"")</f>
        <v/>
      </c>
      <c r="D787" s="417" t="str">
        <f>IF(DSDV!W792&lt;&gt;"",DSDV!W792,"")</f>
        <v/>
      </c>
    </row>
    <row r="788" spans="1:4">
      <c r="A788" t="str">
        <f>IF(DSDV!B793&lt;&gt;"",DSDV!B793,"")</f>
        <v/>
      </c>
      <c r="B788" t="str">
        <f>IF(DSDV!G793&lt;&gt;"",DSDV!G793,"")</f>
        <v/>
      </c>
      <c r="C788" s="237" t="str">
        <f>IF(DSDV!K793&lt;&gt;"",DSDV!K793,"")</f>
        <v/>
      </c>
      <c r="D788" s="417" t="str">
        <f>IF(DSDV!W793&lt;&gt;"",DSDV!W793,"")</f>
        <v/>
      </c>
    </row>
    <row r="789" spans="1:4">
      <c r="A789" t="str">
        <f>IF(DSDV!B794&lt;&gt;"",DSDV!B794,"")</f>
        <v/>
      </c>
      <c r="B789" t="str">
        <f>IF(DSDV!G794&lt;&gt;"",DSDV!G794,"")</f>
        <v/>
      </c>
      <c r="C789" s="237" t="str">
        <f>IF(DSDV!K794&lt;&gt;"",DSDV!K794,"")</f>
        <v/>
      </c>
      <c r="D789" s="417" t="str">
        <f>IF(DSDV!W794&lt;&gt;"",DSDV!W794,"")</f>
        <v/>
      </c>
    </row>
    <row r="790" spans="1:4">
      <c r="A790" t="str">
        <f>IF(DSDV!B795&lt;&gt;"",DSDV!B795,"")</f>
        <v/>
      </c>
      <c r="B790" t="str">
        <f>IF(DSDV!G795&lt;&gt;"",DSDV!G795,"")</f>
        <v/>
      </c>
      <c r="C790" s="237" t="str">
        <f>IF(DSDV!K795&lt;&gt;"",DSDV!K795,"")</f>
        <v/>
      </c>
      <c r="D790" s="417" t="str">
        <f>IF(DSDV!W795&lt;&gt;"",DSDV!W795,"")</f>
        <v/>
      </c>
    </row>
    <row r="791" spans="1:4">
      <c r="A791" t="str">
        <f>IF(DSDV!B796&lt;&gt;"",DSDV!B796,"")</f>
        <v/>
      </c>
      <c r="B791" t="str">
        <f>IF(DSDV!G796&lt;&gt;"",DSDV!G796,"")</f>
        <v/>
      </c>
      <c r="C791" s="237" t="str">
        <f>IF(DSDV!K796&lt;&gt;"",DSDV!K796,"")</f>
        <v/>
      </c>
      <c r="D791" s="417" t="str">
        <f>IF(DSDV!W796&lt;&gt;"",DSDV!W796,"")</f>
        <v/>
      </c>
    </row>
    <row r="792" spans="1:4">
      <c r="A792" t="str">
        <f>IF(DSDV!B797&lt;&gt;"",DSDV!B797,"")</f>
        <v/>
      </c>
      <c r="B792" t="str">
        <f>IF(DSDV!G797&lt;&gt;"",DSDV!G797,"")</f>
        <v/>
      </c>
      <c r="C792" s="237" t="str">
        <f>IF(DSDV!K797&lt;&gt;"",DSDV!K797,"")</f>
        <v/>
      </c>
      <c r="D792" s="417" t="str">
        <f>IF(DSDV!W797&lt;&gt;"",DSDV!W797,"")</f>
        <v/>
      </c>
    </row>
    <row r="793" spans="1:4">
      <c r="A793" t="str">
        <f>IF(DSDV!B798&lt;&gt;"",DSDV!B798,"")</f>
        <v/>
      </c>
      <c r="B793" t="str">
        <f>IF(DSDV!G798&lt;&gt;"",DSDV!G798,"")</f>
        <v/>
      </c>
      <c r="C793" s="237" t="str">
        <f>IF(DSDV!K798&lt;&gt;"",DSDV!K798,"")</f>
        <v/>
      </c>
      <c r="D793" s="417" t="str">
        <f>IF(DSDV!W798&lt;&gt;"",DSDV!W798,"")</f>
        <v/>
      </c>
    </row>
    <row r="794" spans="1:4">
      <c r="A794" t="str">
        <f>IF(DSDV!B799&lt;&gt;"",DSDV!B799,"")</f>
        <v/>
      </c>
      <c r="B794" t="str">
        <f>IF(DSDV!G799&lt;&gt;"",DSDV!G799,"")</f>
        <v/>
      </c>
      <c r="C794" s="237" t="str">
        <f>IF(DSDV!K799&lt;&gt;"",DSDV!K799,"")</f>
        <v/>
      </c>
      <c r="D794" s="417" t="str">
        <f>IF(DSDV!W799&lt;&gt;"",DSDV!W799,"")</f>
        <v/>
      </c>
    </row>
    <row r="795" spans="1:4">
      <c r="A795" t="str">
        <f>IF(DSDV!B800&lt;&gt;"",DSDV!B800,"")</f>
        <v/>
      </c>
      <c r="B795" t="str">
        <f>IF(DSDV!G800&lt;&gt;"",DSDV!G800,"")</f>
        <v/>
      </c>
      <c r="C795" s="237" t="str">
        <f>IF(DSDV!K800&lt;&gt;"",DSDV!K800,"")</f>
        <v/>
      </c>
      <c r="D795" s="417" t="str">
        <f>IF(DSDV!W800&lt;&gt;"",DSDV!W800,"")</f>
        <v/>
      </c>
    </row>
    <row r="796" spans="1:4">
      <c r="A796" t="str">
        <f>IF(DSDV!B801&lt;&gt;"",DSDV!B801,"")</f>
        <v/>
      </c>
      <c r="B796" t="str">
        <f>IF(DSDV!G801&lt;&gt;"",DSDV!G801,"")</f>
        <v/>
      </c>
      <c r="C796" s="237" t="str">
        <f>IF(DSDV!K801&lt;&gt;"",DSDV!K801,"")</f>
        <v/>
      </c>
      <c r="D796" s="417" t="str">
        <f>IF(DSDV!W801&lt;&gt;"",DSDV!W801,"")</f>
        <v/>
      </c>
    </row>
    <row r="797" spans="1:4">
      <c r="A797" t="str">
        <f>IF(DSDV!B802&lt;&gt;"",DSDV!B802,"")</f>
        <v/>
      </c>
      <c r="B797" t="str">
        <f>IF(DSDV!G802&lt;&gt;"",DSDV!G802,"")</f>
        <v/>
      </c>
      <c r="C797" s="237" t="str">
        <f>IF(DSDV!K802&lt;&gt;"",DSDV!K802,"")</f>
        <v/>
      </c>
      <c r="D797" s="417" t="str">
        <f>IF(DSDV!W802&lt;&gt;"",DSDV!W802,"")</f>
        <v/>
      </c>
    </row>
    <row r="798" spans="1:4">
      <c r="A798" t="str">
        <f>IF(DSDV!B803&lt;&gt;"",DSDV!B803,"")</f>
        <v/>
      </c>
      <c r="B798" t="str">
        <f>IF(DSDV!G803&lt;&gt;"",DSDV!G803,"")</f>
        <v/>
      </c>
      <c r="C798" s="237" t="str">
        <f>IF(DSDV!K803&lt;&gt;"",DSDV!K803,"")</f>
        <v/>
      </c>
      <c r="D798" s="417" t="str">
        <f>IF(DSDV!W803&lt;&gt;"",DSDV!W803,"")</f>
        <v/>
      </c>
    </row>
    <row r="799" spans="1:4">
      <c r="A799" t="str">
        <f>IF(DSDV!B804&lt;&gt;"",DSDV!B804,"")</f>
        <v/>
      </c>
      <c r="B799" t="str">
        <f>IF(DSDV!G804&lt;&gt;"",DSDV!G804,"")</f>
        <v/>
      </c>
      <c r="C799" s="237" t="str">
        <f>IF(DSDV!K804&lt;&gt;"",DSDV!K804,"")</f>
        <v/>
      </c>
      <c r="D799" s="417" t="str">
        <f>IF(DSDV!W804&lt;&gt;"",DSDV!W804,"")</f>
        <v/>
      </c>
    </row>
    <row r="800" spans="1:4">
      <c r="A800" t="str">
        <f>IF(DSDV!B805&lt;&gt;"",DSDV!B805,"")</f>
        <v/>
      </c>
      <c r="B800" t="str">
        <f>IF(DSDV!G805&lt;&gt;"",DSDV!G805,"")</f>
        <v/>
      </c>
      <c r="C800" s="237" t="str">
        <f>IF(DSDV!K805&lt;&gt;"",DSDV!K805,"")</f>
        <v/>
      </c>
      <c r="D800" s="417" t="str">
        <f>IF(DSDV!W805&lt;&gt;"",DSDV!W805,"")</f>
        <v/>
      </c>
    </row>
    <row r="801" spans="1:4">
      <c r="A801" t="str">
        <f>IF(DSDV!B806&lt;&gt;"",DSDV!B806,"")</f>
        <v/>
      </c>
      <c r="B801" t="str">
        <f>IF(DSDV!G806&lt;&gt;"",DSDV!G806,"")</f>
        <v/>
      </c>
      <c r="C801" s="237" t="str">
        <f>IF(DSDV!K806&lt;&gt;"",DSDV!K806,"")</f>
        <v/>
      </c>
      <c r="D801" s="417" t="str">
        <f>IF(DSDV!W806&lt;&gt;"",DSDV!W806,"")</f>
        <v/>
      </c>
    </row>
    <row r="802" spans="1:4">
      <c r="A802" t="str">
        <f>IF(DSDV!B807&lt;&gt;"",DSDV!B807,"")</f>
        <v/>
      </c>
      <c r="B802" t="str">
        <f>IF(DSDV!G807&lt;&gt;"",DSDV!G807,"")</f>
        <v/>
      </c>
      <c r="C802" s="237" t="str">
        <f>IF(DSDV!K807&lt;&gt;"",DSDV!K807,"")</f>
        <v/>
      </c>
      <c r="D802" s="417" t="str">
        <f>IF(DSDV!W807&lt;&gt;"",DSDV!W807,"")</f>
        <v/>
      </c>
    </row>
    <row r="803" spans="1:4">
      <c r="A803" t="str">
        <f>IF(DSDV!B808&lt;&gt;"",DSDV!B808,"")</f>
        <v/>
      </c>
      <c r="B803" t="str">
        <f>IF(DSDV!G808&lt;&gt;"",DSDV!G808,"")</f>
        <v/>
      </c>
      <c r="C803" s="237" t="str">
        <f>IF(DSDV!K808&lt;&gt;"",DSDV!K808,"")</f>
        <v/>
      </c>
      <c r="D803" s="417" t="str">
        <f>IF(DSDV!W808&lt;&gt;"",DSDV!W808,"")</f>
        <v/>
      </c>
    </row>
    <row r="804" spans="1:4">
      <c r="A804" t="str">
        <f>IF(DSDV!B809&lt;&gt;"",DSDV!B809,"")</f>
        <v/>
      </c>
      <c r="B804" t="str">
        <f>IF(DSDV!G809&lt;&gt;"",DSDV!G809,"")</f>
        <v/>
      </c>
      <c r="C804" s="237" t="str">
        <f>IF(DSDV!K809&lt;&gt;"",DSDV!K809,"")</f>
        <v/>
      </c>
      <c r="D804" s="417" t="str">
        <f>IF(DSDV!W809&lt;&gt;"",DSDV!W809,"")</f>
        <v/>
      </c>
    </row>
    <row r="805" spans="1:4">
      <c r="A805" t="str">
        <f>IF(DSDV!B810&lt;&gt;"",DSDV!B810,"")</f>
        <v/>
      </c>
      <c r="B805" t="str">
        <f>IF(DSDV!G810&lt;&gt;"",DSDV!G810,"")</f>
        <v/>
      </c>
      <c r="C805" s="237" t="str">
        <f>IF(DSDV!K810&lt;&gt;"",DSDV!K810,"")</f>
        <v/>
      </c>
      <c r="D805" s="417" t="str">
        <f>IF(DSDV!W810&lt;&gt;"",DSDV!W810,"")</f>
        <v/>
      </c>
    </row>
    <row r="806" spans="1:4">
      <c r="A806" t="str">
        <f>IF(DSDV!B811&lt;&gt;"",DSDV!B811,"")</f>
        <v/>
      </c>
      <c r="B806" t="str">
        <f>IF(DSDV!G811&lt;&gt;"",DSDV!G811,"")</f>
        <v/>
      </c>
      <c r="C806" s="237" t="str">
        <f>IF(DSDV!K811&lt;&gt;"",DSDV!K811,"")</f>
        <v/>
      </c>
      <c r="D806" s="417" t="str">
        <f>IF(DSDV!W811&lt;&gt;"",DSDV!W811,"")</f>
        <v/>
      </c>
    </row>
    <row r="807" spans="1:4">
      <c r="A807" t="str">
        <f>IF(DSDV!B812&lt;&gt;"",DSDV!B812,"")</f>
        <v/>
      </c>
      <c r="B807" t="str">
        <f>IF(DSDV!G812&lt;&gt;"",DSDV!G812,"")</f>
        <v/>
      </c>
      <c r="C807" s="237" t="str">
        <f>IF(DSDV!K812&lt;&gt;"",DSDV!K812,"")</f>
        <v/>
      </c>
      <c r="D807" s="417" t="str">
        <f>IF(DSDV!W812&lt;&gt;"",DSDV!W812,"")</f>
        <v/>
      </c>
    </row>
    <row r="808" spans="1:4">
      <c r="A808" t="str">
        <f>IF(DSDV!B813&lt;&gt;"",DSDV!B813,"")</f>
        <v/>
      </c>
      <c r="B808" t="str">
        <f>IF(DSDV!G813&lt;&gt;"",DSDV!G813,"")</f>
        <v/>
      </c>
      <c r="C808" s="237" t="str">
        <f>IF(DSDV!K813&lt;&gt;"",DSDV!K813,"")</f>
        <v/>
      </c>
      <c r="D808" s="417" t="str">
        <f>IF(DSDV!W813&lt;&gt;"",DSDV!W813,"")</f>
        <v/>
      </c>
    </row>
    <row r="809" spans="1:4">
      <c r="A809" t="str">
        <f>IF(DSDV!B814&lt;&gt;"",DSDV!B814,"")</f>
        <v/>
      </c>
      <c r="B809" t="str">
        <f>IF(DSDV!G814&lt;&gt;"",DSDV!G814,"")</f>
        <v/>
      </c>
      <c r="C809" s="237" t="str">
        <f>IF(DSDV!K814&lt;&gt;"",DSDV!K814,"")</f>
        <v/>
      </c>
      <c r="D809" s="417" t="str">
        <f>IF(DSDV!W814&lt;&gt;"",DSDV!W814,"")</f>
        <v/>
      </c>
    </row>
    <row r="810" spans="1:4">
      <c r="A810" t="str">
        <f>IF(DSDV!B815&lt;&gt;"",DSDV!B815,"")</f>
        <v/>
      </c>
      <c r="B810" t="str">
        <f>IF(DSDV!G815&lt;&gt;"",DSDV!G815,"")</f>
        <v/>
      </c>
      <c r="C810" s="237" t="str">
        <f>IF(DSDV!K815&lt;&gt;"",DSDV!K815,"")</f>
        <v/>
      </c>
      <c r="D810" s="417" t="str">
        <f>IF(DSDV!W815&lt;&gt;"",DSDV!W815,"")</f>
        <v/>
      </c>
    </row>
    <row r="811" spans="1:4">
      <c r="A811" t="str">
        <f>IF(DSDV!B816&lt;&gt;"",DSDV!B816,"")</f>
        <v/>
      </c>
      <c r="B811" t="str">
        <f>IF(DSDV!G816&lt;&gt;"",DSDV!G816,"")</f>
        <v/>
      </c>
      <c r="C811" s="237" t="str">
        <f>IF(DSDV!K816&lt;&gt;"",DSDV!K816,"")</f>
        <v/>
      </c>
      <c r="D811" s="417" t="str">
        <f>IF(DSDV!W816&lt;&gt;"",DSDV!W816,"")</f>
        <v/>
      </c>
    </row>
    <row r="812" spans="1:4">
      <c r="A812" t="str">
        <f>IF(DSDV!B817&lt;&gt;"",DSDV!B817,"")</f>
        <v/>
      </c>
      <c r="B812" t="str">
        <f>IF(DSDV!G817&lt;&gt;"",DSDV!G817,"")</f>
        <v/>
      </c>
      <c r="C812" s="237" t="str">
        <f>IF(DSDV!K817&lt;&gt;"",DSDV!K817,"")</f>
        <v/>
      </c>
      <c r="D812" s="417" t="str">
        <f>IF(DSDV!W817&lt;&gt;"",DSDV!W817,"")</f>
        <v/>
      </c>
    </row>
    <row r="813" spans="1:4">
      <c r="A813" t="str">
        <f>IF(DSDV!B818&lt;&gt;"",DSDV!B818,"")</f>
        <v/>
      </c>
      <c r="B813" t="str">
        <f>IF(DSDV!G818&lt;&gt;"",DSDV!G818,"")</f>
        <v/>
      </c>
      <c r="C813" s="237" t="str">
        <f>IF(DSDV!K818&lt;&gt;"",DSDV!K818,"")</f>
        <v/>
      </c>
      <c r="D813" s="417" t="str">
        <f>IF(DSDV!W818&lt;&gt;"",DSDV!W818,"")</f>
        <v/>
      </c>
    </row>
    <row r="814" spans="1:4">
      <c r="A814" t="str">
        <f>IF(DSDV!B819&lt;&gt;"",DSDV!B819,"")</f>
        <v/>
      </c>
      <c r="B814" t="str">
        <f>IF(DSDV!G819&lt;&gt;"",DSDV!G819,"")</f>
        <v/>
      </c>
      <c r="C814" s="237" t="str">
        <f>IF(DSDV!K819&lt;&gt;"",DSDV!K819,"")</f>
        <v/>
      </c>
      <c r="D814" s="417" t="str">
        <f>IF(DSDV!W819&lt;&gt;"",DSDV!W819,"")</f>
        <v/>
      </c>
    </row>
    <row r="815" spans="1:4">
      <c r="A815" t="str">
        <f>IF(DSDV!B820&lt;&gt;"",DSDV!B820,"")</f>
        <v/>
      </c>
      <c r="B815" t="str">
        <f>IF(DSDV!G820&lt;&gt;"",DSDV!G820,"")</f>
        <v/>
      </c>
      <c r="C815" s="237" t="str">
        <f>IF(DSDV!K820&lt;&gt;"",DSDV!K820,"")</f>
        <v/>
      </c>
      <c r="D815" s="417" t="str">
        <f>IF(DSDV!W820&lt;&gt;"",DSDV!W820,"")</f>
        <v/>
      </c>
    </row>
    <row r="816" spans="1:4">
      <c r="A816" t="str">
        <f>IF(DSDV!B821&lt;&gt;"",DSDV!B821,"")</f>
        <v/>
      </c>
      <c r="B816" t="str">
        <f>IF(DSDV!G821&lt;&gt;"",DSDV!G821,"")</f>
        <v/>
      </c>
      <c r="C816" s="237" t="str">
        <f>IF(DSDV!K821&lt;&gt;"",DSDV!K821,"")</f>
        <v/>
      </c>
      <c r="D816" s="417" t="str">
        <f>IF(DSDV!W821&lt;&gt;"",DSDV!W821,"")</f>
        <v/>
      </c>
    </row>
    <row r="817" spans="1:4">
      <c r="A817" t="str">
        <f>IF(DSDV!B822&lt;&gt;"",DSDV!B822,"")</f>
        <v/>
      </c>
      <c r="B817" t="str">
        <f>IF(DSDV!G822&lt;&gt;"",DSDV!G822,"")</f>
        <v/>
      </c>
      <c r="C817" s="237" t="str">
        <f>IF(DSDV!K822&lt;&gt;"",DSDV!K822,"")</f>
        <v/>
      </c>
      <c r="D817" s="417" t="str">
        <f>IF(DSDV!W822&lt;&gt;"",DSDV!W822,"")</f>
        <v/>
      </c>
    </row>
    <row r="818" spans="1:4">
      <c r="A818" t="str">
        <f>IF(DSDV!B823&lt;&gt;"",DSDV!B823,"")</f>
        <v/>
      </c>
      <c r="B818" t="str">
        <f>IF(DSDV!G823&lt;&gt;"",DSDV!G823,"")</f>
        <v/>
      </c>
      <c r="C818" s="237" t="str">
        <f>IF(DSDV!K823&lt;&gt;"",DSDV!K823,"")</f>
        <v/>
      </c>
      <c r="D818" s="417" t="str">
        <f>IF(DSDV!W823&lt;&gt;"",DSDV!W823,"")</f>
        <v/>
      </c>
    </row>
    <row r="819" spans="1:4">
      <c r="A819" t="str">
        <f>IF(DSDV!B824&lt;&gt;"",DSDV!B824,"")</f>
        <v/>
      </c>
      <c r="B819" t="str">
        <f>IF(DSDV!G824&lt;&gt;"",DSDV!G824,"")</f>
        <v/>
      </c>
      <c r="C819" s="237" t="str">
        <f>IF(DSDV!K824&lt;&gt;"",DSDV!K824,"")</f>
        <v/>
      </c>
      <c r="D819" s="417" t="str">
        <f>IF(DSDV!W824&lt;&gt;"",DSDV!W824,"")</f>
        <v/>
      </c>
    </row>
    <row r="820" spans="1:4">
      <c r="A820" t="str">
        <f>IF(DSDV!B825&lt;&gt;"",DSDV!B825,"")</f>
        <v/>
      </c>
      <c r="B820" t="str">
        <f>IF(DSDV!G825&lt;&gt;"",DSDV!G825,"")</f>
        <v/>
      </c>
      <c r="C820" s="237" t="str">
        <f>IF(DSDV!K825&lt;&gt;"",DSDV!K825,"")</f>
        <v/>
      </c>
      <c r="D820" s="417" t="str">
        <f>IF(DSDV!W825&lt;&gt;"",DSDV!W825,"")</f>
        <v/>
      </c>
    </row>
    <row r="821" spans="1:4">
      <c r="A821" t="str">
        <f>IF(DSDV!B826&lt;&gt;"",DSDV!B826,"")</f>
        <v/>
      </c>
      <c r="B821" t="str">
        <f>IF(DSDV!G826&lt;&gt;"",DSDV!G826,"")</f>
        <v/>
      </c>
      <c r="C821" s="237" t="str">
        <f>IF(DSDV!K826&lt;&gt;"",DSDV!K826,"")</f>
        <v/>
      </c>
      <c r="D821" s="417" t="str">
        <f>IF(DSDV!W826&lt;&gt;"",DSDV!W826,"")</f>
        <v/>
      </c>
    </row>
    <row r="822" spans="1:4">
      <c r="A822" t="str">
        <f>IF(DSDV!B827&lt;&gt;"",DSDV!B827,"")</f>
        <v/>
      </c>
      <c r="B822" t="str">
        <f>IF(DSDV!G827&lt;&gt;"",DSDV!G827,"")</f>
        <v/>
      </c>
      <c r="C822" s="237" t="str">
        <f>IF(DSDV!K827&lt;&gt;"",DSDV!K827,"")</f>
        <v/>
      </c>
      <c r="D822" s="417" t="str">
        <f>IF(DSDV!W827&lt;&gt;"",DSDV!W827,"")</f>
        <v/>
      </c>
    </row>
    <row r="823" spans="1:4">
      <c r="A823" t="str">
        <f>IF(DSDV!B828&lt;&gt;"",DSDV!B828,"")</f>
        <v/>
      </c>
      <c r="B823" t="str">
        <f>IF(DSDV!G828&lt;&gt;"",DSDV!G828,"")</f>
        <v/>
      </c>
      <c r="C823" s="237" t="str">
        <f>IF(DSDV!K828&lt;&gt;"",DSDV!K828,"")</f>
        <v/>
      </c>
      <c r="D823" s="417" t="str">
        <f>IF(DSDV!W828&lt;&gt;"",DSDV!W828,"")</f>
        <v/>
      </c>
    </row>
    <row r="824" spans="1:4">
      <c r="A824" t="str">
        <f>IF(DSDV!B829&lt;&gt;"",DSDV!B829,"")</f>
        <v/>
      </c>
      <c r="B824" t="str">
        <f>IF(DSDV!G829&lt;&gt;"",DSDV!G829,"")</f>
        <v/>
      </c>
      <c r="C824" s="237" t="str">
        <f>IF(DSDV!K829&lt;&gt;"",DSDV!K829,"")</f>
        <v/>
      </c>
      <c r="D824" s="417" t="str">
        <f>IF(DSDV!W829&lt;&gt;"",DSDV!W829,"")</f>
        <v/>
      </c>
    </row>
    <row r="825" spans="1:4">
      <c r="A825" t="str">
        <f>IF(DSDV!B830&lt;&gt;"",DSDV!B830,"")</f>
        <v/>
      </c>
      <c r="B825" t="str">
        <f>IF(DSDV!G830&lt;&gt;"",DSDV!G830,"")</f>
        <v/>
      </c>
      <c r="C825" s="237" t="str">
        <f>IF(DSDV!K830&lt;&gt;"",DSDV!K830,"")</f>
        <v/>
      </c>
      <c r="D825" s="417" t="str">
        <f>IF(DSDV!W830&lt;&gt;"",DSDV!W830,"")</f>
        <v/>
      </c>
    </row>
    <row r="826" spans="1:4">
      <c r="A826" t="str">
        <f>IF(DSDV!B831&lt;&gt;"",DSDV!B831,"")</f>
        <v/>
      </c>
      <c r="B826" t="str">
        <f>IF(DSDV!G831&lt;&gt;"",DSDV!G831,"")</f>
        <v/>
      </c>
      <c r="C826" s="237" t="str">
        <f>IF(DSDV!K831&lt;&gt;"",DSDV!K831,"")</f>
        <v/>
      </c>
      <c r="D826" s="417" t="str">
        <f>IF(DSDV!W831&lt;&gt;"",DSDV!W831,"")</f>
        <v/>
      </c>
    </row>
    <row r="827" spans="1:4">
      <c r="A827" t="str">
        <f>IF(DSDV!B832&lt;&gt;"",DSDV!B832,"")</f>
        <v/>
      </c>
      <c r="B827" t="str">
        <f>IF(DSDV!G832&lt;&gt;"",DSDV!G832,"")</f>
        <v/>
      </c>
      <c r="C827" s="237" t="str">
        <f>IF(DSDV!K832&lt;&gt;"",DSDV!K832,"")</f>
        <v/>
      </c>
      <c r="D827" s="417" t="str">
        <f>IF(DSDV!W832&lt;&gt;"",DSDV!W832,"")</f>
        <v/>
      </c>
    </row>
    <row r="828" spans="1:4">
      <c r="A828" t="str">
        <f>IF(DSDV!B833&lt;&gt;"",DSDV!B833,"")</f>
        <v/>
      </c>
      <c r="B828" t="str">
        <f>IF(DSDV!G833&lt;&gt;"",DSDV!G833,"")</f>
        <v/>
      </c>
      <c r="C828" s="237" t="str">
        <f>IF(DSDV!K833&lt;&gt;"",DSDV!K833,"")</f>
        <v/>
      </c>
      <c r="D828" s="417" t="str">
        <f>IF(DSDV!W833&lt;&gt;"",DSDV!W833,"")</f>
        <v/>
      </c>
    </row>
    <row r="829" spans="1:4">
      <c r="A829" t="str">
        <f>IF(DSDV!B834&lt;&gt;"",DSDV!B834,"")</f>
        <v/>
      </c>
      <c r="B829" t="str">
        <f>IF(DSDV!G834&lt;&gt;"",DSDV!G834,"")</f>
        <v/>
      </c>
      <c r="C829" s="237" t="str">
        <f>IF(DSDV!K834&lt;&gt;"",DSDV!K834,"")</f>
        <v/>
      </c>
      <c r="D829" s="417" t="str">
        <f>IF(DSDV!W834&lt;&gt;"",DSDV!W834,"")</f>
        <v/>
      </c>
    </row>
    <row r="830" spans="1:4">
      <c r="A830" t="str">
        <f>IF(DSDV!B835&lt;&gt;"",DSDV!B835,"")</f>
        <v/>
      </c>
      <c r="B830" t="str">
        <f>IF(DSDV!G835&lt;&gt;"",DSDV!G835,"")</f>
        <v/>
      </c>
      <c r="C830" s="237" t="str">
        <f>IF(DSDV!K835&lt;&gt;"",DSDV!K835,"")</f>
        <v/>
      </c>
      <c r="D830" s="417" t="str">
        <f>IF(DSDV!W835&lt;&gt;"",DSDV!W835,"")</f>
        <v/>
      </c>
    </row>
    <row r="831" spans="1:4">
      <c r="A831" t="str">
        <f>IF(DSDV!B836&lt;&gt;"",DSDV!B836,"")</f>
        <v/>
      </c>
      <c r="B831" t="str">
        <f>IF(DSDV!G836&lt;&gt;"",DSDV!G836,"")</f>
        <v/>
      </c>
      <c r="C831" s="237" t="str">
        <f>IF(DSDV!K836&lt;&gt;"",DSDV!K836,"")</f>
        <v/>
      </c>
      <c r="D831" s="417" t="str">
        <f>IF(DSDV!W836&lt;&gt;"",DSDV!W836,"")</f>
        <v/>
      </c>
    </row>
    <row r="832" spans="1:4">
      <c r="A832" t="str">
        <f>IF(DSDV!B837&lt;&gt;"",DSDV!B837,"")</f>
        <v/>
      </c>
      <c r="B832" t="str">
        <f>IF(DSDV!G837&lt;&gt;"",DSDV!G837,"")</f>
        <v/>
      </c>
      <c r="C832" s="237" t="str">
        <f>IF(DSDV!K837&lt;&gt;"",DSDV!K837,"")</f>
        <v/>
      </c>
      <c r="D832" s="417" t="str">
        <f>IF(DSDV!W837&lt;&gt;"",DSDV!W837,"")</f>
        <v/>
      </c>
    </row>
    <row r="833" spans="1:4">
      <c r="A833" t="str">
        <f>IF(DSDV!B838&lt;&gt;"",DSDV!B838,"")</f>
        <v/>
      </c>
      <c r="B833" t="str">
        <f>IF(DSDV!G838&lt;&gt;"",DSDV!G838,"")</f>
        <v/>
      </c>
      <c r="C833" s="237" t="str">
        <f>IF(DSDV!K838&lt;&gt;"",DSDV!K838,"")</f>
        <v/>
      </c>
      <c r="D833" s="417" t="str">
        <f>IF(DSDV!W838&lt;&gt;"",DSDV!W838,"")</f>
        <v/>
      </c>
    </row>
    <row r="834" spans="1:4">
      <c r="A834" t="str">
        <f>IF(DSDV!B839&lt;&gt;"",DSDV!B839,"")</f>
        <v/>
      </c>
      <c r="B834" t="str">
        <f>IF(DSDV!G839&lt;&gt;"",DSDV!G839,"")</f>
        <v/>
      </c>
      <c r="C834" s="237" t="str">
        <f>IF(DSDV!K839&lt;&gt;"",DSDV!K839,"")</f>
        <v/>
      </c>
      <c r="D834" s="417" t="str">
        <f>IF(DSDV!W839&lt;&gt;"",DSDV!W839,"")</f>
        <v/>
      </c>
    </row>
    <row r="835" spans="1:4">
      <c r="A835" t="str">
        <f>IF(DSDV!B840&lt;&gt;"",DSDV!B840,"")</f>
        <v/>
      </c>
      <c r="B835" t="str">
        <f>IF(DSDV!G840&lt;&gt;"",DSDV!G840,"")</f>
        <v/>
      </c>
      <c r="C835" s="237" t="str">
        <f>IF(DSDV!K840&lt;&gt;"",DSDV!K840,"")</f>
        <v/>
      </c>
      <c r="D835" s="417" t="str">
        <f>IF(DSDV!W840&lt;&gt;"",DSDV!W840,"")</f>
        <v/>
      </c>
    </row>
    <row r="836" spans="1:4">
      <c r="A836" t="str">
        <f>IF(DSDV!B841&lt;&gt;"",DSDV!B841,"")</f>
        <v/>
      </c>
      <c r="B836" t="str">
        <f>IF(DSDV!G841&lt;&gt;"",DSDV!G841,"")</f>
        <v/>
      </c>
      <c r="C836" s="237" t="str">
        <f>IF(DSDV!K841&lt;&gt;"",DSDV!K841,"")</f>
        <v/>
      </c>
      <c r="D836" s="417" t="str">
        <f>IF(DSDV!W841&lt;&gt;"",DSDV!W841,"")</f>
        <v/>
      </c>
    </row>
    <row r="837" spans="1:4">
      <c r="A837" t="str">
        <f>IF(DSDV!B842&lt;&gt;"",DSDV!B842,"")</f>
        <v/>
      </c>
      <c r="B837" t="str">
        <f>IF(DSDV!G842&lt;&gt;"",DSDV!G842,"")</f>
        <v/>
      </c>
      <c r="C837" s="237" t="str">
        <f>IF(DSDV!K842&lt;&gt;"",DSDV!K842,"")</f>
        <v/>
      </c>
      <c r="D837" s="417" t="str">
        <f>IF(DSDV!W842&lt;&gt;"",DSDV!W842,"")</f>
        <v/>
      </c>
    </row>
    <row r="838" spans="1:4">
      <c r="A838" t="str">
        <f>IF(DSDV!B843&lt;&gt;"",DSDV!B843,"")</f>
        <v/>
      </c>
      <c r="B838" t="str">
        <f>IF(DSDV!G843&lt;&gt;"",DSDV!G843,"")</f>
        <v/>
      </c>
      <c r="C838" s="237" t="str">
        <f>IF(DSDV!K843&lt;&gt;"",DSDV!K843,"")</f>
        <v/>
      </c>
      <c r="D838" s="417" t="str">
        <f>IF(DSDV!W843&lt;&gt;"",DSDV!W843,"")</f>
        <v/>
      </c>
    </row>
    <row r="839" spans="1:4">
      <c r="A839" t="str">
        <f>IF(DSDV!B844&lt;&gt;"",DSDV!B844,"")</f>
        <v/>
      </c>
      <c r="B839" t="str">
        <f>IF(DSDV!G844&lt;&gt;"",DSDV!G844,"")</f>
        <v/>
      </c>
      <c r="C839" s="237" t="str">
        <f>IF(DSDV!K844&lt;&gt;"",DSDV!K844,"")</f>
        <v/>
      </c>
      <c r="D839" s="417" t="str">
        <f>IF(DSDV!W844&lt;&gt;"",DSDV!W844,"")</f>
        <v/>
      </c>
    </row>
    <row r="840" spans="1:4">
      <c r="A840" t="str">
        <f>IF(DSDV!B845&lt;&gt;"",DSDV!B845,"")</f>
        <v/>
      </c>
      <c r="B840" t="str">
        <f>IF(DSDV!G845&lt;&gt;"",DSDV!G845,"")</f>
        <v/>
      </c>
      <c r="C840" s="237" t="str">
        <f>IF(DSDV!K845&lt;&gt;"",DSDV!K845,"")</f>
        <v/>
      </c>
      <c r="D840" s="417" t="str">
        <f>IF(DSDV!W845&lt;&gt;"",DSDV!W845,"")</f>
        <v/>
      </c>
    </row>
    <row r="841" spans="1:4">
      <c r="A841" t="str">
        <f>IF(DSDV!B846&lt;&gt;"",DSDV!B846,"")</f>
        <v/>
      </c>
      <c r="B841" t="str">
        <f>IF(DSDV!G846&lt;&gt;"",DSDV!G846,"")</f>
        <v/>
      </c>
      <c r="C841" s="237" t="str">
        <f>IF(DSDV!K846&lt;&gt;"",DSDV!K846,"")</f>
        <v/>
      </c>
      <c r="D841" s="417" t="str">
        <f>IF(DSDV!W846&lt;&gt;"",DSDV!W846,"")</f>
        <v/>
      </c>
    </row>
    <row r="842" spans="1:4">
      <c r="A842" t="str">
        <f>IF(DSDV!B847&lt;&gt;"",DSDV!B847,"")</f>
        <v/>
      </c>
      <c r="B842" t="str">
        <f>IF(DSDV!G847&lt;&gt;"",DSDV!G847,"")</f>
        <v/>
      </c>
      <c r="C842" s="237" t="str">
        <f>IF(DSDV!K847&lt;&gt;"",DSDV!K847,"")</f>
        <v/>
      </c>
      <c r="D842" s="417" t="str">
        <f>IF(DSDV!W847&lt;&gt;"",DSDV!W847,"")</f>
        <v/>
      </c>
    </row>
    <row r="843" spans="1:4">
      <c r="A843" t="str">
        <f>IF(DSDV!B848&lt;&gt;"",DSDV!B848,"")</f>
        <v/>
      </c>
      <c r="B843" t="str">
        <f>IF(DSDV!G848&lt;&gt;"",DSDV!G848,"")</f>
        <v/>
      </c>
      <c r="C843" s="237" t="str">
        <f>IF(DSDV!K848&lt;&gt;"",DSDV!K848,"")</f>
        <v/>
      </c>
      <c r="D843" s="417" t="str">
        <f>IF(DSDV!W848&lt;&gt;"",DSDV!W848,"")</f>
        <v/>
      </c>
    </row>
    <row r="844" spans="1:4">
      <c r="A844" t="str">
        <f>IF(DSDV!B849&lt;&gt;"",DSDV!B849,"")</f>
        <v/>
      </c>
      <c r="B844" t="str">
        <f>IF(DSDV!G849&lt;&gt;"",DSDV!G849,"")</f>
        <v/>
      </c>
      <c r="C844" s="237" t="str">
        <f>IF(DSDV!K849&lt;&gt;"",DSDV!K849,"")</f>
        <v/>
      </c>
      <c r="D844" s="417" t="str">
        <f>IF(DSDV!W849&lt;&gt;"",DSDV!W849,"")</f>
        <v/>
      </c>
    </row>
    <row r="845" spans="1:4">
      <c r="A845" t="str">
        <f>IF(DSDV!B850&lt;&gt;"",DSDV!B850,"")</f>
        <v/>
      </c>
      <c r="B845" t="str">
        <f>IF(DSDV!G850&lt;&gt;"",DSDV!G850,"")</f>
        <v/>
      </c>
      <c r="C845" s="237" t="str">
        <f>IF(DSDV!K850&lt;&gt;"",DSDV!K850,"")</f>
        <v/>
      </c>
      <c r="D845" s="417" t="str">
        <f>IF(DSDV!W850&lt;&gt;"",DSDV!W850,"")</f>
        <v/>
      </c>
    </row>
    <row r="846" spans="1:4">
      <c r="A846" t="str">
        <f>IF(DSDV!B851&lt;&gt;"",DSDV!B851,"")</f>
        <v/>
      </c>
      <c r="B846" t="str">
        <f>IF(DSDV!G851&lt;&gt;"",DSDV!G851,"")</f>
        <v/>
      </c>
      <c r="C846" s="237" t="str">
        <f>IF(DSDV!K851&lt;&gt;"",DSDV!K851,"")</f>
        <v/>
      </c>
      <c r="D846" s="417" t="str">
        <f>IF(DSDV!W851&lt;&gt;"",DSDV!W851,"")</f>
        <v/>
      </c>
    </row>
    <row r="847" spans="1:4">
      <c r="A847" t="str">
        <f>IF(DSDV!B852&lt;&gt;"",DSDV!B852,"")</f>
        <v/>
      </c>
      <c r="B847" t="str">
        <f>IF(DSDV!G852&lt;&gt;"",DSDV!G852,"")</f>
        <v/>
      </c>
      <c r="C847" s="237" t="str">
        <f>IF(DSDV!K852&lt;&gt;"",DSDV!K852,"")</f>
        <v/>
      </c>
      <c r="D847" s="417" t="str">
        <f>IF(DSDV!W852&lt;&gt;"",DSDV!W852,"")</f>
        <v/>
      </c>
    </row>
    <row r="848" spans="1:4">
      <c r="A848" t="str">
        <f>IF(DSDV!B853&lt;&gt;"",DSDV!B853,"")</f>
        <v/>
      </c>
      <c r="B848" t="str">
        <f>IF(DSDV!G853&lt;&gt;"",DSDV!G853,"")</f>
        <v/>
      </c>
      <c r="C848" s="237" t="str">
        <f>IF(DSDV!K853&lt;&gt;"",DSDV!K853,"")</f>
        <v/>
      </c>
      <c r="D848" s="417" t="str">
        <f>IF(DSDV!W853&lt;&gt;"",DSDV!W853,"")</f>
        <v/>
      </c>
    </row>
    <row r="849" spans="1:4">
      <c r="A849" t="str">
        <f>IF(DSDV!B854&lt;&gt;"",DSDV!B854,"")</f>
        <v/>
      </c>
      <c r="B849" t="str">
        <f>IF(DSDV!G854&lt;&gt;"",DSDV!G854,"")</f>
        <v/>
      </c>
      <c r="C849" s="237" t="str">
        <f>IF(DSDV!K854&lt;&gt;"",DSDV!K854,"")</f>
        <v/>
      </c>
      <c r="D849" s="417" t="str">
        <f>IF(DSDV!W854&lt;&gt;"",DSDV!W854,"")</f>
        <v/>
      </c>
    </row>
    <row r="850" spans="1:4">
      <c r="A850" t="str">
        <f>IF(DSDV!B855&lt;&gt;"",DSDV!B855,"")</f>
        <v/>
      </c>
      <c r="B850" t="str">
        <f>IF(DSDV!G855&lt;&gt;"",DSDV!G855,"")</f>
        <v/>
      </c>
      <c r="C850" s="237" t="str">
        <f>IF(DSDV!K855&lt;&gt;"",DSDV!K855,"")</f>
        <v/>
      </c>
      <c r="D850" s="417" t="str">
        <f>IF(DSDV!W855&lt;&gt;"",DSDV!W855,"")</f>
        <v/>
      </c>
    </row>
    <row r="851" spans="1:4">
      <c r="A851" t="str">
        <f>IF(DSDV!B856&lt;&gt;"",DSDV!B856,"")</f>
        <v/>
      </c>
      <c r="B851" t="str">
        <f>IF(DSDV!G856&lt;&gt;"",DSDV!G856,"")</f>
        <v/>
      </c>
      <c r="C851" s="237" t="str">
        <f>IF(DSDV!K856&lt;&gt;"",DSDV!K856,"")</f>
        <v/>
      </c>
      <c r="D851" s="417" t="str">
        <f>IF(DSDV!W856&lt;&gt;"",DSDV!W856,"")</f>
        <v/>
      </c>
    </row>
    <row r="852" spans="1:4">
      <c r="A852" t="str">
        <f>IF(DSDV!B857&lt;&gt;"",DSDV!B857,"")</f>
        <v/>
      </c>
      <c r="B852" t="str">
        <f>IF(DSDV!G857&lt;&gt;"",DSDV!G857,"")</f>
        <v/>
      </c>
      <c r="C852" s="237" t="str">
        <f>IF(DSDV!K857&lt;&gt;"",DSDV!K857,"")</f>
        <v/>
      </c>
      <c r="D852" s="417" t="str">
        <f>IF(DSDV!W857&lt;&gt;"",DSDV!W857,"")</f>
        <v/>
      </c>
    </row>
    <row r="853" spans="1:4">
      <c r="A853" t="str">
        <f>IF(DSDV!B858&lt;&gt;"",DSDV!B858,"")</f>
        <v/>
      </c>
      <c r="B853" t="str">
        <f>IF(DSDV!G858&lt;&gt;"",DSDV!G858,"")</f>
        <v/>
      </c>
      <c r="C853" s="237" t="str">
        <f>IF(DSDV!K858&lt;&gt;"",DSDV!K858,"")</f>
        <v/>
      </c>
      <c r="D853" s="417" t="str">
        <f>IF(DSDV!W858&lt;&gt;"",DSDV!W858,"")</f>
        <v/>
      </c>
    </row>
    <row r="854" spans="1:4">
      <c r="A854" t="str">
        <f>IF(DSDV!B859&lt;&gt;"",DSDV!B859,"")</f>
        <v/>
      </c>
      <c r="B854" t="str">
        <f>IF(DSDV!G859&lt;&gt;"",DSDV!G859,"")</f>
        <v/>
      </c>
      <c r="C854" s="237" t="str">
        <f>IF(DSDV!K859&lt;&gt;"",DSDV!K859,"")</f>
        <v/>
      </c>
      <c r="D854" s="417" t="str">
        <f>IF(DSDV!W859&lt;&gt;"",DSDV!W859,"")</f>
        <v/>
      </c>
    </row>
    <row r="855" spans="1:4">
      <c r="A855" t="str">
        <f>IF(DSDV!B860&lt;&gt;"",DSDV!B860,"")</f>
        <v/>
      </c>
      <c r="B855" t="str">
        <f>IF(DSDV!G860&lt;&gt;"",DSDV!G860,"")</f>
        <v/>
      </c>
      <c r="C855" s="237" t="str">
        <f>IF(DSDV!K860&lt;&gt;"",DSDV!K860,"")</f>
        <v/>
      </c>
      <c r="D855" s="417" t="str">
        <f>IF(DSDV!W860&lt;&gt;"",DSDV!W860,"")</f>
        <v/>
      </c>
    </row>
    <row r="856" spans="1:4">
      <c r="A856" t="str">
        <f>IF(DSDV!B861&lt;&gt;"",DSDV!B861,"")</f>
        <v/>
      </c>
      <c r="B856" t="str">
        <f>IF(DSDV!G861&lt;&gt;"",DSDV!G861,"")</f>
        <v/>
      </c>
      <c r="C856" s="237" t="str">
        <f>IF(DSDV!K861&lt;&gt;"",DSDV!K861,"")</f>
        <v/>
      </c>
      <c r="D856" s="417" t="str">
        <f>IF(DSDV!W861&lt;&gt;"",DSDV!W861,"")</f>
        <v/>
      </c>
    </row>
    <row r="857" spans="1:4">
      <c r="A857" t="str">
        <f>IF(DSDV!B862&lt;&gt;"",DSDV!B862,"")</f>
        <v/>
      </c>
      <c r="B857" t="str">
        <f>IF(DSDV!G862&lt;&gt;"",DSDV!G862,"")</f>
        <v/>
      </c>
      <c r="C857" s="237" t="str">
        <f>IF(DSDV!K862&lt;&gt;"",DSDV!K862,"")</f>
        <v/>
      </c>
      <c r="D857" s="417" t="str">
        <f>IF(DSDV!W862&lt;&gt;"",DSDV!W862,"")</f>
        <v/>
      </c>
    </row>
    <row r="858" spans="1:4">
      <c r="A858" t="str">
        <f>IF(DSDV!B863&lt;&gt;"",DSDV!B863,"")</f>
        <v/>
      </c>
      <c r="B858" t="str">
        <f>IF(DSDV!G863&lt;&gt;"",DSDV!G863,"")</f>
        <v/>
      </c>
      <c r="C858" s="237" t="str">
        <f>IF(DSDV!K863&lt;&gt;"",DSDV!K863,"")</f>
        <v/>
      </c>
      <c r="D858" s="417" t="str">
        <f>IF(DSDV!W863&lt;&gt;"",DSDV!W863,"")</f>
        <v/>
      </c>
    </row>
    <row r="859" spans="1:4">
      <c r="A859" t="str">
        <f>IF(DSDV!B864&lt;&gt;"",DSDV!B864,"")</f>
        <v/>
      </c>
      <c r="B859" t="str">
        <f>IF(DSDV!G864&lt;&gt;"",DSDV!G864,"")</f>
        <v/>
      </c>
      <c r="C859" s="237" t="str">
        <f>IF(DSDV!K864&lt;&gt;"",DSDV!K864,"")</f>
        <v/>
      </c>
      <c r="D859" s="417" t="str">
        <f>IF(DSDV!W864&lt;&gt;"",DSDV!W864,"")</f>
        <v/>
      </c>
    </row>
    <row r="860" spans="1:4">
      <c r="A860" t="str">
        <f>IF(DSDV!B865&lt;&gt;"",DSDV!B865,"")</f>
        <v/>
      </c>
      <c r="B860" t="str">
        <f>IF(DSDV!G865&lt;&gt;"",DSDV!G865,"")</f>
        <v/>
      </c>
      <c r="C860" s="237" t="str">
        <f>IF(DSDV!K865&lt;&gt;"",DSDV!K865,"")</f>
        <v/>
      </c>
      <c r="D860" s="417" t="str">
        <f>IF(DSDV!W865&lt;&gt;"",DSDV!W865,"")</f>
        <v/>
      </c>
    </row>
    <row r="861" spans="1:4">
      <c r="A861" t="str">
        <f>IF(DSDV!B866&lt;&gt;"",DSDV!B866,"")</f>
        <v/>
      </c>
      <c r="B861" t="str">
        <f>IF(DSDV!G866&lt;&gt;"",DSDV!G866,"")</f>
        <v/>
      </c>
      <c r="C861" s="237" t="str">
        <f>IF(DSDV!K866&lt;&gt;"",DSDV!K866,"")</f>
        <v/>
      </c>
      <c r="D861" s="417" t="str">
        <f>IF(DSDV!W866&lt;&gt;"",DSDV!W866,"")</f>
        <v/>
      </c>
    </row>
    <row r="862" spans="1:4">
      <c r="A862" t="str">
        <f>IF(DSDV!B867&lt;&gt;"",DSDV!B867,"")</f>
        <v/>
      </c>
      <c r="B862" t="str">
        <f>IF(DSDV!G867&lt;&gt;"",DSDV!G867,"")</f>
        <v/>
      </c>
      <c r="C862" s="237" t="str">
        <f>IF(DSDV!K867&lt;&gt;"",DSDV!K867,"")</f>
        <v/>
      </c>
      <c r="D862" s="417" t="str">
        <f>IF(DSDV!W867&lt;&gt;"",DSDV!W867,"")</f>
        <v/>
      </c>
    </row>
    <row r="863" spans="1:4">
      <c r="A863" t="str">
        <f>IF(DSDV!B868&lt;&gt;"",DSDV!B868,"")</f>
        <v/>
      </c>
      <c r="B863" t="str">
        <f>IF(DSDV!G868&lt;&gt;"",DSDV!G868,"")</f>
        <v/>
      </c>
      <c r="C863" s="237" t="str">
        <f>IF(DSDV!K868&lt;&gt;"",DSDV!K868,"")</f>
        <v/>
      </c>
      <c r="D863" s="417" t="str">
        <f>IF(DSDV!W868&lt;&gt;"",DSDV!W868,"")</f>
        <v/>
      </c>
    </row>
    <row r="864" spans="1:4">
      <c r="A864" t="str">
        <f>IF(DSDV!B869&lt;&gt;"",DSDV!B869,"")</f>
        <v/>
      </c>
      <c r="B864" t="str">
        <f>IF(DSDV!G869&lt;&gt;"",DSDV!G869,"")</f>
        <v/>
      </c>
      <c r="C864" s="237" t="str">
        <f>IF(DSDV!K869&lt;&gt;"",DSDV!K869,"")</f>
        <v/>
      </c>
      <c r="D864" s="417" t="str">
        <f>IF(DSDV!W869&lt;&gt;"",DSDV!W869,"")</f>
        <v/>
      </c>
    </row>
    <row r="865" spans="1:4">
      <c r="A865" t="str">
        <f>IF(DSDV!B870&lt;&gt;"",DSDV!B870,"")</f>
        <v/>
      </c>
      <c r="B865" t="str">
        <f>IF(DSDV!G870&lt;&gt;"",DSDV!G870,"")</f>
        <v/>
      </c>
      <c r="C865" s="237" t="str">
        <f>IF(DSDV!K870&lt;&gt;"",DSDV!K870,"")</f>
        <v/>
      </c>
      <c r="D865" s="417" t="str">
        <f>IF(DSDV!W870&lt;&gt;"",DSDV!W870,"")</f>
        <v/>
      </c>
    </row>
    <row r="866" spans="1:4">
      <c r="A866" t="str">
        <f>IF(DSDV!B871&lt;&gt;"",DSDV!B871,"")</f>
        <v/>
      </c>
      <c r="B866" t="str">
        <f>IF(DSDV!G871&lt;&gt;"",DSDV!G871,"")</f>
        <v/>
      </c>
      <c r="C866" s="237" t="str">
        <f>IF(DSDV!K871&lt;&gt;"",DSDV!K871,"")</f>
        <v/>
      </c>
      <c r="D866" s="417" t="str">
        <f>IF(DSDV!W871&lt;&gt;"",DSDV!W871,"")</f>
        <v/>
      </c>
    </row>
    <row r="867" spans="1:4">
      <c r="A867" t="str">
        <f>IF(DSDV!B872&lt;&gt;"",DSDV!B872,"")</f>
        <v/>
      </c>
      <c r="B867" t="str">
        <f>IF(DSDV!G872&lt;&gt;"",DSDV!G872,"")</f>
        <v/>
      </c>
      <c r="C867" s="237" t="str">
        <f>IF(DSDV!K872&lt;&gt;"",DSDV!K872,"")</f>
        <v/>
      </c>
      <c r="D867" s="417" t="str">
        <f>IF(DSDV!W872&lt;&gt;"",DSDV!W872,"")</f>
        <v/>
      </c>
    </row>
    <row r="868" spans="1:4">
      <c r="A868" t="str">
        <f>IF(DSDV!B873&lt;&gt;"",DSDV!B873,"")</f>
        <v/>
      </c>
      <c r="B868" t="str">
        <f>IF(DSDV!G873&lt;&gt;"",DSDV!G873,"")</f>
        <v/>
      </c>
      <c r="C868" s="237" t="str">
        <f>IF(DSDV!K873&lt;&gt;"",DSDV!K873,"")</f>
        <v/>
      </c>
      <c r="D868" s="417" t="str">
        <f>IF(DSDV!W873&lt;&gt;"",DSDV!W873,"")</f>
        <v/>
      </c>
    </row>
    <row r="869" spans="1:4">
      <c r="A869" t="str">
        <f>IF(DSDV!B874&lt;&gt;"",DSDV!B874,"")</f>
        <v/>
      </c>
      <c r="B869" t="str">
        <f>IF(DSDV!G874&lt;&gt;"",DSDV!G874,"")</f>
        <v/>
      </c>
      <c r="C869" s="237" t="str">
        <f>IF(DSDV!K874&lt;&gt;"",DSDV!K874,"")</f>
        <v/>
      </c>
      <c r="D869" s="417" t="str">
        <f>IF(DSDV!W874&lt;&gt;"",DSDV!W874,"")</f>
        <v/>
      </c>
    </row>
    <row r="870" spans="1:4">
      <c r="A870" t="str">
        <f>IF(DSDV!B875&lt;&gt;"",DSDV!B875,"")</f>
        <v/>
      </c>
      <c r="B870" t="str">
        <f>IF(DSDV!G875&lt;&gt;"",DSDV!G875,"")</f>
        <v/>
      </c>
      <c r="C870" s="237" t="str">
        <f>IF(DSDV!K875&lt;&gt;"",DSDV!K875,"")</f>
        <v/>
      </c>
      <c r="D870" s="417" t="str">
        <f>IF(DSDV!W875&lt;&gt;"",DSDV!W875,"")</f>
        <v/>
      </c>
    </row>
    <row r="871" spans="1:4">
      <c r="A871" t="str">
        <f>IF(DSDV!B876&lt;&gt;"",DSDV!B876,"")</f>
        <v/>
      </c>
      <c r="B871" t="str">
        <f>IF(DSDV!G876&lt;&gt;"",DSDV!G876,"")</f>
        <v/>
      </c>
      <c r="C871" s="237" t="str">
        <f>IF(DSDV!K876&lt;&gt;"",DSDV!K876,"")</f>
        <v/>
      </c>
      <c r="D871" s="417" t="str">
        <f>IF(DSDV!W876&lt;&gt;"",DSDV!W876,"")</f>
        <v/>
      </c>
    </row>
    <row r="872" spans="1:4">
      <c r="A872" t="str">
        <f>IF(DSDV!B877&lt;&gt;"",DSDV!B877,"")</f>
        <v/>
      </c>
      <c r="B872" t="str">
        <f>IF(DSDV!G877&lt;&gt;"",DSDV!G877,"")</f>
        <v/>
      </c>
      <c r="C872" s="237" t="str">
        <f>IF(DSDV!K877&lt;&gt;"",DSDV!K877,"")</f>
        <v/>
      </c>
      <c r="D872" s="417" t="str">
        <f>IF(DSDV!W877&lt;&gt;"",DSDV!W877,"")</f>
        <v/>
      </c>
    </row>
    <row r="873" spans="1:4">
      <c r="A873" t="str">
        <f>IF(DSDV!B878&lt;&gt;"",DSDV!B878,"")</f>
        <v/>
      </c>
      <c r="B873" t="str">
        <f>IF(DSDV!G878&lt;&gt;"",DSDV!G878,"")</f>
        <v/>
      </c>
      <c r="C873" s="237" t="str">
        <f>IF(DSDV!K878&lt;&gt;"",DSDV!K878,"")</f>
        <v/>
      </c>
      <c r="D873" s="417" t="str">
        <f>IF(DSDV!W878&lt;&gt;"",DSDV!W878,"")</f>
        <v/>
      </c>
    </row>
    <row r="874" spans="1:4">
      <c r="A874" t="str">
        <f>IF(DSDV!B879&lt;&gt;"",DSDV!B879,"")</f>
        <v/>
      </c>
      <c r="B874" t="str">
        <f>IF(DSDV!G879&lt;&gt;"",DSDV!G879,"")</f>
        <v/>
      </c>
      <c r="C874" s="237" t="str">
        <f>IF(DSDV!K879&lt;&gt;"",DSDV!K879,"")</f>
        <v/>
      </c>
      <c r="D874" s="417" t="str">
        <f>IF(DSDV!W879&lt;&gt;"",DSDV!W879,"")</f>
        <v/>
      </c>
    </row>
    <row r="875" spans="1:4">
      <c r="A875" t="str">
        <f>IF(DSDV!B880&lt;&gt;"",DSDV!B880,"")</f>
        <v/>
      </c>
      <c r="B875" t="str">
        <f>IF(DSDV!G880&lt;&gt;"",DSDV!G880,"")</f>
        <v/>
      </c>
      <c r="C875" s="237" t="str">
        <f>IF(DSDV!K880&lt;&gt;"",DSDV!K880,"")</f>
        <v/>
      </c>
      <c r="D875" s="417" t="str">
        <f>IF(DSDV!W880&lt;&gt;"",DSDV!W880,"")</f>
        <v/>
      </c>
    </row>
    <row r="876" spans="1:4">
      <c r="A876" t="str">
        <f>IF(DSDV!B881&lt;&gt;"",DSDV!B881,"")</f>
        <v/>
      </c>
      <c r="B876" t="str">
        <f>IF(DSDV!G881&lt;&gt;"",DSDV!G881,"")</f>
        <v/>
      </c>
      <c r="C876" s="237" t="str">
        <f>IF(DSDV!K881&lt;&gt;"",DSDV!K881,"")</f>
        <v/>
      </c>
      <c r="D876" s="417" t="str">
        <f>IF(DSDV!W881&lt;&gt;"",DSDV!W881,"")</f>
        <v/>
      </c>
    </row>
    <row r="877" spans="1:4">
      <c r="A877" t="str">
        <f>IF(DSDV!B882&lt;&gt;"",DSDV!B882,"")</f>
        <v/>
      </c>
      <c r="B877" t="str">
        <f>IF(DSDV!G882&lt;&gt;"",DSDV!G882,"")</f>
        <v/>
      </c>
      <c r="C877" s="237" t="str">
        <f>IF(DSDV!K882&lt;&gt;"",DSDV!K882,"")</f>
        <v/>
      </c>
      <c r="D877" s="417" t="str">
        <f>IF(DSDV!W882&lt;&gt;"",DSDV!W882,"")</f>
        <v/>
      </c>
    </row>
    <row r="878" spans="1:4">
      <c r="A878" t="str">
        <f>IF(DSDV!B883&lt;&gt;"",DSDV!B883,"")</f>
        <v/>
      </c>
      <c r="B878" t="str">
        <f>IF(DSDV!G883&lt;&gt;"",DSDV!G883,"")</f>
        <v/>
      </c>
      <c r="C878" s="237" t="str">
        <f>IF(DSDV!K883&lt;&gt;"",DSDV!K883,"")</f>
        <v/>
      </c>
      <c r="D878" s="417" t="str">
        <f>IF(DSDV!W883&lt;&gt;"",DSDV!W883,"")</f>
        <v/>
      </c>
    </row>
    <row r="879" spans="1:4">
      <c r="A879" t="str">
        <f>IF(DSDV!B884&lt;&gt;"",DSDV!B884,"")</f>
        <v/>
      </c>
      <c r="B879" t="str">
        <f>IF(DSDV!G884&lt;&gt;"",DSDV!G884,"")</f>
        <v/>
      </c>
      <c r="C879" s="237" t="str">
        <f>IF(DSDV!K884&lt;&gt;"",DSDV!K884,"")</f>
        <v/>
      </c>
      <c r="D879" s="417" t="str">
        <f>IF(DSDV!W884&lt;&gt;"",DSDV!W884,"")</f>
        <v/>
      </c>
    </row>
    <row r="880" spans="1:4">
      <c r="A880" t="str">
        <f>IF(DSDV!B885&lt;&gt;"",DSDV!B885,"")</f>
        <v/>
      </c>
      <c r="B880" t="str">
        <f>IF(DSDV!G885&lt;&gt;"",DSDV!G885,"")</f>
        <v/>
      </c>
      <c r="C880" s="237" t="str">
        <f>IF(DSDV!K885&lt;&gt;"",DSDV!K885,"")</f>
        <v/>
      </c>
      <c r="D880" s="417" t="str">
        <f>IF(DSDV!W885&lt;&gt;"",DSDV!W885,"")</f>
        <v/>
      </c>
    </row>
    <row r="881" spans="1:4">
      <c r="A881" t="str">
        <f>IF(DSDV!B886&lt;&gt;"",DSDV!B886,"")</f>
        <v/>
      </c>
      <c r="B881" t="str">
        <f>IF(DSDV!G886&lt;&gt;"",DSDV!G886,"")</f>
        <v/>
      </c>
      <c r="C881" s="237" t="str">
        <f>IF(DSDV!K886&lt;&gt;"",DSDV!K886,"")</f>
        <v/>
      </c>
      <c r="D881" s="417" t="str">
        <f>IF(DSDV!W886&lt;&gt;"",DSDV!W886,"")</f>
        <v/>
      </c>
    </row>
    <row r="882" spans="1:4">
      <c r="A882" t="str">
        <f>IF(DSDV!B887&lt;&gt;"",DSDV!B887,"")</f>
        <v/>
      </c>
      <c r="B882" t="str">
        <f>IF(DSDV!G887&lt;&gt;"",DSDV!G887,"")</f>
        <v/>
      </c>
      <c r="C882" s="237" t="str">
        <f>IF(DSDV!K887&lt;&gt;"",DSDV!K887,"")</f>
        <v/>
      </c>
      <c r="D882" s="417" t="str">
        <f>IF(DSDV!W887&lt;&gt;"",DSDV!W887,"")</f>
        <v/>
      </c>
    </row>
    <row r="883" spans="1:4">
      <c r="A883" t="str">
        <f>IF(DSDV!B888&lt;&gt;"",DSDV!B888,"")</f>
        <v/>
      </c>
      <c r="B883" t="str">
        <f>IF(DSDV!G888&lt;&gt;"",DSDV!G888,"")</f>
        <v/>
      </c>
      <c r="C883" s="237" t="str">
        <f>IF(DSDV!K888&lt;&gt;"",DSDV!K888,"")</f>
        <v/>
      </c>
      <c r="D883" s="417" t="str">
        <f>IF(DSDV!W888&lt;&gt;"",DSDV!W888,"")</f>
        <v/>
      </c>
    </row>
    <row r="884" spans="1:4">
      <c r="A884" t="str">
        <f>IF(DSDV!B889&lt;&gt;"",DSDV!B889,"")</f>
        <v/>
      </c>
      <c r="B884" t="str">
        <f>IF(DSDV!G889&lt;&gt;"",DSDV!G889,"")</f>
        <v/>
      </c>
      <c r="C884" s="237" t="str">
        <f>IF(DSDV!K889&lt;&gt;"",DSDV!K889,"")</f>
        <v/>
      </c>
      <c r="D884" s="417" t="str">
        <f>IF(DSDV!W889&lt;&gt;"",DSDV!W889,"")</f>
        <v/>
      </c>
    </row>
    <row r="885" spans="1:4">
      <c r="A885" t="str">
        <f>IF(DSDV!B890&lt;&gt;"",DSDV!B890,"")</f>
        <v/>
      </c>
      <c r="B885" t="str">
        <f>IF(DSDV!G890&lt;&gt;"",DSDV!G890,"")</f>
        <v/>
      </c>
      <c r="C885" s="237" t="str">
        <f>IF(DSDV!K890&lt;&gt;"",DSDV!K890,"")</f>
        <v/>
      </c>
      <c r="D885" s="417" t="str">
        <f>IF(DSDV!W890&lt;&gt;"",DSDV!W890,"")</f>
        <v/>
      </c>
    </row>
    <row r="886" spans="1:4">
      <c r="A886" t="str">
        <f>IF(DSDV!B891&lt;&gt;"",DSDV!B891,"")</f>
        <v/>
      </c>
      <c r="B886" t="str">
        <f>IF(DSDV!G891&lt;&gt;"",DSDV!G891,"")</f>
        <v/>
      </c>
      <c r="C886" s="237" t="str">
        <f>IF(DSDV!K891&lt;&gt;"",DSDV!K891,"")</f>
        <v/>
      </c>
      <c r="D886" s="417" t="str">
        <f>IF(DSDV!W891&lt;&gt;"",DSDV!W891,"")</f>
        <v/>
      </c>
    </row>
    <row r="887" spans="1:4">
      <c r="A887" t="str">
        <f>IF(DSDV!B892&lt;&gt;"",DSDV!B892,"")</f>
        <v/>
      </c>
      <c r="B887" t="str">
        <f>IF(DSDV!G892&lt;&gt;"",DSDV!G892,"")</f>
        <v/>
      </c>
      <c r="C887" s="237" t="str">
        <f>IF(DSDV!K892&lt;&gt;"",DSDV!K892,"")</f>
        <v/>
      </c>
      <c r="D887" s="417" t="str">
        <f>IF(DSDV!W892&lt;&gt;"",DSDV!W892,"")</f>
        <v/>
      </c>
    </row>
    <row r="888" spans="1:4">
      <c r="A888" t="str">
        <f>IF(DSDV!B893&lt;&gt;"",DSDV!B893,"")</f>
        <v/>
      </c>
      <c r="B888" t="str">
        <f>IF(DSDV!G893&lt;&gt;"",DSDV!G893,"")</f>
        <v/>
      </c>
      <c r="C888" s="237" t="str">
        <f>IF(DSDV!K893&lt;&gt;"",DSDV!K893,"")</f>
        <v/>
      </c>
      <c r="D888" s="417" t="str">
        <f>IF(DSDV!W893&lt;&gt;"",DSDV!W893,"")</f>
        <v/>
      </c>
    </row>
    <row r="889" spans="1:4">
      <c r="A889" t="str">
        <f>IF(DSDV!B894&lt;&gt;"",DSDV!B894,"")</f>
        <v/>
      </c>
      <c r="B889" t="str">
        <f>IF(DSDV!G894&lt;&gt;"",DSDV!G894,"")</f>
        <v/>
      </c>
      <c r="C889" s="237" t="str">
        <f>IF(DSDV!K894&lt;&gt;"",DSDV!K894,"")</f>
        <v/>
      </c>
      <c r="D889" s="417" t="str">
        <f>IF(DSDV!W894&lt;&gt;"",DSDV!W894,"")</f>
        <v/>
      </c>
    </row>
    <row r="890" spans="1:4">
      <c r="A890" t="str">
        <f>IF(DSDV!B895&lt;&gt;"",DSDV!B895,"")</f>
        <v/>
      </c>
      <c r="B890" t="str">
        <f>IF(DSDV!G895&lt;&gt;"",DSDV!G895,"")</f>
        <v/>
      </c>
      <c r="C890" s="237" t="str">
        <f>IF(DSDV!K895&lt;&gt;"",DSDV!K895,"")</f>
        <v/>
      </c>
      <c r="D890" s="417" t="str">
        <f>IF(DSDV!W895&lt;&gt;"",DSDV!W895,"")</f>
        <v/>
      </c>
    </row>
    <row r="891" spans="1:4">
      <c r="A891" t="str">
        <f>IF(DSDV!B896&lt;&gt;"",DSDV!B896,"")</f>
        <v/>
      </c>
      <c r="B891" t="str">
        <f>IF(DSDV!G896&lt;&gt;"",DSDV!G896,"")</f>
        <v/>
      </c>
      <c r="C891" s="237" t="str">
        <f>IF(DSDV!K896&lt;&gt;"",DSDV!K896,"")</f>
        <v/>
      </c>
      <c r="D891" s="417" t="str">
        <f>IF(DSDV!W896&lt;&gt;"",DSDV!W896,"")</f>
        <v/>
      </c>
    </row>
    <row r="892" spans="1:4">
      <c r="A892" t="str">
        <f>IF(DSDV!B897&lt;&gt;"",DSDV!B897,"")</f>
        <v/>
      </c>
      <c r="B892" t="str">
        <f>IF(DSDV!G897&lt;&gt;"",DSDV!G897,"")</f>
        <v/>
      </c>
      <c r="C892" s="237" t="str">
        <f>IF(DSDV!K897&lt;&gt;"",DSDV!K897,"")</f>
        <v/>
      </c>
      <c r="D892" s="417" t="str">
        <f>IF(DSDV!W897&lt;&gt;"",DSDV!W897,"")</f>
        <v/>
      </c>
    </row>
    <row r="893" spans="1:4">
      <c r="A893" t="str">
        <f>IF(DSDV!B898&lt;&gt;"",DSDV!B898,"")</f>
        <v/>
      </c>
      <c r="B893" t="str">
        <f>IF(DSDV!G898&lt;&gt;"",DSDV!G898,"")</f>
        <v/>
      </c>
      <c r="C893" s="237" t="str">
        <f>IF(DSDV!K898&lt;&gt;"",DSDV!K898,"")</f>
        <v/>
      </c>
      <c r="D893" s="417" t="str">
        <f>IF(DSDV!W898&lt;&gt;"",DSDV!W898,"")</f>
        <v/>
      </c>
    </row>
    <row r="894" spans="1:4">
      <c r="A894" t="str">
        <f>IF(DSDV!B899&lt;&gt;"",DSDV!B899,"")</f>
        <v/>
      </c>
      <c r="B894" t="str">
        <f>IF(DSDV!G899&lt;&gt;"",DSDV!G899,"")</f>
        <v/>
      </c>
      <c r="C894" s="237" t="str">
        <f>IF(DSDV!K899&lt;&gt;"",DSDV!K899,"")</f>
        <v/>
      </c>
      <c r="D894" s="417" t="str">
        <f>IF(DSDV!W899&lt;&gt;"",DSDV!W899,"")</f>
        <v/>
      </c>
    </row>
    <row r="895" spans="1:4">
      <c r="A895" t="str">
        <f>IF(DSDV!B900&lt;&gt;"",DSDV!B900,"")</f>
        <v/>
      </c>
      <c r="B895" t="str">
        <f>IF(DSDV!G900&lt;&gt;"",DSDV!G900,"")</f>
        <v/>
      </c>
      <c r="C895" s="237" t="str">
        <f>IF(DSDV!K900&lt;&gt;"",DSDV!K900,"")</f>
        <v/>
      </c>
      <c r="D895" s="417" t="str">
        <f>IF(DSDV!W900&lt;&gt;"",DSDV!W900,"")</f>
        <v/>
      </c>
    </row>
    <row r="896" spans="1:4">
      <c r="A896" t="str">
        <f>IF(DSDV!B901&lt;&gt;"",DSDV!B901,"")</f>
        <v/>
      </c>
      <c r="B896" t="str">
        <f>IF(DSDV!G901&lt;&gt;"",DSDV!G901,"")</f>
        <v/>
      </c>
      <c r="C896" s="237" t="str">
        <f>IF(DSDV!K901&lt;&gt;"",DSDV!K901,"")</f>
        <v/>
      </c>
      <c r="D896" s="417" t="str">
        <f>IF(DSDV!W901&lt;&gt;"",DSDV!W901,"")</f>
        <v/>
      </c>
    </row>
    <row r="897" spans="1:4">
      <c r="A897" t="str">
        <f>IF(DSDV!B902&lt;&gt;"",DSDV!B902,"")</f>
        <v/>
      </c>
      <c r="B897" t="str">
        <f>IF(DSDV!G902&lt;&gt;"",DSDV!G902,"")</f>
        <v/>
      </c>
      <c r="C897" s="237" t="str">
        <f>IF(DSDV!K902&lt;&gt;"",DSDV!K902,"")</f>
        <v/>
      </c>
      <c r="D897" s="417" t="str">
        <f>IF(DSDV!W902&lt;&gt;"",DSDV!W902,"")</f>
        <v/>
      </c>
    </row>
    <row r="898" spans="1:4">
      <c r="A898" t="str">
        <f>IF(DSDV!B903&lt;&gt;"",DSDV!B903,"")</f>
        <v/>
      </c>
      <c r="B898" t="str">
        <f>IF(DSDV!G903&lt;&gt;"",DSDV!G903,"")</f>
        <v/>
      </c>
      <c r="C898" s="237" t="str">
        <f>IF(DSDV!K903&lt;&gt;"",DSDV!K903,"")</f>
        <v/>
      </c>
      <c r="D898" s="417" t="str">
        <f>IF(DSDV!W903&lt;&gt;"",DSDV!W903,"")</f>
        <v/>
      </c>
    </row>
    <row r="899" spans="1:4">
      <c r="A899" t="str">
        <f>IF(DSDV!B904&lt;&gt;"",DSDV!B904,"")</f>
        <v/>
      </c>
      <c r="B899" t="str">
        <f>IF(DSDV!G904&lt;&gt;"",DSDV!G904,"")</f>
        <v/>
      </c>
      <c r="C899" s="237" t="str">
        <f>IF(DSDV!K904&lt;&gt;"",DSDV!K904,"")</f>
        <v/>
      </c>
      <c r="D899" s="417" t="str">
        <f>IF(DSDV!W904&lt;&gt;"",DSDV!W904,"")</f>
        <v/>
      </c>
    </row>
    <row r="900" spans="1:4">
      <c r="A900" t="str">
        <f>IF(DSDV!B905&lt;&gt;"",DSDV!B905,"")</f>
        <v/>
      </c>
      <c r="B900" t="str">
        <f>IF(DSDV!G905&lt;&gt;"",DSDV!G905,"")</f>
        <v/>
      </c>
      <c r="C900" s="237" t="str">
        <f>IF(DSDV!K905&lt;&gt;"",DSDV!K905,"")</f>
        <v/>
      </c>
      <c r="D900" s="417" t="str">
        <f>IF(DSDV!W905&lt;&gt;"",DSDV!W905,"")</f>
        <v/>
      </c>
    </row>
    <row r="901" spans="1:4">
      <c r="A901" t="str">
        <f>IF(DSDV!B906&lt;&gt;"",DSDV!B906,"")</f>
        <v/>
      </c>
      <c r="B901" t="str">
        <f>IF(DSDV!G906&lt;&gt;"",DSDV!G906,"")</f>
        <v/>
      </c>
      <c r="C901" s="237" t="str">
        <f>IF(DSDV!K906&lt;&gt;"",DSDV!K906,"")</f>
        <v/>
      </c>
      <c r="D901" s="417" t="str">
        <f>IF(DSDV!W906&lt;&gt;"",DSDV!W906,"")</f>
        <v/>
      </c>
    </row>
    <row r="902" spans="1:4">
      <c r="A902" t="str">
        <f>IF(DSDV!B907&lt;&gt;"",DSDV!B907,"")</f>
        <v/>
      </c>
      <c r="B902" t="str">
        <f>IF(DSDV!G907&lt;&gt;"",DSDV!G907,"")</f>
        <v/>
      </c>
      <c r="C902" s="237" t="str">
        <f>IF(DSDV!K907&lt;&gt;"",DSDV!K907,"")</f>
        <v/>
      </c>
      <c r="D902" s="417" t="str">
        <f>IF(DSDV!W907&lt;&gt;"",DSDV!W907,"")</f>
        <v/>
      </c>
    </row>
    <row r="903" spans="1:4">
      <c r="A903" t="str">
        <f>IF(DSDV!B908&lt;&gt;"",DSDV!B908,"")</f>
        <v/>
      </c>
      <c r="B903" t="str">
        <f>IF(DSDV!G908&lt;&gt;"",DSDV!G908,"")</f>
        <v/>
      </c>
      <c r="C903" s="237" t="str">
        <f>IF(DSDV!K908&lt;&gt;"",DSDV!K908,"")</f>
        <v/>
      </c>
      <c r="D903" s="417" t="str">
        <f>IF(DSDV!W908&lt;&gt;"",DSDV!W908,"")</f>
        <v/>
      </c>
    </row>
    <row r="904" spans="1:4">
      <c r="A904" t="str">
        <f>IF(DSDV!B909&lt;&gt;"",DSDV!B909,"")</f>
        <v/>
      </c>
      <c r="B904" t="str">
        <f>IF(DSDV!G909&lt;&gt;"",DSDV!G909,"")</f>
        <v/>
      </c>
      <c r="C904" s="237" t="str">
        <f>IF(DSDV!K909&lt;&gt;"",DSDV!K909,"")</f>
        <v/>
      </c>
      <c r="D904" s="417" t="str">
        <f>IF(DSDV!W909&lt;&gt;"",DSDV!W909,"")</f>
        <v/>
      </c>
    </row>
    <row r="905" spans="1:4">
      <c r="A905" t="str">
        <f>IF(DSDV!B910&lt;&gt;"",DSDV!B910,"")</f>
        <v/>
      </c>
      <c r="B905" t="str">
        <f>IF(DSDV!G910&lt;&gt;"",DSDV!G910,"")</f>
        <v/>
      </c>
      <c r="C905" s="237" t="str">
        <f>IF(DSDV!K910&lt;&gt;"",DSDV!K910,"")</f>
        <v/>
      </c>
      <c r="D905" s="417" t="str">
        <f>IF(DSDV!W910&lt;&gt;"",DSDV!W910,"")</f>
        <v/>
      </c>
    </row>
    <row r="906" spans="1:4">
      <c r="A906" t="str">
        <f>IF(DSDV!B911&lt;&gt;"",DSDV!B911,"")</f>
        <v/>
      </c>
      <c r="B906" t="str">
        <f>IF(DSDV!G911&lt;&gt;"",DSDV!G911,"")</f>
        <v/>
      </c>
      <c r="C906" s="237" t="str">
        <f>IF(DSDV!K911&lt;&gt;"",DSDV!K911,"")</f>
        <v/>
      </c>
      <c r="D906" s="417" t="str">
        <f>IF(DSDV!W911&lt;&gt;"",DSDV!W911,"")</f>
        <v/>
      </c>
    </row>
    <row r="907" spans="1:4">
      <c r="A907" t="str">
        <f>IF(DSDV!B912&lt;&gt;"",DSDV!B912,"")</f>
        <v/>
      </c>
      <c r="B907" t="str">
        <f>IF(DSDV!G912&lt;&gt;"",DSDV!G912,"")</f>
        <v/>
      </c>
      <c r="C907" s="237" t="str">
        <f>IF(DSDV!K912&lt;&gt;"",DSDV!K912,"")</f>
        <v/>
      </c>
      <c r="D907" s="417" t="str">
        <f>IF(DSDV!W912&lt;&gt;"",DSDV!W912,"")</f>
        <v/>
      </c>
    </row>
    <row r="908" spans="1:4">
      <c r="A908" t="str">
        <f>IF(DSDV!B913&lt;&gt;"",DSDV!B913,"")</f>
        <v/>
      </c>
      <c r="B908" t="str">
        <f>IF(DSDV!G913&lt;&gt;"",DSDV!G913,"")</f>
        <v/>
      </c>
      <c r="C908" s="237" t="str">
        <f>IF(DSDV!K913&lt;&gt;"",DSDV!K913,"")</f>
        <v/>
      </c>
      <c r="D908" s="417" t="str">
        <f>IF(DSDV!W913&lt;&gt;"",DSDV!W913,"")</f>
        <v/>
      </c>
    </row>
    <row r="909" spans="1:4">
      <c r="A909" t="str">
        <f>IF(DSDV!B914&lt;&gt;"",DSDV!B914,"")</f>
        <v/>
      </c>
      <c r="B909" t="str">
        <f>IF(DSDV!G914&lt;&gt;"",DSDV!G914,"")</f>
        <v/>
      </c>
      <c r="C909" s="237" t="str">
        <f>IF(DSDV!K914&lt;&gt;"",DSDV!K914,"")</f>
        <v/>
      </c>
      <c r="D909" s="417" t="str">
        <f>IF(DSDV!W914&lt;&gt;"",DSDV!W914,"")</f>
        <v/>
      </c>
    </row>
    <row r="910" spans="1:4">
      <c r="A910" t="str">
        <f>IF(DSDV!B915&lt;&gt;"",DSDV!B915,"")</f>
        <v/>
      </c>
      <c r="B910" t="str">
        <f>IF(DSDV!G915&lt;&gt;"",DSDV!G915,"")</f>
        <v/>
      </c>
      <c r="C910" s="237" t="str">
        <f>IF(DSDV!K915&lt;&gt;"",DSDV!K915,"")</f>
        <v/>
      </c>
      <c r="D910" s="417" t="str">
        <f>IF(DSDV!W915&lt;&gt;"",DSDV!W915,"")</f>
        <v/>
      </c>
    </row>
    <row r="911" spans="1:4">
      <c r="A911" t="str">
        <f>IF(DSDV!B916&lt;&gt;"",DSDV!B916,"")</f>
        <v/>
      </c>
      <c r="B911" t="str">
        <f>IF(DSDV!G916&lt;&gt;"",DSDV!G916,"")</f>
        <v/>
      </c>
      <c r="C911" s="237" t="str">
        <f>IF(DSDV!K916&lt;&gt;"",DSDV!K916,"")</f>
        <v/>
      </c>
      <c r="D911" s="417" t="str">
        <f>IF(DSDV!W916&lt;&gt;"",DSDV!W916,"")</f>
        <v/>
      </c>
    </row>
    <row r="912" spans="1:4">
      <c r="A912" t="str">
        <f>IF(DSDV!B917&lt;&gt;"",DSDV!B917,"")</f>
        <v/>
      </c>
      <c r="B912" t="str">
        <f>IF(DSDV!G917&lt;&gt;"",DSDV!G917,"")</f>
        <v/>
      </c>
      <c r="C912" s="237" t="str">
        <f>IF(DSDV!K917&lt;&gt;"",DSDV!K917,"")</f>
        <v/>
      </c>
      <c r="D912" s="417" t="str">
        <f>IF(DSDV!W917&lt;&gt;"",DSDV!W917,"")</f>
        <v/>
      </c>
    </row>
    <row r="913" spans="1:4">
      <c r="A913" t="str">
        <f>IF(DSDV!B918&lt;&gt;"",DSDV!B918,"")</f>
        <v/>
      </c>
      <c r="B913" t="str">
        <f>IF(DSDV!G918&lt;&gt;"",DSDV!G918,"")</f>
        <v/>
      </c>
      <c r="C913" s="237" t="str">
        <f>IF(DSDV!K918&lt;&gt;"",DSDV!K918,"")</f>
        <v/>
      </c>
      <c r="D913" s="417" t="str">
        <f>IF(DSDV!W918&lt;&gt;"",DSDV!W918,"")</f>
        <v/>
      </c>
    </row>
    <row r="914" spans="1:4">
      <c r="A914" t="str">
        <f>IF(DSDV!B919&lt;&gt;"",DSDV!B919,"")</f>
        <v/>
      </c>
      <c r="B914" t="str">
        <f>IF(DSDV!G919&lt;&gt;"",DSDV!G919,"")</f>
        <v/>
      </c>
      <c r="C914" s="237" t="str">
        <f>IF(DSDV!K919&lt;&gt;"",DSDV!K919,"")</f>
        <v/>
      </c>
      <c r="D914" s="417" t="str">
        <f>IF(DSDV!W919&lt;&gt;"",DSDV!W919,"")</f>
        <v/>
      </c>
    </row>
    <row r="915" spans="1:4">
      <c r="A915" t="str">
        <f>IF(DSDV!B920&lt;&gt;"",DSDV!B920,"")</f>
        <v/>
      </c>
      <c r="B915" t="str">
        <f>IF(DSDV!G920&lt;&gt;"",DSDV!G920,"")</f>
        <v/>
      </c>
      <c r="C915" s="237" t="str">
        <f>IF(DSDV!K920&lt;&gt;"",DSDV!K920,"")</f>
        <v/>
      </c>
      <c r="D915" s="417" t="str">
        <f>IF(DSDV!W920&lt;&gt;"",DSDV!W920,"")</f>
        <v/>
      </c>
    </row>
    <row r="916" spans="1:4">
      <c r="A916" t="str">
        <f>IF(DSDV!B921&lt;&gt;"",DSDV!B921,"")</f>
        <v/>
      </c>
      <c r="B916" t="str">
        <f>IF(DSDV!G921&lt;&gt;"",DSDV!G921,"")</f>
        <v/>
      </c>
      <c r="C916" s="237" t="str">
        <f>IF(DSDV!K921&lt;&gt;"",DSDV!K921,"")</f>
        <v/>
      </c>
      <c r="D916" s="417" t="str">
        <f>IF(DSDV!W921&lt;&gt;"",DSDV!W921,"")</f>
        <v/>
      </c>
    </row>
    <row r="917" spans="1:4">
      <c r="A917" t="str">
        <f>IF(DSDV!B922&lt;&gt;"",DSDV!B922,"")</f>
        <v/>
      </c>
      <c r="B917" t="str">
        <f>IF(DSDV!G922&lt;&gt;"",DSDV!G922,"")</f>
        <v/>
      </c>
      <c r="C917" s="237" t="str">
        <f>IF(DSDV!K922&lt;&gt;"",DSDV!K922,"")</f>
        <v/>
      </c>
      <c r="D917" s="417" t="str">
        <f>IF(DSDV!W922&lt;&gt;"",DSDV!W922,"")</f>
        <v/>
      </c>
    </row>
    <row r="918" spans="1:4">
      <c r="A918" t="str">
        <f>IF(DSDV!B923&lt;&gt;"",DSDV!B923,"")</f>
        <v/>
      </c>
      <c r="B918" t="str">
        <f>IF(DSDV!G923&lt;&gt;"",DSDV!G923,"")</f>
        <v/>
      </c>
      <c r="C918" s="237" t="str">
        <f>IF(DSDV!K923&lt;&gt;"",DSDV!K923,"")</f>
        <v/>
      </c>
      <c r="D918" s="417" t="str">
        <f>IF(DSDV!W923&lt;&gt;"",DSDV!W923,"")</f>
        <v/>
      </c>
    </row>
    <row r="919" spans="1:4">
      <c r="A919" t="str">
        <f>IF(DSDV!B924&lt;&gt;"",DSDV!B924,"")</f>
        <v/>
      </c>
      <c r="B919" t="str">
        <f>IF(DSDV!G924&lt;&gt;"",DSDV!G924,"")</f>
        <v/>
      </c>
      <c r="C919" s="237" t="str">
        <f>IF(DSDV!K924&lt;&gt;"",DSDV!K924,"")</f>
        <v/>
      </c>
      <c r="D919" s="417" t="str">
        <f>IF(DSDV!W924&lt;&gt;"",DSDV!W924,"")</f>
        <v/>
      </c>
    </row>
    <row r="920" spans="1:4">
      <c r="A920" t="str">
        <f>IF(DSDV!B925&lt;&gt;"",DSDV!B925,"")</f>
        <v/>
      </c>
      <c r="B920" t="str">
        <f>IF(DSDV!G925&lt;&gt;"",DSDV!G925,"")</f>
        <v/>
      </c>
      <c r="C920" s="237" t="str">
        <f>IF(DSDV!K925&lt;&gt;"",DSDV!K925,"")</f>
        <v/>
      </c>
      <c r="D920" s="417" t="str">
        <f>IF(DSDV!W925&lt;&gt;"",DSDV!W925,"")</f>
        <v/>
      </c>
    </row>
    <row r="921" spans="1:4">
      <c r="A921" t="str">
        <f>IF(DSDV!B926&lt;&gt;"",DSDV!B926,"")</f>
        <v/>
      </c>
      <c r="B921" t="str">
        <f>IF(DSDV!G926&lt;&gt;"",DSDV!G926,"")</f>
        <v/>
      </c>
      <c r="C921" s="237" t="str">
        <f>IF(DSDV!K926&lt;&gt;"",DSDV!K926,"")</f>
        <v/>
      </c>
      <c r="D921" s="417" t="str">
        <f>IF(DSDV!W926&lt;&gt;"",DSDV!W926,"")</f>
        <v/>
      </c>
    </row>
    <row r="922" spans="1:4">
      <c r="A922" t="str">
        <f>IF(DSDV!B927&lt;&gt;"",DSDV!B927,"")</f>
        <v/>
      </c>
      <c r="B922" t="str">
        <f>IF(DSDV!G927&lt;&gt;"",DSDV!G927,"")</f>
        <v/>
      </c>
      <c r="C922" s="237" t="str">
        <f>IF(DSDV!K927&lt;&gt;"",DSDV!K927,"")</f>
        <v/>
      </c>
      <c r="D922" s="417" t="str">
        <f>IF(DSDV!W927&lt;&gt;"",DSDV!W927,"")</f>
        <v/>
      </c>
    </row>
    <row r="923" spans="1:4">
      <c r="A923" t="str">
        <f>IF(DSDV!B928&lt;&gt;"",DSDV!B928,"")</f>
        <v/>
      </c>
      <c r="B923" t="str">
        <f>IF(DSDV!G928&lt;&gt;"",DSDV!G928,"")</f>
        <v/>
      </c>
      <c r="C923" s="237" t="str">
        <f>IF(DSDV!K928&lt;&gt;"",DSDV!K928,"")</f>
        <v/>
      </c>
      <c r="D923" s="417" t="str">
        <f>IF(DSDV!W928&lt;&gt;"",DSDV!W928,"")</f>
        <v/>
      </c>
    </row>
    <row r="924" spans="1:4">
      <c r="A924" t="str">
        <f>IF(DSDV!B929&lt;&gt;"",DSDV!B929,"")</f>
        <v/>
      </c>
      <c r="B924" t="str">
        <f>IF(DSDV!G929&lt;&gt;"",DSDV!G929,"")</f>
        <v/>
      </c>
      <c r="C924" s="237" t="str">
        <f>IF(DSDV!K929&lt;&gt;"",DSDV!K929,"")</f>
        <v/>
      </c>
      <c r="D924" s="417" t="str">
        <f>IF(DSDV!W929&lt;&gt;"",DSDV!W929,"")</f>
        <v/>
      </c>
    </row>
    <row r="925" spans="1:4">
      <c r="A925" t="str">
        <f>IF(DSDV!B930&lt;&gt;"",DSDV!B930,"")</f>
        <v/>
      </c>
      <c r="B925" t="str">
        <f>IF(DSDV!G930&lt;&gt;"",DSDV!G930,"")</f>
        <v/>
      </c>
      <c r="C925" s="237" t="str">
        <f>IF(DSDV!K930&lt;&gt;"",DSDV!K930,"")</f>
        <v/>
      </c>
      <c r="D925" s="417" t="str">
        <f>IF(DSDV!W930&lt;&gt;"",DSDV!W930,"")</f>
        <v/>
      </c>
    </row>
    <row r="926" spans="1:4">
      <c r="A926" t="str">
        <f>IF(DSDV!B931&lt;&gt;"",DSDV!B931,"")</f>
        <v/>
      </c>
      <c r="B926" t="str">
        <f>IF(DSDV!G931&lt;&gt;"",DSDV!G931,"")</f>
        <v/>
      </c>
      <c r="C926" s="237" t="str">
        <f>IF(DSDV!K931&lt;&gt;"",DSDV!K931,"")</f>
        <v/>
      </c>
      <c r="D926" s="417" t="str">
        <f>IF(DSDV!W931&lt;&gt;"",DSDV!W931,"")</f>
        <v/>
      </c>
    </row>
    <row r="927" spans="1:4">
      <c r="A927" t="str">
        <f>IF(DSDV!B932&lt;&gt;"",DSDV!B932,"")</f>
        <v/>
      </c>
      <c r="B927" t="str">
        <f>IF(DSDV!G932&lt;&gt;"",DSDV!G932,"")</f>
        <v/>
      </c>
      <c r="C927" s="237" t="str">
        <f>IF(DSDV!K932&lt;&gt;"",DSDV!K932,"")</f>
        <v/>
      </c>
      <c r="D927" s="417" t="str">
        <f>IF(DSDV!W932&lt;&gt;"",DSDV!W932,"")</f>
        <v/>
      </c>
    </row>
    <row r="928" spans="1:4">
      <c r="A928" t="str">
        <f>IF(DSDV!B933&lt;&gt;"",DSDV!B933,"")</f>
        <v/>
      </c>
      <c r="B928" t="str">
        <f>IF(DSDV!G933&lt;&gt;"",DSDV!G933,"")</f>
        <v/>
      </c>
      <c r="C928" s="237" t="str">
        <f>IF(DSDV!K933&lt;&gt;"",DSDV!K933,"")</f>
        <v/>
      </c>
      <c r="D928" s="417" t="str">
        <f>IF(DSDV!W933&lt;&gt;"",DSDV!W933,"")</f>
        <v/>
      </c>
    </row>
    <row r="929" spans="1:4">
      <c r="A929" t="str">
        <f>IF(DSDV!B934&lt;&gt;"",DSDV!B934,"")</f>
        <v/>
      </c>
      <c r="B929" t="str">
        <f>IF(DSDV!G934&lt;&gt;"",DSDV!G934,"")</f>
        <v/>
      </c>
      <c r="C929" s="237" t="str">
        <f>IF(DSDV!K934&lt;&gt;"",DSDV!K934,"")</f>
        <v/>
      </c>
      <c r="D929" s="417" t="str">
        <f>IF(DSDV!W934&lt;&gt;"",DSDV!W934,"")</f>
        <v/>
      </c>
    </row>
    <row r="930" spans="1:4">
      <c r="A930" t="str">
        <f>IF(DSDV!B935&lt;&gt;"",DSDV!B935,"")</f>
        <v/>
      </c>
      <c r="B930" t="str">
        <f>IF(DSDV!G935&lt;&gt;"",DSDV!G935,"")</f>
        <v/>
      </c>
      <c r="C930" s="237" t="str">
        <f>IF(DSDV!K935&lt;&gt;"",DSDV!K935,"")</f>
        <v/>
      </c>
      <c r="D930" s="417" t="str">
        <f>IF(DSDV!W935&lt;&gt;"",DSDV!W935,"")</f>
        <v/>
      </c>
    </row>
    <row r="931" spans="1:4">
      <c r="A931" t="str">
        <f>IF(DSDV!B936&lt;&gt;"",DSDV!B936,"")</f>
        <v/>
      </c>
      <c r="B931" t="str">
        <f>IF(DSDV!G936&lt;&gt;"",DSDV!G936,"")</f>
        <v/>
      </c>
      <c r="C931" s="237" t="str">
        <f>IF(DSDV!K936&lt;&gt;"",DSDV!K936,"")</f>
        <v/>
      </c>
      <c r="D931" s="417" t="str">
        <f>IF(DSDV!W936&lt;&gt;"",DSDV!W936,"")</f>
        <v/>
      </c>
    </row>
    <row r="932" spans="1:4">
      <c r="A932" t="str">
        <f>IF(DSDV!B937&lt;&gt;"",DSDV!B937,"")</f>
        <v/>
      </c>
      <c r="B932" t="str">
        <f>IF(DSDV!G937&lt;&gt;"",DSDV!G937,"")</f>
        <v/>
      </c>
      <c r="C932" s="237" t="str">
        <f>IF(DSDV!K937&lt;&gt;"",DSDV!K937,"")</f>
        <v/>
      </c>
      <c r="D932" s="417" t="str">
        <f>IF(DSDV!W937&lt;&gt;"",DSDV!W937,"")</f>
        <v/>
      </c>
    </row>
    <row r="933" spans="1:4">
      <c r="A933" t="str">
        <f>IF(DSDV!B938&lt;&gt;"",DSDV!B938,"")</f>
        <v/>
      </c>
      <c r="B933" t="str">
        <f>IF(DSDV!G938&lt;&gt;"",DSDV!G938,"")</f>
        <v/>
      </c>
      <c r="C933" s="237" t="str">
        <f>IF(DSDV!K938&lt;&gt;"",DSDV!K938,"")</f>
        <v/>
      </c>
      <c r="D933" s="417" t="str">
        <f>IF(DSDV!W938&lt;&gt;"",DSDV!W938,"")</f>
        <v/>
      </c>
    </row>
    <row r="934" spans="1:4">
      <c r="A934" t="str">
        <f>IF(DSDV!B939&lt;&gt;"",DSDV!B939,"")</f>
        <v/>
      </c>
      <c r="B934" t="str">
        <f>IF(DSDV!G939&lt;&gt;"",DSDV!G939,"")</f>
        <v/>
      </c>
      <c r="C934" s="237" t="str">
        <f>IF(DSDV!K939&lt;&gt;"",DSDV!K939,"")</f>
        <v/>
      </c>
      <c r="D934" s="417" t="str">
        <f>IF(DSDV!W939&lt;&gt;"",DSDV!W939,"")</f>
        <v/>
      </c>
    </row>
    <row r="935" spans="1:4">
      <c r="A935" t="str">
        <f>IF(DSDV!B940&lt;&gt;"",DSDV!B940,"")</f>
        <v/>
      </c>
      <c r="B935" t="str">
        <f>IF(DSDV!G940&lt;&gt;"",DSDV!G940,"")</f>
        <v/>
      </c>
      <c r="C935" s="237" t="str">
        <f>IF(DSDV!K940&lt;&gt;"",DSDV!K940,"")</f>
        <v/>
      </c>
      <c r="D935" s="417" t="str">
        <f>IF(DSDV!W940&lt;&gt;"",DSDV!W940,"")</f>
        <v/>
      </c>
    </row>
    <row r="936" spans="1:4">
      <c r="A936" t="str">
        <f>IF(DSDV!B941&lt;&gt;"",DSDV!B941,"")</f>
        <v/>
      </c>
      <c r="B936" t="str">
        <f>IF(DSDV!G941&lt;&gt;"",DSDV!G941,"")</f>
        <v/>
      </c>
      <c r="C936" s="237" t="str">
        <f>IF(DSDV!K941&lt;&gt;"",DSDV!K941,"")</f>
        <v/>
      </c>
      <c r="D936" s="417" t="str">
        <f>IF(DSDV!W941&lt;&gt;"",DSDV!W941,"")</f>
        <v/>
      </c>
    </row>
    <row r="937" spans="1:4">
      <c r="A937" t="str">
        <f>IF(DSDV!B942&lt;&gt;"",DSDV!B942,"")</f>
        <v/>
      </c>
      <c r="B937" t="str">
        <f>IF(DSDV!G942&lt;&gt;"",DSDV!G942,"")</f>
        <v/>
      </c>
      <c r="C937" s="237" t="str">
        <f>IF(DSDV!K942&lt;&gt;"",DSDV!K942,"")</f>
        <v/>
      </c>
      <c r="D937" s="417" t="str">
        <f>IF(DSDV!W942&lt;&gt;"",DSDV!W942,"")</f>
        <v/>
      </c>
    </row>
    <row r="938" spans="1:4">
      <c r="A938" t="str">
        <f>IF(DSDV!B943&lt;&gt;"",DSDV!B943,"")</f>
        <v/>
      </c>
      <c r="B938" t="str">
        <f>IF(DSDV!G943&lt;&gt;"",DSDV!G943,"")</f>
        <v/>
      </c>
      <c r="C938" s="237" t="str">
        <f>IF(DSDV!K943&lt;&gt;"",DSDV!K943,"")</f>
        <v/>
      </c>
      <c r="D938" s="417" t="str">
        <f>IF(DSDV!W943&lt;&gt;"",DSDV!W943,"")</f>
        <v/>
      </c>
    </row>
    <row r="939" spans="1:4">
      <c r="A939" t="str">
        <f>IF(DSDV!B944&lt;&gt;"",DSDV!B944,"")</f>
        <v/>
      </c>
      <c r="B939" t="str">
        <f>IF(DSDV!G944&lt;&gt;"",DSDV!G944,"")</f>
        <v/>
      </c>
      <c r="C939" s="237" t="str">
        <f>IF(DSDV!K944&lt;&gt;"",DSDV!K944,"")</f>
        <v/>
      </c>
      <c r="D939" s="417" t="str">
        <f>IF(DSDV!W944&lt;&gt;"",DSDV!W944,"")</f>
        <v/>
      </c>
    </row>
    <row r="940" spans="1:4">
      <c r="A940" t="str">
        <f>IF(DSDV!B945&lt;&gt;"",DSDV!B945,"")</f>
        <v/>
      </c>
      <c r="B940" t="str">
        <f>IF(DSDV!G945&lt;&gt;"",DSDV!G945,"")</f>
        <v/>
      </c>
      <c r="C940" s="237" t="str">
        <f>IF(DSDV!K945&lt;&gt;"",DSDV!K945,"")</f>
        <v/>
      </c>
      <c r="D940" s="417" t="str">
        <f>IF(DSDV!W945&lt;&gt;"",DSDV!W945,"")</f>
        <v/>
      </c>
    </row>
    <row r="941" spans="1:4">
      <c r="A941" t="str">
        <f>IF(DSDV!B946&lt;&gt;"",DSDV!B946,"")</f>
        <v/>
      </c>
      <c r="B941" t="str">
        <f>IF(DSDV!G946&lt;&gt;"",DSDV!G946,"")</f>
        <v/>
      </c>
      <c r="C941" s="237" t="str">
        <f>IF(DSDV!K946&lt;&gt;"",DSDV!K946,"")</f>
        <v/>
      </c>
      <c r="D941" s="417" t="str">
        <f>IF(DSDV!W946&lt;&gt;"",DSDV!W946,"")</f>
        <v/>
      </c>
    </row>
    <row r="942" spans="1:4">
      <c r="A942" t="str">
        <f>IF(DSDV!B947&lt;&gt;"",DSDV!B947,"")</f>
        <v/>
      </c>
      <c r="B942" t="str">
        <f>IF(DSDV!G947&lt;&gt;"",DSDV!G947,"")</f>
        <v/>
      </c>
      <c r="C942" s="237" t="str">
        <f>IF(DSDV!K947&lt;&gt;"",DSDV!K947,"")</f>
        <v/>
      </c>
      <c r="D942" s="417" t="str">
        <f>IF(DSDV!W947&lt;&gt;"",DSDV!W947,"")</f>
        <v/>
      </c>
    </row>
    <row r="943" spans="1:4">
      <c r="A943" t="str">
        <f>IF(DSDV!B948&lt;&gt;"",DSDV!B948,"")</f>
        <v/>
      </c>
      <c r="B943" t="str">
        <f>IF(DSDV!G948&lt;&gt;"",DSDV!G948,"")</f>
        <v/>
      </c>
      <c r="C943" s="237" t="str">
        <f>IF(DSDV!K948&lt;&gt;"",DSDV!K948,"")</f>
        <v/>
      </c>
      <c r="D943" s="417" t="str">
        <f>IF(DSDV!W948&lt;&gt;"",DSDV!W948,"")</f>
        <v/>
      </c>
    </row>
    <row r="944" spans="1:4">
      <c r="A944" t="str">
        <f>IF(DSDV!B949&lt;&gt;"",DSDV!B949,"")</f>
        <v/>
      </c>
      <c r="B944" t="str">
        <f>IF(DSDV!G949&lt;&gt;"",DSDV!G949,"")</f>
        <v/>
      </c>
      <c r="C944" s="237" t="str">
        <f>IF(DSDV!K949&lt;&gt;"",DSDV!K949,"")</f>
        <v/>
      </c>
      <c r="D944" s="417" t="str">
        <f>IF(DSDV!W949&lt;&gt;"",DSDV!W949,"")</f>
        <v/>
      </c>
    </row>
    <row r="945" spans="1:4">
      <c r="A945" t="str">
        <f>IF(DSDV!B950&lt;&gt;"",DSDV!B950,"")</f>
        <v/>
      </c>
      <c r="B945" t="str">
        <f>IF(DSDV!G950&lt;&gt;"",DSDV!G950,"")</f>
        <v/>
      </c>
      <c r="C945" s="237" t="str">
        <f>IF(DSDV!K950&lt;&gt;"",DSDV!K950,"")</f>
        <v/>
      </c>
      <c r="D945" s="417" t="str">
        <f>IF(DSDV!W950&lt;&gt;"",DSDV!W950,"")</f>
        <v/>
      </c>
    </row>
    <row r="946" spans="1:4">
      <c r="A946" t="str">
        <f>IF(DSDV!B951&lt;&gt;"",DSDV!B951,"")</f>
        <v/>
      </c>
      <c r="B946" t="str">
        <f>IF(DSDV!G951&lt;&gt;"",DSDV!G951,"")</f>
        <v/>
      </c>
      <c r="C946" s="237" t="str">
        <f>IF(DSDV!K951&lt;&gt;"",DSDV!K951,"")</f>
        <v/>
      </c>
      <c r="D946" s="417" t="str">
        <f>IF(DSDV!W951&lt;&gt;"",DSDV!W951,"")</f>
        <v/>
      </c>
    </row>
    <row r="947" spans="1:4">
      <c r="A947" t="str">
        <f>IF(DSDV!B952&lt;&gt;"",DSDV!B952,"")</f>
        <v/>
      </c>
      <c r="B947" t="str">
        <f>IF(DSDV!G952&lt;&gt;"",DSDV!G952,"")</f>
        <v/>
      </c>
      <c r="C947" s="237" t="str">
        <f>IF(DSDV!K952&lt;&gt;"",DSDV!K952,"")</f>
        <v/>
      </c>
      <c r="D947" s="417" t="str">
        <f>IF(DSDV!W952&lt;&gt;"",DSDV!W952,"")</f>
        <v/>
      </c>
    </row>
    <row r="948" spans="1:4">
      <c r="A948" t="str">
        <f>IF(DSDV!B953&lt;&gt;"",DSDV!B953,"")</f>
        <v/>
      </c>
      <c r="B948" t="str">
        <f>IF(DSDV!G953&lt;&gt;"",DSDV!G953,"")</f>
        <v/>
      </c>
      <c r="C948" s="237" t="str">
        <f>IF(DSDV!K953&lt;&gt;"",DSDV!K953,"")</f>
        <v/>
      </c>
      <c r="D948" s="417" t="str">
        <f>IF(DSDV!W953&lt;&gt;"",DSDV!W953,"")</f>
        <v/>
      </c>
    </row>
    <row r="949" spans="1:4">
      <c r="A949" t="str">
        <f>IF(DSDV!B954&lt;&gt;"",DSDV!B954,"")</f>
        <v/>
      </c>
      <c r="B949" t="str">
        <f>IF(DSDV!G954&lt;&gt;"",DSDV!G954,"")</f>
        <v/>
      </c>
      <c r="C949" s="237" t="str">
        <f>IF(DSDV!K954&lt;&gt;"",DSDV!K954,"")</f>
        <v/>
      </c>
      <c r="D949" s="417" t="str">
        <f>IF(DSDV!W954&lt;&gt;"",DSDV!W954,"")</f>
        <v/>
      </c>
    </row>
    <row r="950" spans="1:4">
      <c r="A950" t="str">
        <f>IF(DSDV!B955&lt;&gt;"",DSDV!B955,"")</f>
        <v/>
      </c>
      <c r="B950" t="str">
        <f>IF(DSDV!G955&lt;&gt;"",DSDV!G955,"")</f>
        <v/>
      </c>
      <c r="C950" s="237" t="str">
        <f>IF(DSDV!K955&lt;&gt;"",DSDV!K955,"")</f>
        <v/>
      </c>
      <c r="D950" s="417" t="str">
        <f>IF(DSDV!W955&lt;&gt;"",DSDV!W955,"")</f>
        <v/>
      </c>
    </row>
    <row r="951" spans="1:4">
      <c r="A951" t="str">
        <f>IF(DSDV!B956&lt;&gt;"",DSDV!B956,"")</f>
        <v/>
      </c>
      <c r="B951" t="str">
        <f>IF(DSDV!G956&lt;&gt;"",DSDV!G956,"")</f>
        <v/>
      </c>
      <c r="C951" s="237" t="str">
        <f>IF(DSDV!K956&lt;&gt;"",DSDV!K956,"")</f>
        <v/>
      </c>
      <c r="D951" s="417" t="str">
        <f>IF(DSDV!W956&lt;&gt;"",DSDV!W956,"")</f>
        <v/>
      </c>
    </row>
    <row r="952" spans="1:4">
      <c r="A952" t="str">
        <f>IF(DSDV!B957&lt;&gt;"",DSDV!B957,"")</f>
        <v/>
      </c>
      <c r="B952" t="str">
        <f>IF(DSDV!G957&lt;&gt;"",DSDV!G957,"")</f>
        <v/>
      </c>
      <c r="C952" s="237" t="str">
        <f>IF(DSDV!K957&lt;&gt;"",DSDV!K957,"")</f>
        <v/>
      </c>
      <c r="D952" s="417" t="str">
        <f>IF(DSDV!W957&lt;&gt;"",DSDV!W957,"")</f>
        <v/>
      </c>
    </row>
    <row r="953" spans="1:4">
      <c r="A953" t="str">
        <f>IF(DSDV!B958&lt;&gt;"",DSDV!B958,"")</f>
        <v/>
      </c>
      <c r="B953" t="str">
        <f>IF(DSDV!G958&lt;&gt;"",DSDV!G958,"")</f>
        <v/>
      </c>
      <c r="C953" s="237" t="str">
        <f>IF(DSDV!K958&lt;&gt;"",DSDV!K958,"")</f>
        <v/>
      </c>
      <c r="D953" s="417" t="str">
        <f>IF(DSDV!W958&lt;&gt;"",DSDV!W958,"")</f>
        <v/>
      </c>
    </row>
    <row r="954" spans="1:4">
      <c r="A954" t="str">
        <f>IF(DSDV!B959&lt;&gt;"",DSDV!B959,"")</f>
        <v/>
      </c>
      <c r="B954" t="str">
        <f>IF(DSDV!G959&lt;&gt;"",DSDV!G959,"")</f>
        <v/>
      </c>
      <c r="C954" s="237" t="str">
        <f>IF(DSDV!K959&lt;&gt;"",DSDV!K959,"")</f>
        <v/>
      </c>
      <c r="D954" s="417" t="str">
        <f>IF(DSDV!W959&lt;&gt;"",DSDV!W959,"")</f>
        <v/>
      </c>
    </row>
    <row r="955" spans="1:4">
      <c r="A955" t="str">
        <f>IF(DSDV!B960&lt;&gt;"",DSDV!B960,"")</f>
        <v/>
      </c>
      <c r="B955" t="str">
        <f>IF(DSDV!G960&lt;&gt;"",DSDV!G960,"")</f>
        <v/>
      </c>
      <c r="C955" s="237" t="str">
        <f>IF(DSDV!K960&lt;&gt;"",DSDV!K960,"")</f>
        <v/>
      </c>
      <c r="D955" s="417" t="str">
        <f>IF(DSDV!W960&lt;&gt;"",DSDV!W960,"")</f>
        <v/>
      </c>
    </row>
    <row r="956" spans="1:4">
      <c r="A956" t="str">
        <f>IF(DSDV!B961&lt;&gt;"",DSDV!B961,"")</f>
        <v/>
      </c>
      <c r="B956" t="str">
        <f>IF(DSDV!G961&lt;&gt;"",DSDV!G961,"")</f>
        <v/>
      </c>
      <c r="C956" s="237" t="str">
        <f>IF(DSDV!K961&lt;&gt;"",DSDV!K961,"")</f>
        <v/>
      </c>
      <c r="D956" s="417" t="str">
        <f>IF(DSDV!W961&lt;&gt;"",DSDV!W961,"")</f>
        <v/>
      </c>
    </row>
    <row r="957" spans="1:4">
      <c r="A957" t="str">
        <f>IF(DSDV!B962&lt;&gt;"",DSDV!B962,"")</f>
        <v/>
      </c>
      <c r="B957" t="str">
        <f>IF(DSDV!G962&lt;&gt;"",DSDV!G962,"")</f>
        <v/>
      </c>
      <c r="C957" s="237" t="str">
        <f>IF(DSDV!K962&lt;&gt;"",DSDV!K962,"")</f>
        <v/>
      </c>
      <c r="D957" s="417" t="str">
        <f>IF(DSDV!W962&lt;&gt;"",DSDV!W962,"")</f>
        <v/>
      </c>
    </row>
    <row r="958" spans="1:4">
      <c r="A958" t="str">
        <f>IF(DSDV!B963&lt;&gt;"",DSDV!B963,"")</f>
        <v/>
      </c>
      <c r="B958" t="str">
        <f>IF(DSDV!G963&lt;&gt;"",DSDV!G963,"")</f>
        <v/>
      </c>
      <c r="C958" s="237" t="str">
        <f>IF(DSDV!K963&lt;&gt;"",DSDV!K963,"")</f>
        <v/>
      </c>
      <c r="D958" s="417" t="str">
        <f>IF(DSDV!W963&lt;&gt;"",DSDV!W963,"")</f>
        <v/>
      </c>
    </row>
    <row r="959" spans="1:4">
      <c r="A959" t="str">
        <f>IF(DSDV!B964&lt;&gt;"",DSDV!B964,"")</f>
        <v/>
      </c>
      <c r="B959" t="str">
        <f>IF(DSDV!G964&lt;&gt;"",DSDV!G964,"")</f>
        <v/>
      </c>
      <c r="C959" s="237" t="str">
        <f>IF(DSDV!K964&lt;&gt;"",DSDV!K964,"")</f>
        <v/>
      </c>
      <c r="D959" s="417" t="str">
        <f>IF(DSDV!W964&lt;&gt;"",DSDV!W964,"")</f>
        <v/>
      </c>
    </row>
    <row r="960" spans="1:4">
      <c r="A960" t="str">
        <f>IF(DSDV!B965&lt;&gt;"",DSDV!B965,"")</f>
        <v/>
      </c>
      <c r="B960" t="str">
        <f>IF(DSDV!G965&lt;&gt;"",DSDV!G965,"")</f>
        <v/>
      </c>
      <c r="C960" s="237" t="str">
        <f>IF(DSDV!K965&lt;&gt;"",DSDV!K965,"")</f>
        <v/>
      </c>
      <c r="D960" s="417" t="str">
        <f>IF(DSDV!W965&lt;&gt;"",DSDV!W965,"")</f>
        <v/>
      </c>
    </row>
    <row r="961" spans="1:4">
      <c r="A961" t="str">
        <f>IF(DSDV!B966&lt;&gt;"",DSDV!B966,"")</f>
        <v/>
      </c>
      <c r="B961" t="str">
        <f>IF(DSDV!G966&lt;&gt;"",DSDV!G966,"")</f>
        <v/>
      </c>
      <c r="C961" s="237" t="str">
        <f>IF(DSDV!K966&lt;&gt;"",DSDV!K966,"")</f>
        <v/>
      </c>
      <c r="D961" s="417" t="str">
        <f>IF(DSDV!W966&lt;&gt;"",DSDV!W966,"")</f>
        <v/>
      </c>
    </row>
    <row r="962" spans="1:4">
      <c r="A962" t="str">
        <f>IF(DSDV!B967&lt;&gt;"",DSDV!B967,"")</f>
        <v/>
      </c>
      <c r="B962" t="str">
        <f>IF(DSDV!G967&lt;&gt;"",DSDV!G967,"")</f>
        <v/>
      </c>
      <c r="C962" s="237" t="str">
        <f>IF(DSDV!K967&lt;&gt;"",DSDV!K967,"")</f>
        <v/>
      </c>
      <c r="D962" s="417" t="str">
        <f>IF(DSDV!W967&lt;&gt;"",DSDV!W967,"")</f>
        <v/>
      </c>
    </row>
    <row r="963" spans="1:4">
      <c r="A963" t="str">
        <f>IF(DSDV!B968&lt;&gt;"",DSDV!B968,"")</f>
        <v/>
      </c>
      <c r="B963" t="str">
        <f>IF(DSDV!G968&lt;&gt;"",DSDV!G968,"")</f>
        <v/>
      </c>
      <c r="C963" s="237" t="str">
        <f>IF(DSDV!K968&lt;&gt;"",DSDV!K968,"")</f>
        <v/>
      </c>
      <c r="D963" s="417" t="str">
        <f>IF(DSDV!W968&lt;&gt;"",DSDV!W968,"")</f>
        <v/>
      </c>
    </row>
    <row r="964" spans="1:4">
      <c r="A964" t="str">
        <f>IF(DSDV!B969&lt;&gt;"",DSDV!B969,"")</f>
        <v/>
      </c>
      <c r="B964" t="str">
        <f>IF(DSDV!G969&lt;&gt;"",DSDV!G969,"")</f>
        <v/>
      </c>
      <c r="C964" s="237" t="str">
        <f>IF(DSDV!K969&lt;&gt;"",DSDV!K969,"")</f>
        <v/>
      </c>
      <c r="D964" s="417" t="str">
        <f>IF(DSDV!W969&lt;&gt;"",DSDV!W969,"")</f>
        <v/>
      </c>
    </row>
    <row r="965" spans="1:4">
      <c r="A965" t="str">
        <f>IF(DSDV!B970&lt;&gt;"",DSDV!B970,"")</f>
        <v/>
      </c>
      <c r="B965" t="str">
        <f>IF(DSDV!G970&lt;&gt;"",DSDV!G970,"")</f>
        <v/>
      </c>
      <c r="C965" s="237" t="str">
        <f>IF(DSDV!K970&lt;&gt;"",DSDV!K970,"")</f>
        <v/>
      </c>
      <c r="D965" s="417" t="str">
        <f>IF(DSDV!W970&lt;&gt;"",DSDV!W970,"")</f>
        <v/>
      </c>
    </row>
    <row r="966" spans="1:4">
      <c r="A966" t="str">
        <f>IF(DSDV!B971&lt;&gt;"",DSDV!B971,"")</f>
        <v/>
      </c>
      <c r="B966" t="str">
        <f>IF(DSDV!G971&lt;&gt;"",DSDV!G971,"")</f>
        <v/>
      </c>
      <c r="C966" s="237" t="str">
        <f>IF(DSDV!K971&lt;&gt;"",DSDV!K971,"")</f>
        <v/>
      </c>
      <c r="D966" s="417" t="str">
        <f>IF(DSDV!W971&lt;&gt;"",DSDV!W971,"")</f>
        <v/>
      </c>
    </row>
    <row r="967" spans="1:4">
      <c r="A967" t="str">
        <f>IF(DSDV!B972&lt;&gt;"",DSDV!B972,"")</f>
        <v/>
      </c>
      <c r="B967" t="str">
        <f>IF(DSDV!G972&lt;&gt;"",DSDV!G972,"")</f>
        <v/>
      </c>
      <c r="C967" s="237" t="str">
        <f>IF(DSDV!K972&lt;&gt;"",DSDV!K972,"")</f>
        <v/>
      </c>
      <c r="D967" s="417" t="str">
        <f>IF(DSDV!W972&lt;&gt;"",DSDV!W972,"")</f>
        <v/>
      </c>
    </row>
    <row r="968" spans="1:4">
      <c r="A968" t="str">
        <f>IF(DSDV!B973&lt;&gt;"",DSDV!B973,"")</f>
        <v/>
      </c>
      <c r="B968" t="str">
        <f>IF(DSDV!G973&lt;&gt;"",DSDV!G973,"")</f>
        <v/>
      </c>
      <c r="C968" s="237" t="str">
        <f>IF(DSDV!K973&lt;&gt;"",DSDV!K973,"")</f>
        <v/>
      </c>
      <c r="D968" s="417" t="str">
        <f>IF(DSDV!W973&lt;&gt;"",DSDV!W973,"")</f>
        <v/>
      </c>
    </row>
    <row r="969" spans="1:4">
      <c r="A969" t="str">
        <f>IF(DSDV!B974&lt;&gt;"",DSDV!B974,"")</f>
        <v/>
      </c>
      <c r="B969" t="str">
        <f>IF(DSDV!G974&lt;&gt;"",DSDV!G974,"")</f>
        <v/>
      </c>
      <c r="C969" s="237" t="str">
        <f>IF(DSDV!K974&lt;&gt;"",DSDV!K974,"")</f>
        <v/>
      </c>
      <c r="D969" s="417" t="str">
        <f>IF(DSDV!W974&lt;&gt;"",DSDV!W974,"")</f>
        <v/>
      </c>
    </row>
    <row r="970" spans="1:4">
      <c r="A970" t="str">
        <f>IF(DSDV!B975&lt;&gt;"",DSDV!B975,"")</f>
        <v/>
      </c>
      <c r="B970" t="str">
        <f>IF(DSDV!G975&lt;&gt;"",DSDV!G975,"")</f>
        <v/>
      </c>
      <c r="C970" s="237" t="str">
        <f>IF(DSDV!K975&lt;&gt;"",DSDV!K975,"")</f>
        <v/>
      </c>
      <c r="D970" s="417" t="str">
        <f>IF(DSDV!W975&lt;&gt;"",DSDV!W975,"")</f>
        <v/>
      </c>
    </row>
    <row r="971" spans="1:4">
      <c r="A971" t="str">
        <f>IF(DSDV!B976&lt;&gt;"",DSDV!B976,"")</f>
        <v/>
      </c>
      <c r="B971" t="str">
        <f>IF(DSDV!G976&lt;&gt;"",DSDV!G976,"")</f>
        <v/>
      </c>
      <c r="C971" s="237" t="str">
        <f>IF(DSDV!K976&lt;&gt;"",DSDV!K976,"")</f>
        <v/>
      </c>
      <c r="D971" s="417" t="str">
        <f>IF(DSDV!W976&lt;&gt;"",DSDV!W976,"")</f>
        <v/>
      </c>
    </row>
    <row r="972" spans="1:4">
      <c r="A972" t="str">
        <f>IF(DSDV!B977&lt;&gt;"",DSDV!B977,"")</f>
        <v/>
      </c>
      <c r="B972" t="str">
        <f>IF(DSDV!G977&lt;&gt;"",DSDV!G977,"")</f>
        <v/>
      </c>
      <c r="C972" s="237" t="str">
        <f>IF(DSDV!K977&lt;&gt;"",DSDV!K977,"")</f>
        <v/>
      </c>
      <c r="D972" s="417" t="str">
        <f>IF(DSDV!W977&lt;&gt;"",DSDV!W977,"")</f>
        <v/>
      </c>
    </row>
    <row r="973" spans="1:4">
      <c r="A973" t="str">
        <f>IF(DSDV!B978&lt;&gt;"",DSDV!B978,"")</f>
        <v/>
      </c>
      <c r="B973" t="str">
        <f>IF(DSDV!G978&lt;&gt;"",DSDV!G978,"")</f>
        <v/>
      </c>
      <c r="C973" s="237" t="str">
        <f>IF(DSDV!K978&lt;&gt;"",DSDV!K978,"")</f>
        <v/>
      </c>
      <c r="D973" s="417" t="str">
        <f>IF(DSDV!W978&lt;&gt;"",DSDV!W978,"")</f>
        <v/>
      </c>
    </row>
    <row r="974" spans="1:4">
      <c r="A974" t="str">
        <f>IF(DSDV!B979&lt;&gt;"",DSDV!B979,"")</f>
        <v/>
      </c>
      <c r="B974" t="str">
        <f>IF(DSDV!G979&lt;&gt;"",DSDV!G979,"")</f>
        <v/>
      </c>
      <c r="C974" s="237" t="str">
        <f>IF(DSDV!K979&lt;&gt;"",DSDV!K979,"")</f>
        <v/>
      </c>
      <c r="D974" s="417" t="str">
        <f>IF(DSDV!W979&lt;&gt;"",DSDV!W979,"")</f>
        <v/>
      </c>
    </row>
    <row r="975" spans="1:4">
      <c r="A975" t="str">
        <f>IF(DSDV!B980&lt;&gt;"",DSDV!B980,"")</f>
        <v/>
      </c>
      <c r="B975" t="str">
        <f>IF(DSDV!G980&lt;&gt;"",DSDV!G980,"")</f>
        <v/>
      </c>
      <c r="C975" s="237" t="str">
        <f>IF(DSDV!K980&lt;&gt;"",DSDV!K980,"")</f>
        <v/>
      </c>
      <c r="D975" s="417" t="str">
        <f>IF(DSDV!W980&lt;&gt;"",DSDV!W980,"")</f>
        <v/>
      </c>
    </row>
    <row r="976" spans="1:4">
      <c r="A976" t="str">
        <f>IF(DSDV!B981&lt;&gt;"",DSDV!B981,"")</f>
        <v/>
      </c>
      <c r="B976" t="str">
        <f>IF(DSDV!G981&lt;&gt;"",DSDV!G981,"")</f>
        <v/>
      </c>
      <c r="C976" s="237" t="str">
        <f>IF(DSDV!K981&lt;&gt;"",DSDV!K981,"")</f>
        <v/>
      </c>
      <c r="D976" s="417" t="str">
        <f>IF(DSDV!W981&lt;&gt;"",DSDV!W981,"")</f>
        <v/>
      </c>
    </row>
    <row r="977" spans="1:4">
      <c r="A977" t="str">
        <f>IF(DSDV!B982&lt;&gt;"",DSDV!B982,"")</f>
        <v/>
      </c>
      <c r="B977" t="str">
        <f>IF(DSDV!G982&lt;&gt;"",DSDV!G982,"")</f>
        <v/>
      </c>
      <c r="C977" s="237" t="str">
        <f>IF(DSDV!K982&lt;&gt;"",DSDV!K982,"")</f>
        <v/>
      </c>
      <c r="D977" s="417" t="str">
        <f>IF(DSDV!W982&lt;&gt;"",DSDV!W982,"")</f>
        <v/>
      </c>
    </row>
    <row r="978" spans="1:4">
      <c r="A978" t="str">
        <f>IF(DSDV!B983&lt;&gt;"",DSDV!B983,"")</f>
        <v/>
      </c>
      <c r="B978" t="str">
        <f>IF(DSDV!G983&lt;&gt;"",DSDV!G983,"")</f>
        <v/>
      </c>
      <c r="C978" s="237" t="str">
        <f>IF(DSDV!K983&lt;&gt;"",DSDV!K983,"")</f>
        <v/>
      </c>
      <c r="D978" s="417" t="str">
        <f>IF(DSDV!W983&lt;&gt;"",DSDV!W983,"")</f>
        <v/>
      </c>
    </row>
    <row r="979" spans="1:4">
      <c r="A979" t="str">
        <f>IF(DSDV!B984&lt;&gt;"",DSDV!B984,"")</f>
        <v/>
      </c>
      <c r="B979" t="str">
        <f>IF(DSDV!G984&lt;&gt;"",DSDV!G984,"")</f>
        <v/>
      </c>
      <c r="C979" s="237" t="str">
        <f>IF(DSDV!K984&lt;&gt;"",DSDV!K984,"")</f>
        <v/>
      </c>
      <c r="D979" s="417" t="str">
        <f>IF(DSDV!W984&lt;&gt;"",DSDV!W984,"")</f>
        <v/>
      </c>
    </row>
    <row r="980" spans="1:4">
      <c r="A980" t="str">
        <f>IF(DSDV!B985&lt;&gt;"",DSDV!B985,"")</f>
        <v/>
      </c>
      <c r="B980" t="str">
        <f>IF(DSDV!G985&lt;&gt;"",DSDV!G985,"")</f>
        <v/>
      </c>
      <c r="C980" s="237" t="str">
        <f>IF(DSDV!K985&lt;&gt;"",DSDV!K985,"")</f>
        <v/>
      </c>
      <c r="D980" s="417" t="str">
        <f>IF(DSDV!W985&lt;&gt;"",DSDV!W985,"")</f>
        <v/>
      </c>
    </row>
    <row r="981" spans="1:4">
      <c r="A981" t="str">
        <f>IF(DSDV!B986&lt;&gt;"",DSDV!B986,"")</f>
        <v/>
      </c>
      <c r="B981" t="str">
        <f>IF(DSDV!G986&lt;&gt;"",DSDV!G986,"")</f>
        <v/>
      </c>
      <c r="C981" s="237" t="str">
        <f>IF(DSDV!K986&lt;&gt;"",DSDV!K986,"")</f>
        <v/>
      </c>
      <c r="D981" s="417" t="str">
        <f>IF(DSDV!W986&lt;&gt;"",DSDV!W986,"")</f>
        <v/>
      </c>
    </row>
    <row r="982" spans="1:4">
      <c r="A982" t="str">
        <f>IF(DSDV!B987&lt;&gt;"",DSDV!B987,"")</f>
        <v/>
      </c>
      <c r="B982" t="str">
        <f>IF(DSDV!G987&lt;&gt;"",DSDV!G987,"")</f>
        <v/>
      </c>
      <c r="C982" s="237" t="str">
        <f>IF(DSDV!K987&lt;&gt;"",DSDV!K987,"")</f>
        <v/>
      </c>
      <c r="D982" s="417" t="str">
        <f>IF(DSDV!W987&lt;&gt;"",DSDV!W987,"")</f>
        <v/>
      </c>
    </row>
    <row r="983" spans="1:4">
      <c r="A983" t="str">
        <f>IF(DSDV!B988&lt;&gt;"",DSDV!B988,"")</f>
        <v/>
      </c>
      <c r="B983" t="str">
        <f>IF(DSDV!G988&lt;&gt;"",DSDV!G988,"")</f>
        <v/>
      </c>
      <c r="C983" s="237" t="str">
        <f>IF(DSDV!K988&lt;&gt;"",DSDV!K988,"")</f>
        <v/>
      </c>
      <c r="D983" s="417" t="str">
        <f>IF(DSDV!W988&lt;&gt;"",DSDV!W988,"")</f>
        <v/>
      </c>
    </row>
    <row r="984" spans="1:4">
      <c r="A984" t="str">
        <f>IF(DSDV!B989&lt;&gt;"",DSDV!B989,"")</f>
        <v/>
      </c>
      <c r="B984" t="str">
        <f>IF(DSDV!G989&lt;&gt;"",DSDV!G989,"")</f>
        <v/>
      </c>
      <c r="C984" s="237" t="str">
        <f>IF(DSDV!K989&lt;&gt;"",DSDV!K989,"")</f>
        <v/>
      </c>
      <c r="D984" s="417" t="str">
        <f>IF(DSDV!W989&lt;&gt;"",DSDV!W989,"")</f>
        <v/>
      </c>
    </row>
    <row r="985" spans="1:4">
      <c r="A985" t="str">
        <f>IF(DSDV!B990&lt;&gt;"",DSDV!B990,"")</f>
        <v/>
      </c>
      <c r="B985" t="str">
        <f>IF(DSDV!G990&lt;&gt;"",DSDV!G990,"")</f>
        <v/>
      </c>
      <c r="C985" s="237" t="str">
        <f>IF(DSDV!K990&lt;&gt;"",DSDV!K990,"")</f>
        <v/>
      </c>
      <c r="D985" s="417" t="str">
        <f>IF(DSDV!W990&lt;&gt;"",DSDV!W990,"")</f>
        <v/>
      </c>
    </row>
    <row r="986" spans="1:4">
      <c r="A986" t="str">
        <f>IF(DSDV!B991&lt;&gt;"",DSDV!B991,"")</f>
        <v/>
      </c>
      <c r="B986" t="str">
        <f>IF(DSDV!G991&lt;&gt;"",DSDV!G991,"")</f>
        <v/>
      </c>
      <c r="C986" s="237" t="str">
        <f>IF(DSDV!K991&lt;&gt;"",DSDV!K991,"")</f>
        <v/>
      </c>
      <c r="D986" s="417" t="str">
        <f>IF(DSDV!W991&lt;&gt;"",DSDV!W991,"")</f>
        <v/>
      </c>
    </row>
    <row r="987" spans="1:4">
      <c r="A987" t="str">
        <f>IF(DSDV!B992&lt;&gt;"",DSDV!B992,"")</f>
        <v/>
      </c>
      <c r="B987" t="str">
        <f>IF(DSDV!G992&lt;&gt;"",DSDV!G992,"")</f>
        <v/>
      </c>
      <c r="C987" s="237" t="str">
        <f>IF(DSDV!K992&lt;&gt;"",DSDV!K992,"")</f>
        <v/>
      </c>
      <c r="D987" s="417" t="str">
        <f>IF(DSDV!W992&lt;&gt;"",DSDV!W992,"")</f>
        <v/>
      </c>
    </row>
    <row r="988" spans="1:4">
      <c r="A988" t="str">
        <f>IF(DSDV!B993&lt;&gt;"",DSDV!B993,"")</f>
        <v/>
      </c>
      <c r="B988" t="str">
        <f>IF(DSDV!G993&lt;&gt;"",DSDV!G993,"")</f>
        <v/>
      </c>
      <c r="C988" s="237" t="str">
        <f>IF(DSDV!K993&lt;&gt;"",DSDV!K993,"")</f>
        <v/>
      </c>
      <c r="D988" s="417" t="str">
        <f>IF(DSDV!W993&lt;&gt;"",DSDV!W993,"")</f>
        <v/>
      </c>
    </row>
    <row r="989" spans="1:4">
      <c r="A989" t="str">
        <f>IF(DSDV!B994&lt;&gt;"",DSDV!B994,"")</f>
        <v/>
      </c>
      <c r="B989" t="str">
        <f>IF(DSDV!G994&lt;&gt;"",DSDV!G994,"")</f>
        <v/>
      </c>
      <c r="C989" s="237" t="str">
        <f>IF(DSDV!K994&lt;&gt;"",DSDV!K994,"")</f>
        <v/>
      </c>
      <c r="D989" s="417" t="str">
        <f>IF(DSDV!W994&lt;&gt;"",DSDV!W994,"")</f>
        <v/>
      </c>
    </row>
    <row r="990" spans="1:4">
      <c r="A990" t="str">
        <f>IF(DSDV!B995&lt;&gt;"",DSDV!B995,"")</f>
        <v/>
      </c>
      <c r="B990" t="str">
        <f>IF(DSDV!G995&lt;&gt;"",DSDV!G995,"")</f>
        <v/>
      </c>
      <c r="C990" s="237" t="str">
        <f>IF(DSDV!K995&lt;&gt;"",DSDV!K995,"")</f>
        <v/>
      </c>
      <c r="D990" s="417" t="str">
        <f>IF(DSDV!W995&lt;&gt;"",DSDV!W995,"")</f>
        <v/>
      </c>
    </row>
    <row r="991" spans="1:4">
      <c r="A991" t="str">
        <f>IF(DSDV!B996&lt;&gt;"",DSDV!B996,"")</f>
        <v/>
      </c>
      <c r="B991" t="str">
        <f>IF(DSDV!G996&lt;&gt;"",DSDV!G996,"")</f>
        <v/>
      </c>
      <c r="C991" s="237" t="str">
        <f>IF(DSDV!K996&lt;&gt;"",DSDV!K996,"")</f>
        <v/>
      </c>
      <c r="D991" s="417" t="str">
        <f>IF(DSDV!W996&lt;&gt;"",DSDV!W996,"")</f>
        <v/>
      </c>
    </row>
    <row r="992" spans="1:4">
      <c r="A992" t="str">
        <f>IF(DSDV!B997&lt;&gt;"",DSDV!B997,"")</f>
        <v/>
      </c>
      <c r="B992" t="str">
        <f>IF(DSDV!G997&lt;&gt;"",DSDV!G997,"")</f>
        <v/>
      </c>
      <c r="C992" s="237" t="str">
        <f>IF(DSDV!K997&lt;&gt;"",DSDV!K997,"")</f>
        <v/>
      </c>
      <c r="D992" s="417" t="str">
        <f>IF(DSDV!W997&lt;&gt;"",DSDV!W997,"")</f>
        <v/>
      </c>
    </row>
    <row r="993" spans="1:4">
      <c r="A993" t="str">
        <f>IF(DSDV!B998&lt;&gt;"",DSDV!B998,"")</f>
        <v/>
      </c>
      <c r="B993" t="str">
        <f>IF(DSDV!G998&lt;&gt;"",DSDV!G998,"")</f>
        <v/>
      </c>
      <c r="C993" s="237" t="str">
        <f>IF(DSDV!K998&lt;&gt;"",DSDV!K998,"")</f>
        <v/>
      </c>
      <c r="D993" s="417" t="str">
        <f>IF(DSDV!W998&lt;&gt;"",DSDV!W998,"")</f>
        <v/>
      </c>
    </row>
    <row r="994" spans="1:4">
      <c r="A994" t="str">
        <f>IF(DSDV!B999&lt;&gt;"",DSDV!B999,"")</f>
        <v/>
      </c>
      <c r="B994" t="str">
        <f>IF(DSDV!G999&lt;&gt;"",DSDV!G999,"")</f>
        <v/>
      </c>
      <c r="C994" s="237" t="str">
        <f>IF(DSDV!K999&lt;&gt;"",DSDV!K999,"")</f>
        <v/>
      </c>
      <c r="D994" s="417" t="str">
        <f>IF(DSDV!W999&lt;&gt;"",DSDV!W999,"")</f>
        <v/>
      </c>
    </row>
    <row r="995" spans="1:4">
      <c r="A995" t="str">
        <f>IF(DSDV!B1000&lt;&gt;"",DSDV!B1000,"")</f>
        <v/>
      </c>
      <c r="B995" t="str">
        <f>IF(DSDV!G1000&lt;&gt;"",DSDV!G1000,"")</f>
        <v/>
      </c>
      <c r="C995" s="237" t="str">
        <f>IF(DSDV!K1000&lt;&gt;"",DSDV!K1000,"")</f>
        <v/>
      </c>
      <c r="D995" s="417" t="str">
        <f>IF(DSDV!W1000&lt;&gt;"",DSDV!W1000,"")</f>
        <v/>
      </c>
    </row>
    <row r="996" spans="1:4">
      <c r="A996" t="str">
        <f>IF(DSDV!B1001&lt;&gt;"",DSDV!B1001,"")</f>
        <v/>
      </c>
      <c r="B996" t="str">
        <f>IF(DSDV!G1001&lt;&gt;"",DSDV!G1001,"")</f>
        <v/>
      </c>
      <c r="C996" s="237" t="str">
        <f>IF(DSDV!K1001&lt;&gt;"",DSDV!K1001,"")</f>
        <v/>
      </c>
      <c r="D996" s="417" t="str">
        <f>IF(DSDV!W1001&lt;&gt;"",DSDV!W1001,"")</f>
        <v/>
      </c>
    </row>
    <row r="997" spans="1:4">
      <c r="A997" t="str">
        <f>IF(DSDV!B1002&lt;&gt;"",DSDV!B1002,"")</f>
        <v/>
      </c>
      <c r="B997" t="str">
        <f>IF(DSDV!G1002&lt;&gt;"",DSDV!G1002,"")</f>
        <v/>
      </c>
      <c r="C997" s="237" t="str">
        <f>IF(DSDV!K1002&lt;&gt;"",DSDV!K1002,"")</f>
        <v/>
      </c>
      <c r="D997" s="417" t="str">
        <f>IF(DSDV!W1002&lt;&gt;"",DSDV!W1002,"")</f>
        <v/>
      </c>
    </row>
    <row r="998" spans="1:4">
      <c r="A998" t="str">
        <f>IF(DSDV!B1003&lt;&gt;"",DSDV!B1003,"")</f>
        <v/>
      </c>
      <c r="B998" t="str">
        <f>IF(DSDV!G1003&lt;&gt;"",DSDV!G1003,"")</f>
        <v/>
      </c>
      <c r="C998" s="237" t="str">
        <f>IF(DSDV!K1003&lt;&gt;"",DSDV!K1003,"")</f>
        <v/>
      </c>
      <c r="D998" s="417" t="str">
        <f>IF(DSDV!W1003&lt;&gt;"",DSDV!W1003,"")</f>
        <v/>
      </c>
    </row>
    <row r="999" spans="1:4">
      <c r="A999" t="str">
        <f>IF(DSDV!B1004&lt;&gt;"",DSDV!B1004,"")</f>
        <v/>
      </c>
      <c r="B999" t="str">
        <f>IF(DSDV!G1004&lt;&gt;"",DSDV!G1004,"")</f>
        <v/>
      </c>
      <c r="C999" s="237" t="str">
        <f>IF(DSDV!K1004&lt;&gt;"",DSDV!K1004,"")</f>
        <v/>
      </c>
      <c r="D999" s="417" t="str">
        <f>IF(DSDV!W1004&lt;&gt;"",DSDV!W1004,"")</f>
        <v/>
      </c>
    </row>
    <row r="1000" spans="1:4">
      <c r="A1000" t="str">
        <f>IF(DSDV!B1005&lt;&gt;"",DSDV!B1005,"")</f>
        <v/>
      </c>
      <c r="B1000" t="str">
        <f>IF(DSDV!G1005&lt;&gt;"",DSDV!G1005,"")</f>
        <v/>
      </c>
      <c r="C1000" s="237" t="str">
        <f>IF(DSDV!K1005&lt;&gt;"",DSDV!K1005,"")</f>
        <v/>
      </c>
      <c r="D1000" s="417" t="str">
        <f>IF(DSDV!W1005&lt;&gt;"",DSDV!W1005,"")</f>
        <v/>
      </c>
    </row>
    <row r="1001" spans="1:4">
      <c r="A1001" t="str">
        <f>IF(DSDV!B1006&lt;&gt;"",DSDV!B1006,"")</f>
        <v/>
      </c>
      <c r="B1001" t="str">
        <f>IF(DSDV!G1006&lt;&gt;"",DSDV!G1006,"")</f>
        <v/>
      </c>
      <c r="C1001" s="237" t="str">
        <f>IF(DSDV!K1006&lt;&gt;"",DSDV!K1006,"")</f>
        <v/>
      </c>
      <c r="D1001" s="417" t="str">
        <f>IF(DSDV!W1006&lt;&gt;"",DSDV!W1006,"")</f>
        <v/>
      </c>
    </row>
    <row r="1002" spans="1:4">
      <c r="A1002" t="str">
        <f>IF(DSDV!B1007&lt;&gt;"",DSDV!B1007,"")</f>
        <v/>
      </c>
      <c r="B1002" t="str">
        <f>IF(DSDV!G1007&lt;&gt;"",DSDV!G1007,"")</f>
        <v/>
      </c>
      <c r="C1002" s="237" t="str">
        <f>IF(DSDV!K1007&lt;&gt;"",DSDV!K1007,"")</f>
        <v/>
      </c>
      <c r="D1002" s="417" t="str">
        <f>IF(DSDV!W1007&lt;&gt;"",DSDV!W1007,"")</f>
        <v/>
      </c>
    </row>
    <row r="1003" spans="1:4">
      <c r="A1003" t="str">
        <f>IF(DSDV!B1008&lt;&gt;"",DSDV!B1008,"")</f>
        <v/>
      </c>
      <c r="B1003" t="str">
        <f>IF(DSDV!G1008&lt;&gt;"",DSDV!G1008,"")</f>
        <v/>
      </c>
      <c r="C1003" s="237" t="str">
        <f>IF(DSDV!K1008&lt;&gt;"",DSDV!K1008,"")</f>
        <v/>
      </c>
      <c r="D1003" s="417" t="str">
        <f>IF(DSDV!W1008&lt;&gt;"",DSDV!W1008,"")</f>
        <v/>
      </c>
    </row>
    <row r="1004" spans="1:4">
      <c r="A1004" t="str">
        <f>IF(DSDV!B1009&lt;&gt;"",DSDV!B1009,"")</f>
        <v/>
      </c>
      <c r="B1004" t="str">
        <f>IF(DSDV!G1009&lt;&gt;"",DSDV!G1009,"")</f>
        <v/>
      </c>
      <c r="C1004" s="237" t="str">
        <f>IF(DSDV!K1009&lt;&gt;"",DSDV!K1009,"")</f>
        <v/>
      </c>
      <c r="D1004" s="417" t="str">
        <f>IF(DSDV!W1009&lt;&gt;"",DSDV!W1009,"")</f>
        <v/>
      </c>
    </row>
    <row r="1005" spans="1:4">
      <c r="A1005" t="str">
        <f>IF(DSDV!B1010&lt;&gt;"",DSDV!B1010,"")</f>
        <v/>
      </c>
      <c r="B1005" t="str">
        <f>IF(DSDV!G1010&lt;&gt;"",DSDV!G1010,"")</f>
        <v/>
      </c>
      <c r="C1005" s="237" t="str">
        <f>IF(DSDV!K1010&lt;&gt;"",DSDV!K1010,"")</f>
        <v/>
      </c>
      <c r="D1005" s="417" t="str">
        <f>IF(DSDV!W1010&lt;&gt;"",DSDV!W1010,"")</f>
        <v/>
      </c>
    </row>
    <row r="1006" spans="1:4">
      <c r="A1006" t="str">
        <f>IF(DSDV!B1011&lt;&gt;"",DSDV!B1011,"")</f>
        <v/>
      </c>
      <c r="B1006" t="str">
        <f>IF(DSDV!G1011&lt;&gt;"",DSDV!G1011,"")</f>
        <v/>
      </c>
      <c r="C1006" s="237" t="str">
        <f>IF(DSDV!K1011&lt;&gt;"",DSDV!K1011,"")</f>
        <v/>
      </c>
      <c r="D1006" s="417" t="str">
        <f>IF(DSDV!W1011&lt;&gt;"",DSDV!W1011,"")</f>
        <v/>
      </c>
    </row>
    <row r="1007" spans="1:4">
      <c r="A1007" t="str">
        <f>IF(DSDV!B1012&lt;&gt;"",DSDV!B1012,"")</f>
        <v/>
      </c>
      <c r="B1007" t="str">
        <f>IF(DSDV!G1012&lt;&gt;"",DSDV!G1012,"")</f>
        <v/>
      </c>
      <c r="C1007" s="237" t="str">
        <f>IF(DSDV!K1012&lt;&gt;"",DSDV!K1012,"")</f>
        <v/>
      </c>
      <c r="D1007" s="417" t="str">
        <f>IF(DSDV!W1012&lt;&gt;"",DSDV!W1012,"")</f>
        <v/>
      </c>
    </row>
    <row r="1008" spans="1:4">
      <c r="A1008" t="str">
        <f>IF(DSDV!B1013&lt;&gt;"",DSDV!B1013,"")</f>
        <v/>
      </c>
      <c r="B1008" t="str">
        <f>IF(DSDV!G1013&lt;&gt;"",DSDV!G1013,"")</f>
        <v/>
      </c>
      <c r="C1008" s="237" t="str">
        <f>IF(DSDV!K1013&lt;&gt;"",DSDV!K1013,"")</f>
        <v/>
      </c>
      <c r="D1008" s="417" t="str">
        <f>IF(DSDV!W1013&lt;&gt;"",DSDV!W1013,"")</f>
        <v/>
      </c>
    </row>
    <row r="1009" spans="1:4">
      <c r="A1009" t="str">
        <f>IF(DSDV!B1014&lt;&gt;"",DSDV!B1014,"")</f>
        <v/>
      </c>
      <c r="B1009" t="str">
        <f>IF(DSDV!G1014&lt;&gt;"",DSDV!G1014,"")</f>
        <v/>
      </c>
      <c r="C1009" s="237" t="str">
        <f>IF(DSDV!K1014&lt;&gt;"",DSDV!K1014,"")</f>
        <v/>
      </c>
      <c r="D1009" s="417" t="str">
        <f>IF(DSDV!W1014&lt;&gt;"",DSDV!W1014,"")</f>
        <v/>
      </c>
    </row>
    <row r="1010" spans="1:4">
      <c r="A1010" t="str">
        <f>IF(DSDV!B1015&lt;&gt;"",DSDV!B1015,"")</f>
        <v/>
      </c>
      <c r="B1010" t="str">
        <f>IF(DSDV!G1015&lt;&gt;"",DSDV!G1015,"")</f>
        <v/>
      </c>
      <c r="C1010" s="237" t="str">
        <f>IF(DSDV!K1015&lt;&gt;"",DSDV!K1015,"")</f>
        <v/>
      </c>
      <c r="D1010" s="417" t="str">
        <f>IF(DSDV!W1015&lt;&gt;"",DSDV!W1015,"")</f>
        <v/>
      </c>
    </row>
    <row r="1011" spans="1:4">
      <c r="A1011" t="str">
        <f>IF(DSDV!B1016&lt;&gt;"",DSDV!B1016,"")</f>
        <v/>
      </c>
      <c r="B1011" t="str">
        <f>IF(DSDV!G1016&lt;&gt;"",DSDV!G1016,"")</f>
        <v/>
      </c>
      <c r="C1011" s="237" t="str">
        <f>IF(DSDV!K1016&lt;&gt;"",DSDV!K1016,"")</f>
        <v/>
      </c>
      <c r="D1011" s="417" t="str">
        <f>IF(DSDV!W1016&lt;&gt;"",DSDV!W1016,"")</f>
        <v/>
      </c>
    </row>
    <row r="1012" spans="1:4">
      <c r="A1012" t="str">
        <f>IF(DSDV!B1017&lt;&gt;"",DSDV!B1017,"")</f>
        <v/>
      </c>
      <c r="B1012" t="str">
        <f>IF(DSDV!G1017&lt;&gt;"",DSDV!G1017,"")</f>
        <v/>
      </c>
      <c r="C1012" s="237" t="str">
        <f>IF(DSDV!K1017&lt;&gt;"",DSDV!K1017,"")</f>
        <v/>
      </c>
      <c r="D1012" s="417" t="str">
        <f>IF(DSDV!W1017&lt;&gt;"",DSDV!W1017,"")</f>
        <v/>
      </c>
    </row>
    <row r="1013" spans="1:4">
      <c r="A1013" t="str">
        <f>IF(DSDV!B1018&lt;&gt;"",DSDV!B1018,"")</f>
        <v/>
      </c>
      <c r="B1013" t="str">
        <f>IF(DSDV!G1018&lt;&gt;"",DSDV!G1018,"")</f>
        <v/>
      </c>
      <c r="C1013" s="237" t="str">
        <f>IF(DSDV!K1018&lt;&gt;"",DSDV!K1018,"")</f>
        <v/>
      </c>
      <c r="D1013" s="417" t="str">
        <f>IF(DSDV!W1018&lt;&gt;"",DSDV!W1018,"")</f>
        <v/>
      </c>
    </row>
    <row r="1014" spans="1:4">
      <c r="A1014" t="str">
        <f>IF(DSDV!B1019&lt;&gt;"",DSDV!B1019,"")</f>
        <v/>
      </c>
      <c r="B1014" t="str">
        <f>IF(DSDV!G1019&lt;&gt;"",DSDV!G1019,"")</f>
        <v/>
      </c>
      <c r="C1014" s="237" t="str">
        <f>IF(DSDV!K1019&lt;&gt;"",DSDV!K1019,"")</f>
        <v/>
      </c>
      <c r="D1014" s="417" t="str">
        <f>IF(DSDV!W1019&lt;&gt;"",DSDV!W1019,"")</f>
        <v/>
      </c>
    </row>
    <row r="1015" spans="1:4">
      <c r="A1015" t="str">
        <f>IF(DSDV!B1020&lt;&gt;"",DSDV!B1020,"")</f>
        <v/>
      </c>
      <c r="B1015" t="str">
        <f>IF(DSDV!G1020&lt;&gt;"",DSDV!G1020,"")</f>
        <v/>
      </c>
      <c r="C1015" s="237" t="str">
        <f>IF(DSDV!K1020&lt;&gt;"",DSDV!K1020,"")</f>
        <v/>
      </c>
      <c r="D1015" s="417" t="str">
        <f>IF(DSDV!W1020&lt;&gt;"",DSDV!W1020,"")</f>
        <v/>
      </c>
    </row>
    <row r="1016" spans="1:4">
      <c r="A1016" t="str">
        <f>IF(DSDV!B1021&lt;&gt;"",DSDV!B1021,"")</f>
        <v/>
      </c>
      <c r="B1016" t="str">
        <f>IF(DSDV!G1021&lt;&gt;"",DSDV!G1021,"")</f>
        <v/>
      </c>
      <c r="C1016" s="237" t="str">
        <f>IF(DSDV!K1021&lt;&gt;"",DSDV!K1021,"")</f>
        <v/>
      </c>
      <c r="D1016" s="417" t="str">
        <f>IF(DSDV!W1021&lt;&gt;"",DSDV!W1021,"")</f>
        <v/>
      </c>
    </row>
    <row r="1017" spans="1:4">
      <c r="A1017" t="str">
        <f>IF(DSDV!B1022&lt;&gt;"",DSDV!B1022,"")</f>
        <v/>
      </c>
      <c r="B1017" t="str">
        <f>IF(DSDV!G1022&lt;&gt;"",DSDV!G1022,"")</f>
        <v/>
      </c>
      <c r="C1017" s="237" t="str">
        <f>IF(DSDV!K1022&lt;&gt;"",DSDV!K1022,"")</f>
        <v/>
      </c>
      <c r="D1017" s="417" t="str">
        <f>IF(DSDV!W1022&lt;&gt;"",DSDV!W1022,"")</f>
        <v/>
      </c>
    </row>
    <row r="1018" spans="1:4">
      <c r="A1018" t="str">
        <f>IF(DSDV!B1023&lt;&gt;"",DSDV!B1023,"")</f>
        <v/>
      </c>
      <c r="B1018" t="str">
        <f>IF(DSDV!G1023&lt;&gt;"",DSDV!G1023,"")</f>
        <v/>
      </c>
      <c r="C1018" s="237" t="str">
        <f>IF(DSDV!K1023&lt;&gt;"",DSDV!K1023,"")</f>
        <v/>
      </c>
      <c r="D1018" s="417" t="str">
        <f>IF(DSDV!W1023&lt;&gt;"",DSDV!W1023,"")</f>
        <v/>
      </c>
    </row>
    <row r="1019" spans="1:4">
      <c r="A1019" t="str">
        <f>IF(DSDV!B1024&lt;&gt;"",DSDV!B1024,"")</f>
        <v/>
      </c>
      <c r="B1019" t="str">
        <f>IF(DSDV!G1024&lt;&gt;"",DSDV!G1024,"")</f>
        <v/>
      </c>
      <c r="C1019" s="237" t="str">
        <f>IF(DSDV!K1024&lt;&gt;"",DSDV!K1024,"")</f>
        <v/>
      </c>
      <c r="D1019" s="417" t="str">
        <f>IF(DSDV!W1024&lt;&gt;"",DSDV!W1024,"")</f>
        <v/>
      </c>
    </row>
    <row r="1020" spans="1:4">
      <c r="A1020" t="str">
        <f>IF(DSDV!B1025&lt;&gt;"",DSDV!B1025,"")</f>
        <v/>
      </c>
      <c r="B1020" t="str">
        <f>IF(DSDV!G1025&lt;&gt;"",DSDV!G1025,"")</f>
        <v/>
      </c>
      <c r="C1020" s="237" t="str">
        <f>IF(DSDV!K1025&lt;&gt;"",DSDV!K1025,"")</f>
        <v/>
      </c>
      <c r="D1020" s="417" t="str">
        <f>IF(DSDV!W1025&lt;&gt;"",DSDV!W1025,"")</f>
        <v/>
      </c>
    </row>
    <row r="1021" spans="1:4">
      <c r="A1021" t="str">
        <f>IF(DSDV!B1026&lt;&gt;"",DSDV!B1026,"")</f>
        <v/>
      </c>
      <c r="B1021" t="str">
        <f>IF(DSDV!G1026&lt;&gt;"",DSDV!G1026,"")</f>
        <v/>
      </c>
      <c r="C1021" s="237" t="str">
        <f>IF(DSDV!K1026&lt;&gt;"",DSDV!K1026,"")</f>
        <v/>
      </c>
      <c r="D1021" s="417" t="str">
        <f>IF(DSDV!W1026&lt;&gt;"",DSDV!W1026,"")</f>
        <v/>
      </c>
    </row>
    <row r="1022" spans="1:4">
      <c r="A1022" t="str">
        <f>IF(DSDV!B1027&lt;&gt;"",DSDV!B1027,"")</f>
        <v/>
      </c>
      <c r="B1022" t="str">
        <f>IF(DSDV!G1027&lt;&gt;"",DSDV!G1027,"")</f>
        <v/>
      </c>
      <c r="C1022" s="237" t="str">
        <f>IF(DSDV!K1027&lt;&gt;"",DSDV!K1027,"")</f>
        <v/>
      </c>
      <c r="D1022" s="417" t="str">
        <f>IF(DSDV!W1027&lt;&gt;"",DSDV!W1027,"")</f>
        <v/>
      </c>
    </row>
    <row r="1023" spans="1:4">
      <c r="A1023" t="str">
        <f>IF(DSDV!B1028&lt;&gt;"",DSDV!B1028,"")</f>
        <v/>
      </c>
      <c r="B1023" t="str">
        <f>IF(DSDV!G1028&lt;&gt;"",DSDV!G1028,"")</f>
        <v/>
      </c>
      <c r="C1023" s="237" t="str">
        <f>IF(DSDV!K1028&lt;&gt;"",DSDV!K1028,"")</f>
        <v/>
      </c>
      <c r="D1023" s="417" t="str">
        <f>IF(DSDV!W1028&lt;&gt;"",DSDV!W1028,"")</f>
        <v/>
      </c>
    </row>
    <row r="1024" spans="1:4">
      <c r="A1024" t="str">
        <f>IF(DSDV!B1029&lt;&gt;"",DSDV!B1029,"")</f>
        <v/>
      </c>
      <c r="B1024" t="str">
        <f>IF(DSDV!G1029&lt;&gt;"",DSDV!G1029,"")</f>
        <v/>
      </c>
      <c r="C1024" s="237" t="str">
        <f>IF(DSDV!K1029&lt;&gt;"",DSDV!K1029,"")</f>
        <v/>
      </c>
      <c r="D1024" s="417" t="str">
        <f>IF(DSDV!W1029&lt;&gt;"",DSDV!W1029,"")</f>
        <v/>
      </c>
    </row>
    <row r="1025" spans="1:4">
      <c r="A1025" t="str">
        <f>IF(DSDV!B1030&lt;&gt;"",DSDV!B1030,"")</f>
        <v/>
      </c>
      <c r="B1025" t="str">
        <f>IF(DSDV!G1030&lt;&gt;"",DSDV!G1030,"")</f>
        <v/>
      </c>
      <c r="C1025" s="237" t="str">
        <f>IF(DSDV!K1030&lt;&gt;"",DSDV!K1030,"")</f>
        <v/>
      </c>
      <c r="D1025" s="417" t="str">
        <f>IF(DSDV!W1030&lt;&gt;"",DSDV!W1030,"")</f>
        <v/>
      </c>
    </row>
    <row r="1026" spans="1:4">
      <c r="A1026" t="str">
        <f>IF(DSDV!B1031&lt;&gt;"",DSDV!B1031,"")</f>
        <v/>
      </c>
      <c r="B1026" t="str">
        <f>IF(DSDV!G1031&lt;&gt;"",DSDV!G1031,"")</f>
        <v/>
      </c>
      <c r="C1026" s="237" t="str">
        <f>IF(DSDV!K1031&lt;&gt;"",DSDV!K1031,"")</f>
        <v/>
      </c>
      <c r="D1026" s="417" t="str">
        <f>IF(DSDV!W1031&lt;&gt;"",DSDV!W1031,"")</f>
        <v/>
      </c>
    </row>
    <row r="1027" spans="1:4">
      <c r="A1027" t="str">
        <f>IF(DSDV!B1032&lt;&gt;"",DSDV!B1032,"")</f>
        <v/>
      </c>
      <c r="B1027" t="str">
        <f>IF(DSDV!G1032&lt;&gt;"",DSDV!G1032,"")</f>
        <v/>
      </c>
      <c r="C1027" s="237" t="str">
        <f>IF(DSDV!K1032&lt;&gt;"",DSDV!K1032,"")</f>
        <v/>
      </c>
      <c r="D1027" s="417" t="str">
        <f>IF(DSDV!W1032&lt;&gt;"",DSDV!W1032,"")</f>
        <v/>
      </c>
    </row>
    <row r="1028" spans="1:4">
      <c r="A1028" t="str">
        <f>IF(DSDV!B1033&lt;&gt;"",DSDV!B1033,"")</f>
        <v/>
      </c>
      <c r="B1028" t="str">
        <f>IF(DSDV!G1033&lt;&gt;"",DSDV!G1033,"")</f>
        <v/>
      </c>
      <c r="C1028" s="237" t="str">
        <f>IF(DSDV!K1033&lt;&gt;"",DSDV!K1033,"")</f>
        <v/>
      </c>
      <c r="D1028" s="417" t="str">
        <f>IF(DSDV!W1033&lt;&gt;"",DSDV!W1033,"")</f>
        <v/>
      </c>
    </row>
    <row r="1029" spans="1:4">
      <c r="A1029" t="str">
        <f>IF(DSDV!B1034&lt;&gt;"",DSDV!B1034,"")</f>
        <v/>
      </c>
      <c r="B1029" t="str">
        <f>IF(DSDV!G1034&lt;&gt;"",DSDV!G1034,"")</f>
        <v/>
      </c>
      <c r="C1029" s="237" t="str">
        <f>IF(DSDV!K1034&lt;&gt;"",DSDV!K1034,"")</f>
        <v/>
      </c>
      <c r="D1029" s="417" t="str">
        <f>IF(DSDV!W1034&lt;&gt;"",DSDV!W1034,"")</f>
        <v/>
      </c>
    </row>
    <row r="1030" spans="1:4">
      <c r="A1030" t="str">
        <f>IF(DSDV!B1035&lt;&gt;"",DSDV!B1035,"")</f>
        <v/>
      </c>
      <c r="B1030" t="str">
        <f>IF(DSDV!G1035&lt;&gt;"",DSDV!G1035,"")</f>
        <v/>
      </c>
      <c r="C1030" s="237" t="str">
        <f>IF(DSDV!K1035&lt;&gt;"",DSDV!K1035,"")</f>
        <v/>
      </c>
      <c r="D1030" s="417" t="str">
        <f>IF(DSDV!W1035&lt;&gt;"",DSDV!W1035,"")</f>
        <v/>
      </c>
    </row>
    <row r="1031" spans="1:4">
      <c r="A1031" t="str">
        <f>IF(DSDV!B1036&lt;&gt;"",DSDV!B1036,"")</f>
        <v/>
      </c>
      <c r="B1031" t="str">
        <f>IF(DSDV!G1036&lt;&gt;"",DSDV!G1036,"")</f>
        <v/>
      </c>
      <c r="C1031" s="237" t="str">
        <f>IF(DSDV!K1036&lt;&gt;"",DSDV!K1036,"")</f>
        <v/>
      </c>
      <c r="D1031" s="417" t="str">
        <f>IF(DSDV!W1036&lt;&gt;"",DSDV!W1036,"")</f>
        <v/>
      </c>
    </row>
    <row r="1032" spans="1:4">
      <c r="A1032" t="str">
        <f>IF(DSDV!B1037&lt;&gt;"",DSDV!B1037,"")</f>
        <v/>
      </c>
      <c r="B1032" t="str">
        <f>IF(DSDV!G1037&lt;&gt;"",DSDV!G1037,"")</f>
        <v/>
      </c>
      <c r="C1032" s="237" t="str">
        <f>IF(DSDV!K1037&lt;&gt;"",DSDV!K1037,"")</f>
        <v/>
      </c>
      <c r="D1032" s="417" t="str">
        <f>IF(DSDV!W1037&lt;&gt;"",DSDV!W1037,"")</f>
        <v/>
      </c>
    </row>
    <row r="1033" spans="1:4">
      <c r="A1033" t="str">
        <f>IF(DSDV!B1038&lt;&gt;"",DSDV!B1038,"")</f>
        <v/>
      </c>
      <c r="B1033" t="str">
        <f>IF(DSDV!G1038&lt;&gt;"",DSDV!G1038,"")</f>
        <v/>
      </c>
      <c r="C1033" s="237" t="str">
        <f>IF(DSDV!K1038&lt;&gt;"",DSDV!K1038,"")</f>
        <v/>
      </c>
      <c r="D1033" s="417" t="str">
        <f>IF(DSDV!W1038&lt;&gt;"",DSDV!W1038,"")</f>
        <v/>
      </c>
    </row>
    <row r="1034" spans="1:4">
      <c r="A1034" t="str">
        <f>IF(DSDV!B1039&lt;&gt;"",DSDV!B1039,"")</f>
        <v/>
      </c>
      <c r="B1034" t="str">
        <f>IF(DSDV!G1039&lt;&gt;"",DSDV!G1039,"")</f>
        <v/>
      </c>
      <c r="C1034" s="237" t="str">
        <f>IF(DSDV!K1039&lt;&gt;"",DSDV!K1039,"")</f>
        <v/>
      </c>
      <c r="D1034" s="417" t="str">
        <f>IF(DSDV!W1039&lt;&gt;"",DSDV!W1039,"")</f>
        <v/>
      </c>
    </row>
    <row r="1035" spans="1:4">
      <c r="A1035" t="str">
        <f>IF(DSDV!B1040&lt;&gt;"",DSDV!B1040,"")</f>
        <v/>
      </c>
      <c r="B1035" t="str">
        <f>IF(DSDV!G1040&lt;&gt;"",DSDV!G1040,"")</f>
        <v/>
      </c>
      <c r="C1035" s="237" t="str">
        <f>IF(DSDV!K1040&lt;&gt;"",DSDV!K1040,"")</f>
        <v/>
      </c>
      <c r="D1035" s="417" t="str">
        <f>IF(DSDV!W1040&lt;&gt;"",DSDV!W1040,"")</f>
        <v/>
      </c>
    </row>
    <row r="1036" spans="1:4">
      <c r="A1036" t="str">
        <f>IF(DSDV!B1041&lt;&gt;"",DSDV!B1041,"")</f>
        <v/>
      </c>
      <c r="B1036" t="str">
        <f>IF(DSDV!G1041&lt;&gt;"",DSDV!G1041,"")</f>
        <v/>
      </c>
      <c r="C1036" s="237" t="str">
        <f>IF(DSDV!K1041&lt;&gt;"",DSDV!K1041,"")</f>
        <v/>
      </c>
      <c r="D1036" s="417" t="str">
        <f>IF(DSDV!W1041&lt;&gt;"",DSDV!W1041,"")</f>
        <v/>
      </c>
    </row>
    <row r="1037" spans="1:4">
      <c r="A1037" t="str">
        <f>IF(DSDV!B1042&lt;&gt;"",DSDV!B1042,"")</f>
        <v/>
      </c>
      <c r="B1037" t="str">
        <f>IF(DSDV!G1042&lt;&gt;"",DSDV!G1042,"")</f>
        <v/>
      </c>
      <c r="C1037" s="237" t="str">
        <f>IF(DSDV!K1042&lt;&gt;"",DSDV!K1042,"")</f>
        <v/>
      </c>
      <c r="D1037" s="417" t="str">
        <f>IF(DSDV!W1042&lt;&gt;"",DSDV!W1042,"")</f>
        <v/>
      </c>
    </row>
    <row r="1038" spans="1:4">
      <c r="A1038" t="str">
        <f>IF(DSDV!B1043&lt;&gt;"",DSDV!B1043,"")</f>
        <v/>
      </c>
      <c r="B1038" t="str">
        <f>IF(DSDV!G1043&lt;&gt;"",DSDV!G1043,"")</f>
        <v/>
      </c>
      <c r="C1038" s="237" t="str">
        <f>IF(DSDV!K1043&lt;&gt;"",DSDV!K1043,"")</f>
        <v/>
      </c>
      <c r="D1038" s="417" t="str">
        <f>IF(DSDV!W1043&lt;&gt;"",DSDV!W1043,"")</f>
        <v/>
      </c>
    </row>
    <row r="1039" spans="1:4">
      <c r="A1039" t="str">
        <f>IF(DSDV!B1044&lt;&gt;"",DSDV!B1044,"")</f>
        <v/>
      </c>
      <c r="B1039" t="str">
        <f>IF(DSDV!G1044&lt;&gt;"",DSDV!G1044,"")</f>
        <v/>
      </c>
      <c r="C1039" s="237" t="str">
        <f>IF(DSDV!K1044&lt;&gt;"",DSDV!K1044,"")</f>
        <v/>
      </c>
      <c r="D1039" s="417" t="str">
        <f>IF(DSDV!W1044&lt;&gt;"",DSDV!W1044,"")</f>
        <v/>
      </c>
    </row>
    <row r="1040" spans="1:4">
      <c r="A1040" t="str">
        <f>IF(DSDV!B1045&lt;&gt;"",DSDV!B1045,"")</f>
        <v/>
      </c>
      <c r="B1040" t="str">
        <f>IF(DSDV!G1045&lt;&gt;"",DSDV!G1045,"")</f>
        <v/>
      </c>
      <c r="C1040" s="237" t="str">
        <f>IF(DSDV!K1045&lt;&gt;"",DSDV!K1045,"")</f>
        <v/>
      </c>
      <c r="D1040" s="417" t="str">
        <f>IF(DSDV!W1045&lt;&gt;"",DSDV!W1045,"")</f>
        <v/>
      </c>
    </row>
    <row r="1041" spans="1:4">
      <c r="A1041" t="str">
        <f>IF(DSDV!B1046&lt;&gt;"",DSDV!B1046,"")</f>
        <v/>
      </c>
      <c r="B1041" t="str">
        <f>IF(DSDV!G1046&lt;&gt;"",DSDV!G1046,"")</f>
        <v/>
      </c>
      <c r="C1041" s="237" t="str">
        <f>IF(DSDV!K1046&lt;&gt;"",DSDV!K1046,"")</f>
        <v/>
      </c>
      <c r="D1041" s="417" t="str">
        <f>IF(DSDV!W1046&lt;&gt;"",DSDV!W1046,"")</f>
        <v/>
      </c>
    </row>
    <row r="1042" spans="1:4">
      <c r="A1042" t="str">
        <f>IF(DSDV!B1047&lt;&gt;"",DSDV!B1047,"")</f>
        <v/>
      </c>
      <c r="B1042" t="str">
        <f>IF(DSDV!G1047&lt;&gt;"",DSDV!G1047,"")</f>
        <v/>
      </c>
      <c r="C1042" s="237" t="str">
        <f>IF(DSDV!K1047&lt;&gt;"",DSDV!K1047,"")</f>
        <v/>
      </c>
      <c r="D1042" s="417" t="str">
        <f>IF(DSDV!W1047&lt;&gt;"",DSDV!W1047,"")</f>
        <v/>
      </c>
    </row>
    <row r="1043" spans="1:4">
      <c r="A1043" t="str">
        <f>IF(DSDV!B1048&lt;&gt;"",DSDV!B1048,"")</f>
        <v/>
      </c>
      <c r="B1043" t="str">
        <f>IF(DSDV!G1048&lt;&gt;"",DSDV!G1048,"")</f>
        <v/>
      </c>
      <c r="C1043" s="237" t="str">
        <f>IF(DSDV!K1048&lt;&gt;"",DSDV!K1048,"")</f>
        <v/>
      </c>
      <c r="D1043" s="417" t="str">
        <f>IF(DSDV!W1048&lt;&gt;"",DSDV!W1048,"")</f>
        <v/>
      </c>
    </row>
    <row r="1044" spans="1:4">
      <c r="A1044" t="str">
        <f>IF(DSDV!B1049&lt;&gt;"",DSDV!B1049,"")</f>
        <v/>
      </c>
      <c r="B1044" t="str">
        <f>IF(DSDV!G1049&lt;&gt;"",DSDV!G1049,"")</f>
        <v/>
      </c>
      <c r="C1044" s="237" t="str">
        <f>IF(DSDV!K1049&lt;&gt;"",DSDV!K1049,"")</f>
        <v/>
      </c>
      <c r="D1044" s="417" t="str">
        <f>IF(DSDV!W1049&lt;&gt;"",DSDV!W1049,"")</f>
        <v/>
      </c>
    </row>
    <row r="1045" spans="1:4">
      <c r="A1045" t="str">
        <f>IF(DSDV!B1050&lt;&gt;"",DSDV!B1050,"")</f>
        <v/>
      </c>
      <c r="B1045" t="str">
        <f>IF(DSDV!G1050&lt;&gt;"",DSDV!G1050,"")</f>
        <v/>
      </c>
      <c r="C1045" s="237" t="str">
        <f>IF(DSDV!K1050&lt;&gt;"",DSDV!K1050,"")</f>
        <v/>
      </c>
      <c r="D1045" s="417" t="str">
        <f>IF(DSDV!W1050&lt;&gt;"",DSDV!W1050,"")</f>
        <v/>
      </c>
    </row>
    <row r="1046" spans="1:4">
      <c r="A1046" t="str">
        <f>IF(DSDV!B1051&lt;&gt;"",DSDV!B1051,"")</f>
        <v/>
      </c>
      <c r="B1046" t="str">
        <f>IF(DSDV!G1051&lt;&gt;"",DSDV!G1051,"")</f>
        <v/>
      </c>
      <c r="C1046" s="237" t="str">
        <f>IF(DSDV!K1051&lt;&gt;"",DSDV!K1051,"")</f>
        <v/>
      </c>
      <c r="D1046" s="417" t="str">
        <f>IF(DSDV!W1051&lt;&gt;"",DSDV!W1051,"")</f>
        <v/>
      </c>
    </row>
    <row r="1047" spans="1:4">
      <c r="A1047" t="str">
        <f>IF(DSDV!B1052&lt;&gt;"",DSDV!B1052,"")</f>
        <v/>
      </c>
      <c r="B1047" t="str">
        <f>IF(DSDV!G1052&lt;&gt;"",DSDV!G1052,"")</f>
        <v/>
      </c>
      <c r="C1047" s="237" t="str">
        <f>IF(DSDV!K1052&lt;&gt;"",DSDV!K1052,"")</f>
        <v/>
      </c>
      <c r="D1047" s="417" t="str">
        <f>IF(DSDV!W1052&lt;&gt;"",DSDV!W1052,"")</f>
        <v/>
      </c>
    </row>
    <row r="1048" spans="1:4">
      <c r="A1048" t="str">
        <f>IF(DSDV!B1053&lt;&gt;"",DSDV!B1053,"")</f>
        <v/>
      </c>
      <c r="B1048" t="str">
        <f>IF(DSDV!G1053&lt;&gt;"",DSDV!G1053,"")</f>
        <v/>
      </c>
      <c r="C1048" s="237" t="str">
        <f>IF(DSDV!K1053&lt;&gt;"",DSDV!K1053,"")</f>
        <v/>
      </c>
      <c r="D1048" s="417" t="str">
        <f>IF(DSDV!W1053&lt;&gt;"",DSDV!W1053,"")</f>
        <v/>
      </c>
    </row>
    <row r="1049" spans="1:4">
      <c r="A1049" t="str">
        <f>IF(DSDV!B1054&lt;&gt;"",DSDV!B1054,"")</f>
        <v/>
      </c>
      <c r="B1049" t="str">
        <f>IF(DSDV!G1054&lt;&gt;"",DSDV!G1054,"")</f>
        <v/>
      </c>
      <c r="C1049" s="237" t="str">
        <f>IF(DSDV!K1054&lt;&gt;"",DSDV!K1054,"")</f>
        <v/>
      </c>
      <c r="D1049" s="417" t="str">
        <f>IF(DSDV!W1054&lt;&gt;"",DSDV!W1054,"")</f>
        <v/>
      </c>
    </row>
    <row r="1050" spans="1:4">
      <c r="A1050" t="str">
        <f>IF(DSDV!B1055&lt;&gt;"",DSDV!B1055,"")</f>
        <v/>
      </c>
      <c r="B1050" t="str">
        <f>IF(DSDV!G1055&lt;&gt;"",DSDV!G1055,"")</f>
        <v/>
      </c>
      <c r="C1050" s="237" t="str">
        <f>IF(DSDV!K1055&lt;&gt;"",DSDV!K1055,"")</f>
        <v/>
      </c>
      <c r="D1050" s="417" t="str">
        <f>IF(DSDV!W1055&lt;&gt;"",DSDV!W1055,"")</f>
        <v/>
      </c>
    </row>
    <row r="1051" spans="1:4">
      <c r="A1051" t="str">
        <f>IF(DSDV!B1056&lt;&gt;"",DSDV!B1056,"")</f>
        <v/>
      </c>
      <c r="B1051" t="str">
        <f>IF(DSDV!G1056&lt;&gt;"",DSDV!G1056,"")</f>
        <v/>
      </c>
      <c r="C1051" s="237" t="str">
        <f>IF(DSDV!K1056&lt;&gt;"",DSDV!K1056,"")</f>
        <v/>
      </c>
      <c r="D1051" s="417" t="str">
        <f>IF(DSDV!W1056&lt;&gt;"",DSDV!W1056,"")</f>
        <v/>
      </c>
    </row>
    <row r="1052" spans="1:4">
      <c r="A1052" t="str">
        <f>IF(DSDV!B1057&lt;&gt;"",DSDV!B1057,"")</f>
        <v/>
      </c>
      <c r="B1052" t="str">
        <f>IF(DSDV!G1057&lt;&gt;"",DSDV!G1057,"")</f>
        <v/>
      </c>
      <c r="C1052" s="237" t="str">
        <f>IF(DSDV!K1057&lt;&gt;"",DSDV!K1057,"")</f>
        <v/>
      </c>
      <c r="D1052" s="417" t="str">
        <f>IF(DSDV!W1057&lt;&gt;"",DSDV!W1057,"")</f>
        <v/>
      </c>
    </row>
    <row r="1053" spans="1:4">
      <c r="A1053" t="str">
        <f>IF(DSDV!B1058&lt;&gt;"",DSDV!B1058,"")</f>
        <v/>
      </c>
      <c r="B1053" t="str">
        <f>IF(DSDV!G1058&lt;&gt;"",DSDV!G1058,"")</f>
        <v/>
      </c>
      <c r="C1053" s="237" t="str">
        <f>IF(DSDV!K1058&lt;&gt;"",DSDV!K1058,"")</f>
        <v/>
      </c>
      <c r="D1053" s="417" t="str">
        <f>IF(DSDV!W1058&lt;&gt;"",DSDV!W1058,"")</f>
        <v/>
      </c>
    </row>
    <row r="1054" spans="1:4">
      <c r="A1054" t="str">
        <f>IF(DSDV!B1059&lt;&gt;"",DSDV!B1059,"")</f>
        <v/>
      </c>
      <c r="B1054" t="str">
        <f>IF(DSDV!G1059&lt;&gt;"",DSDV!G1059,"")</f>
        <v/>
      </c>
      <c r="C1054" s="237" t="str">
        <f>IF(DSDV!K1059&lt;&gt;"",DSDV!K1059,"")</f>
        <v/>
      </c>
      <c r="D1054" s="417" t="str">
        <f>IF(DSDV!W1059&lt;&gt;"",DSDV!W1059,"")</f>
        <v/>
      </c>
    </row>
    <row r="1055" spans="1:4">
      <c r="A1055" t="str">
        <f>IF(DSDV!B1060&lt;&gt;"",DSDV!B1060,"")</f>
        <v/>
      </c>
      <c r="B1055" t="str">
        <f>IF(DSDV!G1060&lt;&gt;"",DSDV!G1060,"")</f>
        <v/>
      </c>
      <c r="C1055" s="237" t="str">
        <f>IF(DSDV!K1060&lt;&gt;"",DSDV!K1060,"")</f>
        <v/>
      </c>
      <c r="D1055" s="417" t="str">
        <f>IF(DSDV!W1060&lt;&gt;"",DSDV!W1060,"")</f>
        <v/>
      </c>
    </row>
    <row r="1056" spans="1:4">
      <c r="A1056" t="str">
        <f>IF(DSDV!B1061&lt;&gt;"",DSDV!B1061,"")</f>
        <v/>
      </c>
      <c r="B1056" t="str">
        <f>IF(DSDV!G1061&lt;&gt;"",DSDV!G1061,"")</f>
        <v/>
      </c>
      <c r="C1056" s="237" t="str">
        <f>IF(DSDV!K1061&lt;&gt;"",DSDV!K1061,"")</f>
        <v/>
      </c>
      <c r="D1056" s="417" t="str">
        <f>IF(DSDV!W1061&lt;&gt;"",DSDV!W1061,"")</f>
        <v/>
      </c>
    </row>
    <row r="1057" spans="1:4">
      <c r="A1057" t="str">
        <f>IF(DSDV!B1062&lt;&gt;"",DSDV!B1062,"")</f>
        <v/>
      </c>
      <c r="B1057" t="str">
        <f>IF(DSDV!G1062&lt;&gt;"",DSDV!G1062,"")</f>
        <v/>
      </c>
      <c r="C1057" s="237" t="str">
        <f>IF(DSDV!K1062&lt;&gt;"",DSDV!K1062,"")</f>
        <v/>
      </c>
      <c r="D1057" s="417" t="str">
        <f>IF(DSDV!W1062&lt;&gt;"",DSDV!W1062,"")</f>
        <v/>
      </c>
    </row>
    <row r="1058" spans="1:4">
      <c r="A1058" t="str">
        <f>IF(DSDV!B1063&lt;&gt;"",DSDV!B1063,"")</f>
        <v/>
      </c>
      <c r="B1058" t="str">
        <f>IF(DSDV!G1063&lt;&gt;"",DSDV!G1063,"")</f>
        <v/>
      </c>
      <c r="C1058" s="237" t="str">
        <f>IF(DSDV!K1063&lt;&gt;"",DSDV!K1063,"")</f>
        <v/>
      </c>
      <c r="D1058" s="417" t="str">
        <f>IF(DSDV!W1063&lt;&gt;"",DSDV!W1063,"")</f>
        <v/>
      </c>
    </row>
    <row r="1059" spans="1:4">
      <c r="A1059" t="str">
        <f>IF(DSDV!B1064&lt;&gt;"",DSDV!B1064,"")</f>
        <v/>
      </c>
      <c r="B1059" t="str">
        <f>IF(DSDV!G1064&lt;&gt;"",DSDV!G1064,"")</f>
        <v/>
      </c>
      <c r="C1059" s="237" t="str">
        <f>IF(DSDV!K1064&lt;&gt;"",DSDV!K1064,"")</f>
        <v/>
      </c>
      <c r="D1059" s="417" t="str">
        <f>IF(DSDV!W1064&lt;&gt;"",DSDV!W1064,"")</f>
        <v/>
      </c>
    </row>
    <row r="1060" spans="1:4">
      <c r="A1060" t="str">
        <f>IF(DSDV!B1065&lt;&gt;"",DSDV!B1065,"")</f>
        <v/>
      </c>
      <c r="B1060" t="str">
        <f>IF(DSDV!G1065&lt;&gt;"",DSDV!G1065,"")</f>
        <v/>
      </c>
      <c r="C1060" s="237" t="str">
        <f>IF(DSDV!K1065&lt;&gt;"",DSDV!K1065,"")</f>
        <v/>
      </c>
      <c r="D1060" s="417" t="str">
        <f>IF(DSDV!W1065&lt;&gt;"",DSDV!W1065,"")</f>
        <v/>
      </c>
    </row>
    <row r="1061" spans="1:4">
      <c r="A1061" t="str">
        <f>IF(DSDV!B1066&lt;&gt;"",DSDV!B1066,"")</f>
        <v/>
      </c>
      <c r="B1061" t="str">
        <f>IF(DSDV!G1066&lt;&gt;"",DSDV!G1066,"")</f>
        <v/>
      </c>
      <c r="C1061" s="237" t="str">
        <f>IF(DSDV!K1066&lt;&gt;"",DSDV!K1066,"")</f>
        <v/>
      </c>
      <c r="D1061" s="417" t="str">
        <f>IF(DSDV!W1066&lt;&gt;"",DSDV!W1066,"")</f>
        <v/>
      </c>
    </row>
    <row r="1062" spans="1:4">
      <c r="A1062" t="str">
        <f>IF(DSDV!B1067&lt;&gt;"",DSDV!B1067,"")</f>
        <v/>
      </c>
      <c r="B1062" t="str">
        <f>IF(DSDV!G1067&lt;&gt;"",DSDV!G1067,"")</f>
        <v/>
      </c>
      <c r="C1062" s="237" t="str">
        <f>IF(DSDV!K1067&lt;&gt;"",DSDV!K1067,"")</f>
        <v/>
      </c>
      <c r="D1062" s="417" t="str">
        <f>IF(DSDV!W1067&lt;&gt;"",DSDV!W1067,"")</f>
        <v/>
      </c>
    </row>
    <row r="1063" spans="1:4">
      <c r="A1063" t="str">
        <f>IF(DSDV!B1068&lt;&gt;"",DSDV!B1068,"")</f>
        <v/>
      </c>
      <c r="B1063" t="str">
        <f>IF(DSDV!G1068&lt;&gt;"",DSDV!G1068,"")</f>
        <v/>
      </c>
      <c r="C1063" s="237" t="str">
        <f>IF(DSDV!K1068&lt;&gt;"",DSDV!K1068,"")</f>
        <v/>
      </c>
      <c r="D1063" s="417" t="str">
        <f>IF(DSDV!W1068&lt;&gt;"",DSDV!W1068,"")</f>
        <v/>
      </c>
    </row>
    <row r="1064" spans="1:4">
      <c r="A1064" t="str">
        <f>IF(DSDV!B1069&lt;&gt;"",DSDV!B1069,"")</f>
        <v/>
      </c>
      <c r="B1064" t="str">
        <f>IF(DSDV!G1069&lt;&gt;"",DSDV!G1069,"")</f>
        <v/>
      </c>
      <c r="C1064" s="237" t="str">
        <f>IF(DSDV!K1069&lt;&gt;"",DSDV!K1069,"")</f>
        <v/>
      </c>
      <c r="D1064" s="417" t="str">
        <f>IF(DSDV!W1069&lt;&gt;"",DSDV!W1069,"")</f>
        <v/>
      </c>
    </row>
    <row r="1065" spans="1:4">
      <c r="A1065" t="str">
        <f>IF(DSDV!B1070&lt;&gt;"",DSDV!B1070,"")</f>
        <v/>
      </c>
      <c r="B1065" t="str">
        <f>IF(DSDV!G1070&lt;&gt;"",DSDV!G1070,"")</f>
        <v/>
      </c>
      <c r="C1065" s="237" t="str">
        <f>IF(DSDV!K1070&lt;&gt;"",DSDV!K1070,"")</f>
        <v/>
      </c>
      <c r="D1065" s="417" t="str">
        <f>IF(DSDV!W1070&lt;&gt;"",DSDV!W1070,"")</f>
        <v/>
      </c>
    </row>
    <row r="1066" spans="1:4">
      <c r="A1066" t="str">
        <f>IF(DSDV!B1071&lt;&gt;"",DSDV!B1071,"")</f>
        <v/>
      </c>
      <c r="B1066" t="str">
        <f>IF(DSDV!G1071&lt;&gt;"",DSDV!G1071,"")</f>
        <v/>
      </c>
      <c r="C1066" s="237" t="str">
        <f>IF(DSDV!K1071&lt;&gt;"",DSDV!K1071,"")</f>
        <v/>
      </c>
      <c r="D1066" s="417" t="str">
        <f>IF(DSDV!W1071&lt;&gt;"",DSDV!W1071,"")</f>
        <v/>
      </c>
    </row>
    <row r="1067" spans="1:4">
      <c r="A1067" t="str">
        <f>IF(DSDV!B1072&lt;&gt;"",DSDV!B1072,"")</f>
        <v/>
      </c>
      <c r="B1067" t="str">
        <f>IF(DSDV!G1072&lt;&gt;"",DSDV!G1072,"")</f>
        <v/>
      </c>
      <c r="C1067" s="237" t="str">
        <f>IF(DSDV!K1072&lt;&gt;"",DSDV!K1072,"")</f>
        <v/>
      </c>
      <c r="D1067" s="417" t="str">
        <f>IF(DSDV!W1072&lt;&gt;"",DSDV!W1072,"")</f>
        <v/>
      </c>
    </row>
    <row r="1068" spans="1:4">
      <c r="A1068" t="str">
        <f>IF(DSDV!B1073&lt;&gt;"",DSDV!B1073,"")</f>
        <v/>
      </c>
      <c r="B1068" t="str">
        <f>IF(DSDV!G1073&lt;&gt;"",DSDV!G1073,"")</f>
        <v/>
      </c>
      <c r="C1068" s="237" t="str">
        <f>IF(DSDV!K1073&lt;&gt;"",DSDV!K1073,"")</f>
        <v/>
      </c>
      <c r="D1068" s="417" t="str">
        <f>IF(DSDV!W1073&lt;&gt;"",DSDV!W1073,"")</f>
        <v/>
      </c>
    </row>
    <row r="1069" spans="1:4">
      <c r="A1069" t="str">
        <f>IF(DSDV!B1074&lt;&gt;"",DSDV!B1074,"")</f>
        <v/>
      </c>
      <c r="B1069" t="str">
        <f>IF(DSDV!G1074&lt;&gt;"",DSDV!G1074,"")</f>
        <v/>
      </c>
      <c r="C1069" s="237" t="str">
        <f>IF(DSDV!K1074&lt;&gt;"",DSDV!K1074,"")</f>
        <v/>
      </c>
      <c r="D1069" s="417" t="str">
        <f>IF(DSDV!W1074&lt;&gt;"",DSDV!W1074,"")</f>
        <v/>
      </c>
    </row>
    <row r="1070" spans="1:4">
      <c r="A1070" t="str">
        <f>IF(DSDV!B1075&lt;&gt;"",DSDV!B1075,"")</f>
        <v/>
      </c>
      <c r="B1070" t="str">
        <f>IF(DSDV!G1075&lt;&gt;"",DSDV!G1075,"")</f>
        <v/>
      </c>
      <c r="C1070" s="237" t="str">
        <f>IF(DSDV!K1075&lt;&gt;"",DSDV!K1075,"")</f>
        <v/>
      </c>
      <c r="D1070" s="417" t="str">
        <f>IF(DSDV!W1075&lt;&gt;"",DSDV!W1075,"")</f>
        <v/>
      </c>
    </row>
    <row r="1071" spans="1:4">
      <c r="A1071" t="str">
        <f>IF(DSDV!B1076&lt;&gt;"",DSDV!B1076,"")</f>
        <v/>
      </c>
      <c r="B1071" t="str">
        <f>IF(DSDV!G1076&lt;&gt;"",DSDV!G1076,"")</f>
        <v/>
      </c>
      <c r="C1071" s="237" t="str">
        <f>IF(DSDV!K1076&lt;&gt;"",DSDV!K1076,"")</f>
        <v/>
      </c>
      <c r="D1071" s="417" t="str">
        <f>IF(DSDV!W1076&lt;&gt;"",DSDV!W1076,"")</f>
        <v/>
      </c>
    </row>
    <row r="1072" spans="1:4">
      <c r="A1072" t="str">
        <f>IF(DSDV!B1077&lt;&gt;"",DSDV!B1077,"")</f>
        <v/>
      </c>
      <c r="B1072" t="str">
        <f>IF(DSDV!G1077&lt;&gt;"",DSDV!G1077,"")</f>
        <v/>
      </c>
      <c r="C1072" s="237" t="str">
        <f>IF(DSDV!K1077&lt;&gt;"",DSDV!K1077,"")</f>
        <v/>
      </c>
      <c r="D1072" s="417" t="str">
        <f>IF(DSDV!W1077&lt;&gt;"",DSDV!W1077,"")</f>
        <v/>
      </c>
    </row>
    <row r="1073" spans="1:4">
      <c r="A1073" t="str">
        <f>IF(DSDV!B1078&lt;&gt;"",DSDV!B1078,"")</f>
        <v/>
      </c>
      <c r="B1073" t="str">
        <f>IF(DSDV!G1078&lt;&gt;"",DSDV!G1078,"")</f>
        <v/>
      </c>
      <c r="C1073" s="237" t="str">
        <f>IF(DSDV!K1078&lt;&gt;"",DSDV!K1078,"")</f>
        <v/>
      </c>
      <c r="D1073" s="417" t="str">
        <f>IF(DSDV!W1078&lt;&gt;"",DSDV!W1078,"")</f>
        <v/>
      </c>
    </row>
    <row r="1074" spans="1:4">
      <c r="A1074" t="str">
        <f>IF(DSDV!B1079&lt;&gt;"",DSDV!B1079,"")</f>
        <v/>
      </c>
      <c r="B1074" t="str">
        <f>IF(DSDV!G1079&lt;&gt;"",DSDV!G1079,"")</f>
        <v/>
      </c>
      <c r="C1074" s="237" t="str">
        <f>IF(DSDV!K1079&lt;&gt;"",DSDV!K1079,"")</f>
        <v/>
      </c>
      <c r="D1074" s="417" t="str">
        <f>IF(DSDV!W1079&lt;&gt;"",DSDV!W1079,"")</f>
        <v/>
      </c>
    </row>
    <row r="1075" spans="1:4">
      <c r="A1075" t="str">
        <f>IF(DSDV!B1080&lt;&gt;"",DSDV!B1080,"")</f>
        <v/>
      </c>
      <c r="B1075" t="str">
        <f>IF(DSDV!G1080&lt;&gt;"",DSDV!G1080,"")</f>
        <v/>
      </c>
      <c r="C1075" s="237" t="str">
        <f>IF(DSDV!K1080&lt;&gt;"",DSDV!K1080,"")</f>
        <v/>
      </c>
      <c r="D1075" s="417" t="str">
        <f>IF(DSDV!W1080&lt;&gt;"",DSDV!W1080,"")</f>
        <v/>
      </c>
    </row>
    <row r="1076" spans="1:4">
      <c r="A1076" t="str">
        <f>IF(DSDV!B1081&lt;&gt;"",DSDV!B1081,"")</f>
        <v/>
      </c>
      <c r="B1076" t="str">
        <f>IF(DSDV!G1081&lt;&gt;"",DSDV!G1081,"")</f>
        <v/>
      </c>
      <c r="C1076" s="237" t="str">
        <f>IF(DSDV!K1081&lt;&gt;"",DSDV!K1081,"")</f>
        <v/>
      </c>
      <c r="D1076" s="417" t="str">
        <f>IF(DSDV!W1081&lt;&gt;"",DSDV!W1081,"")</f>
        <v/>
      </c>
    </row>
    <row r="1077" spans="1:4">
      <c r="A1077" t="str">
        <f>IF(DSDV!B1082&lt;&gt;"",DSDV!B1082,"")</f>
        <v/>
      </c>
      <c r="B1077" t="str">
        <f>IF(DSDV!G1082&lt;&gt;"",DSDV!G1082,"")</f>
        <v/>
      </c>
      <c r="C1077" s="237" t="str">
        <f>IF(DSDV!K1082&lt;&gt;"",DSDV!K1082,"")</f>
        <v/>
      </c>
      <c r="D1077" s="417" t="str">
        <f>IF(DSDV!W1082&lt;&gt;"",DSDV!W1082,"")</f>
        <v/>
      </c>
    </row>
    <row r="1078" spans="1:4">
      <c r="A1078" t="str">
        <f>IF(DSDV!B1083&lt;&gt;"",DSDV!B1083,"")</f>
        <v/>
      </c>
      <c r="B1078" t="str">
        <f>IF(DSDV!G1083&lt;&gt;"",DSDV!G1083,"")</f>
        <v/>
      </c>
      <c r="C1078" s="237" t="str">
        <f>IF(DSDV!K1083&lt;&gt;"",DSDV!K1083,"")</f>
        <v/>
      </c>
      <c r="D1078" s="417" t="str">
        <f>IF(DSDV!W1083&lt;&gt;"",DSDV!W1083,"")</f>
        <v/>
      </c>
    </row>
    <row r="1079" spans="1:4">
      <c r="A1079" t="str">
        <f>IF(DSDV!B1084&lt;&gt;"",DSDV!B1084,"")</f>
        <v/>
      </c>
      <c r="B1079" t="str">
        <f>IF(DSDV!G1084&lt;&gt;"",DSDV!G1084,"")</f>
        <v/>
      </c>
      <c r="C1079" s="237" t="str">
        <f>IF(DSDV!K1084&lt;&gt;"",DSDV!K1084,"")</f>
        <v/>
      </c>
      <c r="D1079" s="417" t="str">
        <f>IF(DSDV!W1084&lt;&gt;"",DSDV!W1084,"")</f>
        <v/>
      </c>
    </row>
    <row r="1080" spans="1:4">
      <c r="A1080" t="str">
        <f>IF(DSDV!B1085&lt;&gt;"",DSDV!B1085,"")</f>
        <v/>
      </c>
      <c r="B1080" t="str">
        <f>IF(DSDV!G1085&lt;&gt;"",DSDV!G1085,"")</f>
        <v/>
      </c>
      <c r="C1080" s="237" t="str">
        <f>IF(DSDV!K1085&lt;&gt;"",DSDV!K1085,"")</f>
        <v/>
      </c>
      <c r="D1080" s="417" t="str">
        <f>IF(DSDV!W1085&lt;&gt;"",DSDV!W1085,"")</f>
        <v/>
      </c>
    </row>
    <row r="1081" spans="1:4">
      <c r="A1081" t="str">
        <f>IF(DSDV!B1086&lt;&gt;"",DSDV!B1086,"")</f>
        <v/>
      </c>
      <c r="B1081" t="str">
        <f>IF(DSDV!G1086&lt;&gt;"",DSDV!G1086,"")</f>
        <v/>
      </c>
      <c r="C1081" s="237" t="str">
        <f>IF(DSDV!K1086&lt;&gt;"",DSDV!K1086,"")</f>
        <v/>
      </c>
      <c r="D1081" s="417" t="str">
        <f>IF(DSDV!W1086&lt;&gt;"",DSDV!W1086,"")</f>
        <v/>
      </c>
    </row>
    <row r="1082" spans="1:4">
      <c r="A1082" t="str">
        <f>IF(DSDV!B1087&lt;&gt;"",DSDV!B1087,"")</f>
        <v/>
      </c>
      <c r="B1082" t="str">
        <f>IF(DSDV!G1087&lt;&gt;"",DSDV!G1087,"")</f>
        <v/>
      </c>
      <c r="C1082" s="237" t="str">
        <f>IF(DSDV!K1087&lt;&gt;"",DSDV!K1087,"")</f>
        <v/>
      </c>
      <c r="D1082" s="417" t="str">
        <f>IF(DSDV!W1087&lt;&gt;"",DSDV!W1087,"")</f>
        <v/>
      </c>
    </row>
    <row r="1083" spans="1:4">
      <c r="A1083" t="str">
        <f>IF(DSDV!B1088&lt;&gt;"",DSDV!B1088,"")</f>
        <v/>
      </c>
      <c r="B1083" t="str">
        <f>IF(DSDV!G1088&lt;&gt;"",DSDV!G1088,"")</f>
        <v/>
      </c>
      <c r="C1083" s="237" t="str">
        <f>IF(DSDV!K1088&lt;&gt;"",DSDV!K1088,"")</f>
        <v/>
      </c>
      <c r="D1083" s="417" t="str">
        <f>IF(DSDV!W1088&lt;&gt;"",DSDV!W1088,"")</f>
        <v/>
      </c>
    </row>
    <row r="1084" spans="1:4">
      <c r="A1084" t="str">
        <f>IF(DSDV!B1089&lt;&gt;"",DSDV!B1089,"")</f>
        <v/>
      </c>
      <c r="B1084" t="str">
        <f>IF(DSDV!G1089&lt;&gt;"",DSDV!G1089,"")</f>
        <v/>
      </c>
      <c r="C1084" s="237" t="str">
        <f>IF(DSDV!K1089&lt;&gt;"",DSDV!K1089,"")</f>
        <v/>
      </c>
      <c r="D1084" s="417" t="str">
        <f>IF(DSDV!W1089&lt;&gt;"",DSDV!W1089,"")</f>
        <v/>
      </c>
    </row>
    <row r="1085" spans="1:4">
      <c r="A1085" t="str">
        <f>IF(DSDV!B1090&lt;&gt;"",DSDV!B1090,"")</f>
        <v/>
      </c>
      <c r="B1085" t="str">
        <f>IF(DSDV!G1090&lt;&gt;"",DSDV!G1090,"")</f>
        <v/>
      </c>
      <c r="C1085" s="237" t="str">
        <f>IF(DSDV!K1090&lt;&gt;"",DSDV!K1090,"")</f>
        <v/>
      </c>
      <c r="D1085" s="417" t="str">
        <f>IF(DSDV!W1090&lt;&gt;"",DSDV!W1090,"")</f>
        <v/>
      </c>
    </row>
    <row r="1086" spans="1:4">
      <c r="A1086" t="str">
        <f>IF(DSDV!B1091&lt;&gt;"",DSDV!B1091,"")</f>
        <v/>
      </c>
      <c r="B1086" t="str">
        <f>IF(DSDV!G1091&lt;&gt;"",DSDV!G1091,"")</f>
        <v/>
      </c>
      <c r="C1086" s="237" t="str">
        <f>IF(DSDV!K1091&lt;&gt;"",DSDV!K1091,"")</f>
        <v/>
      </c>
      <c r="D1086" s="417" t="str">
        <f>IF(DSDV!W1091&lt;&gt;"",DSDV!W1091,"")</f>
        <v/>
      </c>
    </row>
    <row r="1087" spans="1:4">
      <c r="A1087" t="str">
        <f>IF(DSDV!B1092&lt;&gt;"",DSDV!B1092,"")</f>
        <v/>
      </c>
      <c r="B1087" t="str">
        <f>IF(DSDV!G1092&lt;&gt;"",DSDV!G1092,"")</f>
        <v/>
      </c>
      <c r="C1087" s="237" t="str">
        <f>IF(DSDV!K1092&lt;&gt;"",DSDV!K1092,"")</f>
        <v/>
      </c>
      <c r="D1087" s="417" t="str">
        <f>IF(DSDV!W1092&lt;&gt;"",DSDV!W1092,"")</f>
        <v/>
      </c>
    </row>
    <row r="1088" spans="1:4">
      <c r="A1088" t="str">
        <f>IF(DSDV!B1093&lt;&gt;"",DSDV!B1093,"")</f>
        <v/>
      </c>
      <c r="B1088" t="str">
        <f>IF(DSDV!G1093&lt;&gt;"",DSDV!G1093,"")</f>
        <v/>
      </c>
      <c r="C1088" s="237" t="str">
        <f>IF(DSDV!K1093&lt;&gt;"",DSDV!K1093,"")</f>
        <v/>
      </c>
      <c r="D1088" s="417" t="str">
        <f>IF(DSDV!W1093&lt;&gt;"",DSDV!W1093,"")</f>
        <v/>
      </c>
    </row>
    <row r="1089" spans="1:4">
      <c r="A1089" t="str">
        <f>IF(DSDV!B1094&lt;&gt;"",DSDV!B1094,"")</f>
        <v/>
      </c>
      <c r="B1089" t="str">
        <f>IF(DSDV!G1094&lt;&gt;"",DSDV!G1094,"")</f>
        <v/>
      </c>
      <c r="C1089" s="237" t="str">
        <f>IF(DSDV!K1094&lt;&gt;"",DSDV!K1094,"")</f>
        <v/>
      </c>
      <c r="D1089" s="417" t="str">
        <f>IF(DSDV!W1094&lt;&gt;"",DSDV!W1094,"")</f>
        <v/>
      </c>
    </row>
    <row r="1090" spans="1:4">
      <c r="A1090" t="str">
        <f>IF(DSDV!B1095&lt;&gt;"",DSDV!B1095,"")</f>
        <v/>
      </c>
      <c r="B1090" t="str">
        <f>IF(DSDV!G1095&lt;&gt;"",DSDV!G1095,"")</f>
        <v/>
      </c>
      <c r="C1090" s="237" t="str">
        <f>IF(DSDV!K1095&lt;&gt;"",DSDV!K1095,"")</f>
        <v/>
      </c>
      <c r="D1090" s="417" t="str">
        <f>IF(DSDV!W1095&lt;&gt;"",DSDV!W1095,"")</f>
        <v/>
      </c>
    </row>
    <row r="1091" spans="1:4">
      <c r="A1091" t="str">
        <f>IF(DSDV!B1096&lt;&gt;"",DSDV!B1096,"")</f>
        <v/>
      </c>
      <c r="B1091" t="str">
        <f>IF(DSDV!G1096&lt;&gt;"",DSDV!G1096,"")</f>
        <v/>
      </c>
      <c r="C1091" s="237" t="str">
        <f>IF(DSDV!K1096&lt;&gt;"",DSDV!K1096,"")</f>
        <v/>
      </c>
      <c r="D1091" s="417" t="str">
        <f>IF(DSDV!W1096&lt;&gt;"",DSDV!W1096,"")</f>
        <v/>
      </c>
    </row>
    <row r="1092" spans="1:4">
      <c r="A1092" t="str">
        <f>IF(DSDV!B1097&lt;&gt;"",DSDV!B1097,"")</f>
        <v/>
      </c>
      <c r="B1092" t="str">
        <f>IF(DSDV!G1097&lt;&gt;"",DSDV!G1097,"")</f>
        <v/>
      </c>
      <c r="C1092" s="237" t="str">
        <f>IF(DSDV!K1097&lt;&gt;"",DSDV!K1097,"")</f>
        <v/>
      </c>
      <c r="D1092" s="417" t="str">
        <f>IF(DSDV!W1097&lt;&gt;"",DSDV!W1097,"")</f>
        <v/>
      </c>
    </row>
    <row r="1093" spans="1:4">
      <c r="A1093" t="str">
        <f>IF(DSDV!B1098&lt;&gt;"",DSDV!B1098,"")</f>
        <v/>
      </c>
      <c r="B1093" t="str">
        <f>IF(DSDV!G1098&lt;&gt;"",DSDV!G1098,"")</f>
        <v/>
      </c>
      <c r="C1093" s="237" t="str">
        <f>IF(DSDV!K1098&lt;&gt;"",DSDV!K1098,"")</f>
        <v/>
      </c>
      <c r="D1093" s="417" t="str">
        <f>IF(DSDV!W1098&lt;&gt;"",DSDV!W1098,"")</f>
        <v/>
      </c>
    </row>
    <row r="1094" spans="1:4">
      <c r="A1094" t="str">
        <f>IF(DSDV!B1099&lt;&gt;"",DSDV!B1099,"")</f>
        <v/>
      </c>
      <c r="B1094" t="str">
        <f>IF(DSDV!G1099&lt;&gt;"",DSDV!G1099,"")</f>
        <v/>
      </c>
      <c r="C1094" s="237" t="str">
        <f>IF(DSDV!K1099&lt;&gt;"",DSDV!K1099,"")</f>
        <v/>
      </c>
      <c r="D1094" s="417" t="str">
        <f>IF(DSDV!W1099&lt;&gt;"",DSDV!W1099,"")</f>
        <v/>
      </c>
    </row>
    <row r="1095" spans="1:4">
      <c r="A1095" t="str">
        <f>IF(DSDV!B1100&lt;&gt;"",DSDV!B1100,"")</f>
        <v/>
      </c>
      <c r="B1095" t="str">
        <f>IF(DSDV!G1100&lt;&gt;"",DSDV!G1100,"")</f>
        <v/>
      </c>
      <c r="C1095" s="237" t="str">
        <f>IF(DSDV!K1100&lt;&gt;"",DSDV!K1100,"")</f>
        <v/>
      </c>
      <c r="D1095" s="417" t="str">
        <f>IF(DSDV!W1100&lt;&gt;"",DSDV!W1100,"")</f>
        <v/>
      </c>
    </row>
    <row r="1096" spans="1:4">
      <c r="A1096" t="str">
        <f>IF(DSDV!B1101&lt;&gt;"",DSDV!B1101,"")</f>
        <v/>
      </c>
      <c r="B1096" t="str">
        <f>IF(DSDV!G1101&lt;&gt;"",DSDV!G1101,"")</f>
        <v/>
      </c>
      <c r="C1096" s="237" t="str">
        <f>IF(DSDV!K1101&lt;&gt;"",DSDV!K1101,"")</f>
        <v/>
      </c>
      <c r="D1096" s="417" t="str">
        <f>IF(DSDV!W1101&lt;&gt;"",DSDV!W1101,"")</f>
        <v/>
      </c>
    </row>
    <row r="1097" spans="1:4">
      <c r="A1097" t="str">
        <f>IF(DSDV!B1102&lt;&gt;"",DSDV!B1102,"")</f>
        <v/>
      </c>
      <c r="B1097" t="str">
        <f>IF(DSDV!G1102&lt;&gt;"",DSDV!G1102,"")</f>
        <v/>
      </c>
      <c r="C1097" s="237" t="str">
        <f>IF(DSDV!K1102&lt;&gt;"",DSDV!K1102,"")</f>
        <v/>
      </c>
      <c r="D1097" s="417" t="str">
        <f>IF(DSDV!W1102&lt;&gt;"",DSDV!W1102,"")</f>
        <v/>
      </c>
    </row>
    <row r="1098" spans="1:4">
      <c r="A1098" t="str">
        <f>IF(DSDV!B1103&lt;&gt;"",DSDV!B1103,"")</f>
        <v/>
      </c>
      <c r="B1098" t="str">
        <f>IF(DSDV!G1103&lt;&gt;"",DSDV!G1103,"")</f>
        <v/>
      </c>
      <c r="C1098" s="237" t="str">
        <f>IF(DSDV!K1103&lt;&gt;"",DSDV!K1103,"")</f>
        <v/>
      </c>
      <c r="D1098" s="417" t="str">
        <f>IF(DSDV!W1103&lt;&gt;"",DSDV!W1103,"")</f>
        <v/>
      </c>
    </row>
    <row r="1099" spans="1:4">
      <c r="A1099" t="str">
        <f>IF(DSDV!B1104&lt;&gt;"",DSDV!B1104,"")</f>
        <v/>
      </c>
      <c r="B1099" t="str">
        <f>IF(DSDV!G1104&lt;&gt;"",DSDV!G1104,"")</f>
        <v/>
      </c>
      <c r="C1099" s="237" t="str">
        <f>IF(DSDV!K1104&lt;&gt;"",DSDV!K1104,"")</f>
        <v/>
      </c>
      <c r="D1099" s="417" t="str">
        <f>IF(DSDV!W1104&lt;&gt;"",DSDV!W1104,"")</f>
        <v/>
      </c>
    </row>
    <row r="1100" spans="1:4">
      <c r="A1100" t="str">
        <f>IF(DSDV!B1105&lt;&gt;"",DSDV!B1105,"")</f>
        <v/>
      </c>
      <c r="B1100" t="str">
        <f>IF(DSDV!G1105&lt;&gt;"",DSDV!G1105,"")</f>
        <v/>
      </c>
      <c r="C1100" s="237" t="str">
        <f>IF(DSDV!K1105&lt;&gt;"",DSDV!K1105,"")</f>
        <v/>
      </c>
      <c r="D1100" s="417" t="str">
        <f>IF(DSDV!W1105&lt;&gt;"",DSDV!W1105,"")</f>
        <v/>
      </c>
    </row>
    <row r="1101" spans="1:4">
      <c r="A1101" t="str">
        <f>IF(DSDV!B1106&lt;&gt;"",DSDV!B1106,"")</f>
        <v/>
      </c>
      <c r="B1101" t="str">
        <f>IF(DSDV!G1106&lt;&gt;"",DSDV!G1106,"")</f>
        <v/>
      </c>
      <c r="C1101" s="237" t="str">
        <f>IF(DSDV!K1106&lt;&gt;"",DSDV!K1106,"")</f>
        <v/>
      </c>
      <c r="D1101" s="417" t="str">
        <f>IF(DSDV!W1106&lt;&gt;"",DSDV!W1106,"")</f>
        <v/>
      </c>
    </row>
    <row r="1102" spans="1:4">
      <c r="A1102" t="str">
        <f>IF(DSDV!B1107&lt;&gt;"",DSDV!B1107,"")</f>
        <v/>
      </c>
      <c r="B1102" t="str">
        <f>IF(DSDV!G1107&lt;&gt;"",DSDV!G1107,"")</f>
        <v/>
      </c>
      <c r="C1102" s="237" t="str">
        <f>IF(DSDV!K1107&lt;&gt;"",DSDV!K1107,"")</f>
        <v/>
      </c>
      <c r="D1102" s="417" t="str">
        <f>IF(DSDV!W1107&lt;&gt;"",DSDV!W1107,"")</f>
        <v/>
      </c>
    </row>
    <row r="1103" spans="1:4">
      <c r="A1103" t="str">
        <f>IF(DSDV!B1108&lt;&gt;"",DSDV!B1108,"")</f>
        <v/>
      </c>
      <c r="B1103" t="str">
        <f>IF(DSDV!G1108&lt;&gt;"",DSDV!G1108,"")</f>
        <v/>
      </c>
      <c r="C1103" s="237" t="str">
        <f>IF(DSDV!K1108&lt;&gt;"",DSDV!K1108,"")</f>
        <v/>
      </c>
      <c r="D1103" s="417" t="str">
        <f>IF(DSDV!W1108&lt;&gt;"",DSDV!W1108,"")</f>
        <v/>
      </c>
    </row>
    <row r="1104" spans="1:4">
      <c r="A1104" t="str">
        <f>IF(DSDV!B1109&lt;&gt;"",DSDV!B1109,"")</f>
        <v/>
      </c>
      <c r="B1104" t="str">
        <f>IF(DSDV!G1109&lt;&gt;"",DSDV!G1109,"")</f>
        <v/>
      </c>
      <c r="C1104" s="237" t="str">
        <f>IF(DSDV!K1109&lt;&gt;"",DSDV!K1109,"")</f>
        <v/>
      </c>
      <c r="D1104" s="417" t="str">
        <f>IF(DSDV!W1109&lt;&gt;"",DSDV!W1109,"")</f>
        <v/>
      </c>
    </row>
    <row r="1105" spans="1:4">
      <c r="A1105" t="str">
        <f>IF(DSDV!B1110&lt;&gt;"",DSDV!B1110,"")</f>
        <v/>
      </c>
      <c r="B1105" t="str">
        <f>IF(DSDV!G1110&lt;&gt;"",DSDV!G1110,"")</f>
        <v/>
      </c>
      <c r="C1105" s="237" t="str">
        <f>IF(DSDV!K1110&lt;&gt;"",DSDV!K1110,"")</f>
        <v/>
      </c>
      <c r="D1105" s="417" t="str">
        <f>IF(DSDV!W1110&lt;&gt;"",DSDV!W1110,"")</f>
        <v/>
      </c>
    </row>
    <row r="1106" spans="1:4">
      <c r="A1106" t="str">
        <f>IF(DSDV!B1111&lt;&gt;"",DSDV!B1111,"")</f>
        <v/>
      </c>
      <c r="B1106" t="str">
        <f>IF(DSDV!G1111&lt;&gt;"",DSDV!G1111,"")</f>
        <v/>
      </c>
      <c r="C1106" s="237" t="str">
        <f>IF(DSDV!K1111&lt;&gt;"",DSDV!K1111,"")</f>
        <v/>
      </c>
      <c r="D1106" s="417" t="str">
        <f>IF(DSDV!W1111&lt;&gt;"",DSDV!W1111,"")</f>
        <v/>
      </c>
    </row>
    <row r="1107" spans="1:4">
      <c r="A1107" t="str">
        <f>IF(DSDV!B1112&lt;&gt;"",DSDV!B1112,"")</f>
        <v/>
      </c>
      <c r="B1107" t="str">
        <f>IF(DSDV!G1112&lt;&gt;"",DSDV!G1112,"")</f>
        <v/>
      </c>
      <c r="C1107" s="237" t="str">
        <f>IF(DSDV!K1112&lt;&gt;"",DSDV!K1112,"")</f>
        <v/>
      </c>
      <c r="D1107" s="417" t="str">
        <f>IF(DSDV!W1112&lt;&gt;"",DSDV!W1112,"")</f>
        <v/>
      </c>
    </row>
    <row r="1108" spans="1:4">
      <c r="A1108" t="str">
        <f>IF(DSDV!B1113&lt;&gt;"",DSDV!B1113,"")</f>
        <v/>
      </c>
      <c r="B1108" t="str">
        <f>IF(DSDV!G1113&lt;&gt;"",DSDV!G1113,"")</f>
        <v/>
      </c>
      <c r="C1108" s="237" t="str">
        <f>IF(DSDV!K1113&lt;&gt;"",DSDV!K1113,"")</f>
        <v/>
      </c>
      <c r="D1108" s="417" t="str">
        <f>IF(DSDV!W1113&lt;&gt;"",DSDV!W1113,"")</f>
        <v/>
      </c>
    </row>
    <row r="1109" spans="1:4">
      <c r="A1109" t="str">
        <f>IF(DSDV!B1114&lt;&gt;"",DSDV!B1114,"")</f>
        <v/>
      </c>
      <c r="B1109" t="str">
        <f>IF(DSDV!G1114&lt;&gt;"",DSDV!G1114,"")</f>
        <v/>
      </c>
      <c r="C1109" s="237" t="str">
        <f>IF(DSDV!K1114&lt;&gt;"",DSDV!K1114,"")</f>
        <v/>
      </c>
      <c r="D1109" s="417" t="str">
        <f>IF(DSDV!W1114&lt;&gt;"",DSDV!W1114,"")</f>
        <v/>
      </c>
    </row>
    <row r="1110" spans="1:4">
      <c r="A1110" t="str">
        <f>IF(DSDV!B1115&lt;&gt;"",DSDV!B1115,"")</f>
        <v/>
      </c>
      <c r="B1110" t="str">
        <f>IF(DSDV!G1115&lt;&gt;"",DSDV!G1115,"")</f>
        <v/>
      </c>
      <c r="C1110" s="237" t="str">
        <f>IF(DSDV!K1115&lt;&gt;"",DSDV!K1115,"")</f>
        <v/>
      </c>
      <c r="D1110" s="417" t="str">
        <f>IF(DSDV!W1115&lt;&gt;"",DSDV!W1115,"")</f>
        <v/>
      </c>
    </row>
    <row r="1111" spans="1:4">
      <c r="A1111" t="str">
        <f>IF(DSDV!B1116&lt;&gt;"",DSDV!B1116,"")</f>
        <v/>
      </c>
      <c r="B1111" t="str">
        <f>IF(DSDV!G1116&lt;&gt;"",DSDV!G1116,"")</f>
        <v/>
      </c>
      <c r="C1111" s="237" t="str">
        <f>IF(DSDV!K1116&lt;&gt;"",DSDV!K1116,"")</f>
        <v/>
      </c>
      <c r="D1111" s="417" t="str">
        <f>IF(DSDV!W1116&lt;&gt;"",DSDV!W1116,"")</f>
        <v/>
      </c>
    </row>
    <row r="1112" spans="1:4">
      <c r="A1112" t="str">
        <f>IF(DSDV!B1117&lt;&gt;"",DSDV!B1117,"")</f>
        <v/>
      </c>
      <c r="B1112" t="str">
        <f>IF(DSDV!G1117&lt;&gt;"",DSDV!G1117,"")</f>
        <v/>
      </c>
      <c r="C1112" s="237" t="str">
        <f>IF(DSDV!K1117&lt;&gt;"",DSDV!K1117,"")</f>
        <v/>
      </c>
      <c r="D1112" s="417" t="str">
        <f>IF(DSDV!W1117&lt;&gt;"",DSDV!W1117,"")</f>
        <v/>
      </c>
    </row>
    <row r="1113" spans="1:4">
      <c r="A1113" t="str">
        <f>IF(DSDV!B1118&lt;&gt;"",DSDV!B1118,"")</f>
        <v/>
      </c>
      <c r="B1113" t="str">
        <f>IF(DSDV!G1118&lt;&gt;"",DSDV!G1118,"")</f>
        <v/>
      </c>
      <c r="C1113" s="237" t="str">
        <f>IF(DSDV!K1118&lt;&gt;"",DSDV!K1118,"")</f>
        <v/>
      </c>
      <c r="D1113" s="417" t="str">
        <f>IF(DSDV!W1118&lt;&gt;"",DSDV!W1118,"")</f>
        <v/>
      </c>
    </row>
    <row r="1114" spans="1:4">
      <c r="A1114" t="str">
        <f>IF(DSDV!B1119&lt;&gt;"",DSDV!B1119,"")</f>
        <v/>
      </c>
      <c r="B1114" t="str">
        <f>IF(DSDV!G1119&lt;&gt;"",DSDV!G1119,"")</f>
        <v/>
      </c>
      <c r="C1114" s="237" t="str">
        <f>IF(DSDV!K1119&lt;&gt;"",DSDV!K1119,"")</f>
        <v/>
      </c>
      <c r="D1114" s="417" t="str">
        <f>IF(DSDV!W1119&lt;&gt;"",DSDV!W1119,"")</f>
        <v/>
      </c>
    </row>
    <row r="1115" spans="1:4">
      <c r="A1115" t="str">
        <f>IF(DSDV!B1120&lt;&gt;"",DSDV!B1120,"")</f>
        <v/>
      </c>
      <c r="B1115" t="str">
        <f>IF(DSDV!G1120&lt;&gt;"",DSDV!G1120,"")</f>
        <v/>
      </c>
      <c r="C1115" s="237" t="str">
        <f>IF(DSDV!K1120&lt;&gt;"",DSDV!K1120,"")</f>
        <v/>
      </c>
      <c r="D1115" s="417" t="str">
        <f>IF(DSDV!W1120&lt;&gt;"",DSDV!W1120,"")</f>
        <v/>
      </c>
    </row>
    <row r="1116" spans="1:4">
      <c r="A1116" t="str">
        <f>IF(DSDV!B1121&lt;&gt;"",DSDV!B1121,"")</f>
        <v/>
      </c>
      <c r="B1116" t="str">
        <f>IF(DSDV!G1121&lt;&gt;"",DSDV!G1121,"")</f>
        <v/>
      </c>
      <c r="C1116" s="237" t="str">
        <f>IF(DSDV!K1121&lt;&gt;"",DSDV!K1121,"")</f>
        <v/>
      </c>
      <c r="D1116" s="417" t="str">
        <f>IF(DSDV!W1121&lt;&gt;"",DSDV!W1121,"")</f>
        <v/>
      </c>
    </row>
    <row r="1117" spans="1:4">
      <c r="A1117" t="str">
        <f>IF(DSDV!B1122&lt;&gt;"",DSDV!B1122,"")</f>
        <v/>
      </c>
      <c r="B1117" t="str">
        <f>IF(DSDV!G1122&lt;&gt;"",DSDV!G1122,"")</f>
        <v/>
      </c>
      <c r="C1117" s="237" t="str">
        <f>IF(DSDV!K1122&lt;&gt;"",DSDV!K1122,"")</f>
        <v/>
      </c>
      <c r="D1117" s="417" t="str">
        <f>IF(DSDV!W1122&lt;&gt;"",DSDV!W1122,"")</f>
        <v/>
      </c>
    </row>
    <row r="1118" spans="1:4">
      <c r="A1118" t="str">
        <f>IF(DSDV!B1123&lt;&gt;"",DSDV!B1123,"")</f>
        <v/>
      </c>
      <c r="B1118" t="str">
        <f>IF(DSDV!G1123&lt;&gt;"",DSDV!G1123,"")</f>
        <v/>
      </c>
      <c r="C1118" s="237" t="str">
        <f>IF(DSDV!K1123&lt;&gt;"",DSDV!K1123,"")</f>
        <v/>
      </c>
      <c r="D1118" s="417" t="str">
        <f>IF(DSDV!W1123&lt;&gt;"",DSDV!W1123,"")</f>
        <v/>
      </c>
    </row>
    <row r="1119" spans="1:4">
      <c r="A1119" t="str">
        <f>IF(DSDV!B1124&lt;&gt;"",DSDV!B1124,"")</f>
        <v/>
      </c>
      <c r="B1119" t="str">
        <f>IF(DSDV!G1124&lt;&gt;"",DSDV!G1124,"")</f>
        <v/>
      </c>
      <c r="C1119" s="237" t="str">
        <f>IF(DSDV!K1124&lt;&gt;"",DSDV!K1124,"")</f>
        <v/>
      </c>
      <c r="D1119" s="417" t="str">
        <f>IF(DSDV!W1124&lt;&gt;"",DSDV!W1124,"")</f>
        <v/>
      </c>
    </row>
    <row r="1120" spans="1:4">
      <c r="A1120" t="str">
        <f>IF(DSDV!B1125&lt;&gt;"",DSDV!B1125,"")</f>
        <v/>
      </c>
      <c r="B1120" t="str">
        <f>IF(DSDV!G1125&lt;&gt;"",DSDV!G1125,"")</f>
        <v/>
      </c>
      <c r="C1120" s="237" t="str">
        <f>IF(DSDV!K1125&lt;&gt;"",DSDV!K1125,"")</f>
        <v/>
      </c>
      <c r="D1120" s="417" t="str">
        <f>IF(DSDV!W1125&lt;&gt;"",DSDV!W1125,"")</f>
        <v/>
      </c>
    </row>
    <row r="1121" spans="1:4">
      <c r="A1121" t="str">
        <f>IF(DSDV!B1126&lt;&gt;"",DSDV!B1126,"")</f>
        <v/>
      </c>
      <c r="B1121" t="str">
        <f>IF(DSDV!G1126&lt;&gt;"",DSDV!G1126,"")</f>
        <v/>
      </c>
      <c r="C1121" s="237" t="str">
        <f>IF(DSDV!K1126&lt;&gt;"",DSDV!K1126,"")</f>
        <v/>
      </c>
      <c r="D1121" s="417" t="str">
        <f>IF(DSDV!W1126&lt;&gt;"",DSDV!W1126,"")</f>
        <v/>
      </c>
    </row>
    <row r="1122" spans="1:4">
      <c r="A1122" t="str">
        <f>IF(DSDV!B1127&lt;&gt;"",DSDV!B1127,"")</f>
        <v/>
      </c>
      <c r="B1122" t="str">
        <f>IF(DSDV!G1127&lt;&gt;"",DSDV!G1127,"")</f>
        <v/>
      </c>
      <c r="C1122" s="237" t="str">
        <f>IF(DSDV!K1127&lt;&gt;"",DSDV!K1127,"")</f>
        <v/>
      </c>
      <c r="D1122" s="417" t="str">
        <f>IF(DSDV!W1127&lt;&gt;"",DSDV!W1127,"")</f>
        <v/>
      </c>
    </row>
    <row r="1123" spans="1:4">
      <c r="A1123" t="str">
        <f>IF(DSDV!B1128&lt;&gt;"",DSDV!B1128,"")</f>
        <v/>
      </c>
      <c r="B1123" t="str">
        <f>IF(DSDV!G1128&lt;&gt;"",DSDV!G1128,"")</f>
        <v/>
      </c>
      <c r="C1123" s="237" t="str">
        <f>IF(DSDV!K1128&lt;&gt;"",DSDV!K1128,"")</f>
        <v/>
      </c>
      <c r="D1123" s="417" t="str">
        <f>IF(DSDV!W1128&lt;&gt;"",DSDV!W1128,"")</f>
        <v/>
      </c>
    </row>
    <row r="1124" spans="1:4">
      <c r="A1124" t="str">
        <f>IF(DSDV!B1129&lt;&gt;"",DSDV!B1129,"")</f>
        <v/>
      </c>
      <c r="B1124" t="str">
        <f>IF(DSDV!G1129&lt;&gt;"",DSDV!G1129,"")</f>
        <v/>
      </c>
      <c r="C1124" s="237" t="str">
        <f>IF(DSDV!K1129&lt;&gt;"",DSDV!K1129,"")</f>
        <v/>
      </c>
      <c r="D1124" s="417" t="str">
        <f>IF(DSDV!W1129&lt;&gt;"",DSDV!W1129,"")</f>
        <v/>
      </c>
    </row>
    <row r="1125" spans="1:4">
      <c r="A1125" t="str">
        <f>IF(DSDV!B1130&lt;&gt;"",DSDV!B1130,"")</f>
        <v/>
      </c>
      <c r="B1125" t="str">
        <f>IF(DSDV!G1130&lt;&gt;"",DSDV!G1130,"")</f>
        <v/>
      </c>
      <c r="C1125" s="237" t="str">
        <f>IF(DSDV!K1130&lt;&gt;"",DSDV!K1130,"")</f>
        <v/>
      </c>
      <c r="D1125" s="417" t="str">
        <f>IF(DSDV!W1130&lt;&gt;"",DSDV!W1130,"")</f>
        <v/>
      </c>
    </row>
    <row r="1126" spans="1:4">
      <c r="A1126" t="str">
        <f>IF(DSDV!B1131&lt;&gt;"",DSDV!B1131,"")</f>
        <v/>
      </c>
      <c r="B1126" t="str">
        <f>IF(DSDV!G1131&lt;&gt;"",DSDV!G1131,"")</f>
        <v/>
      </c>
      <c r="C1126" s="237" t="str">
        <f>IF(DSDV!K1131&lt;&gt;"",DSDV!K1131,"")</f>
        <v/>
      </c>
      <c r="D1126" s="417" t="str">
        <f>IF(DSDV!W1131&lt;&gt;"",DSDV!W1131,"")</f>
        <v/>
      </c>
    </row>
    <row r="1127" spans="1:4">
      <c r="A1127" t="str">
        <f>IF(DSDV!B1132&lt;&gt;"",DSDV!B1132,"")</f>
        <v/>
      </c>
      <c r="B1127" t="str">
        <f>IF(DSDV!G1132&lt;&gt;"",DSDV!G1132,"")</f>
        <v/>
      </c>
      <c r="C1127" s="237" t="str">
        <f>IF(DSDV!K1132&lt;&gt;"",DSDV!K1132,"")</f>
        <v/>
      </c>
      <c r="D1127" s="417" t="str">
        <f>IF(DSDV!W1132&lt;&gt;"",DSDV!W1132,"")</f>
        <v/>
      </c>
    </row>
    <row r="1128" spans="1:4">
      <c r="A1128" t="str">
        <f>IF(DSDV!B1133&lt;&gt;"",DSDV!B1133,"")</f>
        <v/>
      </c>
      <c r="B1128" t="str">
        <f>IF(DSDV!G1133&lt;&gt;"",DSDV!G1133,"")</f>
        <v/>
      </c>
      <c r="C1128" s="237" t="str">
        <f>IF(DSDV!K1133&lt;&gt;"",DSDV!K1133,"")</f>
        <v/>
      </c>
      <c r="D1128" s="417" t="str">
        <f>IF(DSDV!W1133&lt;&gt;"",DSDV!W1133,"")</f>
        <v/>
      </c>
    </row>
    <row r="1129" spans="1:4">
      <c r="A1129" t="str">
        <f>IF(DSDV!B1134&lt;&gt;"",DSDV!B1134,"")</f>
        <v/>
      </c>
      <c r="B1129" t="str">
        <f>IF(DSDV!G1134&lt;&gt;"",DSDV!G1134,"")</f>
        <v/>
      </c>
      <c r="C1129" s="237" t="str">
        <f>IF(DSDV!K1134&lt;&gt;"",DSDV!K1134,"")</f>
        <v/>
      </c>
      <c r="D1129" s="417" t="str">
        <f>IF(DSDV!W1134&lt;&gt;"",DSDV!W1134,"")</f>
        <v/>
      </c>
    </row>
    <row r="1130" spans="1:4">
      <c r="A1130" t="str">
        <f>IF(DSDV!B1135&lt;&gt;"",DSDV!B1135,"")</f>
        <v/>
      </c>
      <c r="B1130" t="str">
        <f>IF(DSDV!G1135&lt;&gt;"",DSDV!G1135,"")</f>
        <v/>
      </c>
      <c r="C1130" s="237" t="str">
        <f>IF(DSDV!K1135&lt;&gt;"",DSDV!K1135,"")</f>
        <v/>
      </c>
      <c r="D1130" s="417" t="str">
        <f>IF(DSDV!W1135&lt;&gt;"",DSDV!W1135,"")</f>
        <v/>
      </c>
    </row>
    <row r="1131" spans="1:4">
      <c r="A1131" t="str">
        <f>IF(DSDV!B1136&lt;&gt;"",DSDV!B1136,"")</f>
        <v/>
      </c>
      <c r="B1131" t="str">
        <f>IF(DSDV!G1136&lt;&gt;"",DSDV!G1136,"")</f>
        <v/>
      </c>
      <c r="C1131" s="237" t="str">
        <f>IF(DSDV!K1136&lt;&gt;"",DSDV!K1136,"")</f>
        <v/>
      </c>
      <c r="D1131" s="417" t="str">
        <f>IF(DSDV!W1136&lt;&gt;"",DSDV!W1136,"")</f>
        <v/>
      </c>
    </row>
    <row r="1132" spans="1:4">
      <c r="A1132" t="str">
        <f>IF(DSDV!B1137&lt;&gt;"",DSDV!B1137,"")</f>
        <v/>
      </c>
      <c r="B1132" t="str">
        <f>IF(DSDV!G1137&lt;&gt;"",DSDV!G1137,"")</f>
        <v/>
      </c>
      <c r="C1132" s="237" t="str">
        <f>IF(DSDV!K1137&lt;&gt;"",DSDV!K1137,"")</f>
        <v/>
      </c>
      <c r="D1132" s="417" t="str">
        <f>IF(DSDV!W1137&lt;&gt;"",DSDV!W1137,"")</f>
        <v/>
      </c>
    </row>
    <row r="1133" spans="1:4">
      <c r="A1133" t="str">
        <f>IF(DSDV!B1138&lt;&gt;"",DSDV!B1138,"")</f>
        <v/>
      </c>
      <c r="B1133" t="str">
        <f>IF(DSDV!G1138&lt;&gt;"",DSDV!G1138,"")</f>
        <v/>
      </c>
      <c r="C1133" s="237" t="str">
        <f>IF(DSDV!K1138&lt;&gt;"",DSDV!K1138,"")</f>
        <v/>
      </c>
      <c r="D1133" s="417" t="str">
        <f>IF(DSDV!W1138&lt;&gt;"",DSDV!W1138,"")</f>
        <v/>
      </c>
    </row>
    <row r="1134" spans="1:4">
      <c r="A1134" t="str">
        <f>IF(DSDV!B1139&lt;&gt;"",DSDV!B1139,"")</f>
        <v/>
      </c>
      <c r="B1134" t="str">
        <f>IF(DSDV!G1139&lt;&gt;"",DSDV!G1139,"")</f>
        <v/>
      </c>
      <c r="C1134" s="237" t="str">
        <f>IF(DSDV!K1139&lt;&gt;"",DSDV!K1139,"")</f>
        <v/>
      </c>
      <c r="D1134" s="417" t="str">
        <f>IF(DSDV!W1139&lt;&gt;"",DSDV!W1139,"")</f>
        <v/>
      </c>
    </row>
    <row r="1135" spans="1:4">
      <c r="A1135" t="str">
        <f>IF(DSDV!B1140&lt;&gt;"",DSDV!B1140,"")</f>
        <v/>
      </c>
      <c r="B1135" t="str">
        <f>IF(DSDV!G1140&lt;&gt;"",DSDV!G1140,"")</f>
        <v/>
      </c>
      <c r="C1135" s="237" t="str">
        <f>IF(DSDV!K1140&lt;&gt;"",DSDV!K1140,"")</f>
        <v/>
      </c>
      <c r="D1135" s="417" t="str">
        <f>IF(DSDV!W1140&lt;&gt;"",DSDV!W1140,"")</f>
        <v/>
      </c>
    </row>
    <row r="1136" spans="1:4">
      <c r="A1136" t="str">
        <f>IF(DSDV!B1141&lt;&gt;"",DSDV!B1141,"")</f>
        <v/>
      </c>
      <c r="B1136" t="str">
        <f>IF(DSDV!G1141&lt;&gt;"",DSDV!G1141,"")</f>
        <v/>
      </c>
      <c r="C1136" s="237" t="str">
        <f>IF(DSDV!K1141&lt;&gt;"",DSDV!K1141,"")</f>
        <v/>
      </c>
      <c r="D1136" s="417" t="str">
        <f>IF(DSDV!W1141&lt;&gt;"",DSDV!W1141,"")</f>
        <v/>
      </c>
    </row>
    <row r="1137" spans="1:4">
      <c r="A1137" t="str">
        <f>IF(DSDV!B1142&lt;&gt;"",DSDV!B1142,"")</f>
        <v/>
      </c>
      <c r="B1137" t="str">
        <f>IF(DSDV!G1142&lt;&gt;"",DSDV!G1142,"")</f>
        <v/>
      </c>
      <c r="C1137" s="237" t="str">
        <f>IF(DSDV!K1142&lt;&gt;"",DSDV!K1142,"")</f>
        <v/>
      </c>
      <c r="D1137" s="417" t="str">
        <f>IF(DSDV!W1142&lt;&gt;"",DSDV!W1142,"")</f>
        <v/>
      </c>
    </row>
    <row r="1138" spans="1:4">
      <c r="A1138" t="str">
        <f>IF(DSDV!B1143&lt;&gt;"",DSDV!B1143,"")</f>
        <v/>
      </c>
      <c r="B1138" t="str">
        <f>IF(DSDV!G1143&lt;&gt;"",DSDV!G1143,"")</f>
        <v/>
      </c>
      <c r="C1138" s="237" t="str">
        <f>IF(DSDV!K1143&lt;&gt;"",DSDV!K1143,"")</f>
        <v/>
      </c>
      <c r="D1138" s="417" t="str">
        <f>IF(DSDV!W1143&lt;&gt;"",DSDV!W1143,"")</f>
        <v/>
      </c>
    </row>
    <row r="1139" spans="1:4">
      <c r="A1139" t="str">
        <f>IF(DSDV!B1144&lt;&gt;"",DSDV!B1144,"")</f>
        <v/>
      </c>
      <c r="B1139" t="str">
        <f>IF(DSDV!G1144&lt;&gt;"",DSDV!G1144,"")</f>
        <v/>
      </c>
      <c r="C1139" s="237" t="str">
        <f>IF(DSDV!K1144&lt;&gt;"",DSDV!K1144,"")</f>
        <v/>
      </c>
      <c r="D1139" s="417" t="str">
        <f>IF(DSDV!W1144&lt;&gt;"",DSDV!W1144,"")</f>
        <v/>
      </c>
    </row>
    <row r="1140" spans="1:4">
      <c r="A1140" t="str">
        <f>IF(DSDV!B1145&lt;&gt;"",DSDV!B1145,"")</f>
        <v/>
      </c>
      <c r="B1140" t="str">
        <f>IF(DSDV!G1145&lt;&gt;"",DSDV!G1145,"")</f>
        <v/>
      </c>
      <c r="C1140" s="237" t="str">
        <f>IF(DSDV!K1145&lt;&gt;"",DSDV!K1145,"")</f>
        <v/>
      </c>
      <c r="D1140" s="417" t="str">
        <f>IF(DSDV!W1145&lt;&gt;"",DSDV!W1145,"")</f>
        <v/>
      </c>
    </row>
    <row r="1141" spans="1:4">
      <c r="A1141" t="str">
        <f>IF(DSDV!B1146&lt;&gt;"",DSDV!B1146,"")</f>
        <v/>
      </c>
      <c r="B1141" t="str">
        <f>IF(DSDV!G1146&lt;&gt;"",DSDV!G1146,"")</f>
        <v/>
      </c>
      <c r="C1141" s="237" t="str">
        <f>IF(DSDV!K1146&lt;&gt;"",DSDV!K1146,"")</f>
        <v/>
      </c>
      <c r="D1141" s="417" t="str">
        <f>IF(DSDV!W1146&lt;&gt;"",DSDV!W1146,"")</f>
        <v/>
      </c>
    </row>
    <row r="1142" spans="1:4">
      <c r="A1142" t="str">
        <f>IF(DSDV!B1147&lt;&gt;"",DSDV!B1147,"")</f>
        <v/>
      </c>
      <c r="B1142" t="str">
        <f>IF(DSDV!G1147&lt;&gt;"",DSDV!G1147,"")</f>
        <v/>
      </c>
      <c r="C1142" s="237" t="str">
        <f>IF(DSDV!K1147&lt;&gt;"",DSDV!K1147,"")</f>
        <v/>
      </c>
      <c r="D1142" s="417" t="str">
        <f>IF(DSDV!W1147&lt;&gt;"",DSDV!W1147,"")</f>
        <v/>
      </c>
    </row>
    <row r="1143" spans="1:4">
      <c r="A1143" t="str">
        <f>IF(DSDV!B1148&lt;&gt;"",DSDV!B1148,"")</f>
        <v/>
      </c>
      <c r="B1143" t="str">
        <f>IF(DSDV!G1148&lt;&gt;"",DSDV!G1148,"")</f>
        <v/>
      </c>
      <c r="C1143" s="237" t="str">
        <f>IF(DSDV!K1148&lt;&gt;"",DSDV!K1148,"")</f>
        <v/>
      </c>
      <c r="D1143" s="417" t="str">
        <f>IF(DSDV!W1148&lt;&gt;"",DSDV!W1148,"")</f>
        <v/>
      </c>
    </row>
    <row r="1144" spans="1:4">
      <c r="A1144" t="str">
        <f>IF(DSDV!B1149&lt;&gt;"",DSDV!B1149,"")</f>
        <v/>
      </c>
      <c r="B1144" t="str">
        <f>IF(DSDV!G1149&lt;&gt;"",DSDV!G1149,"")</f>
        <v/>
      </c>
      <c r="C1144" s="237" t="str">
        <f>IF(DSDV!K1149&lt;&gt;"",DSDV!K1149,"")</f>
        <v/>
      </c>
      <c r="D1144" s="417" t="str">
        <f>IF(DSDV!W1149&lt;&gt;"",DSDV!W1149,"")</f>
        <v/>
      </c>
    </row>
    <row r="1145" spans="1:4">
      <c r="A1145" t="str">
        <f>IF(DSDV!B1150&lt;&gt;"",DSDV!B1150,"")</f>
        <v/>
      </c>
      <c r="B1145" t="str">
        <f>IF(DSDV!G1150&lt;&gt;"",DSDV!G1150,"")</f>
        <v/>
      </c>
      <c r="C1145" s="237" t="str">
        <f>IF(DSDV!K1150&lt;&gt;"",DSDV!K1150,"")</f>
        <v/>
      </c>
      <c r="D1145" s="417" t="str">
        <f>IF(DSDV!W1150&lt;&gt;"",DSDV!W1150,"")</f>
        <v/>
      </c>
    </row>
    <row r="1146" spans="1:4">
      <c r="A1146" t="str">
        <f>IF(DSDV!B1151&lt;&gt;"",DSDV!B1151,"")</f>
        <v/>
      </c>
      <c r="B1146" t="str">
        <f>IF(DSDV!G1151&lt;&gt;"",DSDV!G1151,"")</f>
        <v/>
      </c>
      <c r="C1146" s="237" t="str">
        <f>IF(DSDV!K1151&lt;&gt;"",DSDV!K1151,"")</f>
        <v/>
      </c>
      <c r="D1146" s="417" t="str">
        <f>IF(DSDV!W1151&lt;&gt;"",DSDV!W1151,"")</f>
        <v/>
      </c>
    </row>
    <row r="1147" spans="1:4">
      <c r="A1147" t="str">
        <f>IF(DSDV!B1152&lt;&gt;"",DSDV!B1152,"")</f>
        <v/>
      </c>
      <c r="B1147" t="str">
        <f>IF(DSDV!G1152&lt;&gt;"",DSDV!G1152,"")</f>
        <v/>
      </c>
      <c r="C1147" s="237" t="str">
        <f>IF(DSDV!K1152&lt;&gt;"",DSDV!K1152,"")</f>
        <v/>
      </c>
      <c r="D1147" s="417" t="str">
        <f>IF(DSDV!W1152&lt;&gt;"",DSDV!W1152,"")</f>
        <v/>
      </c>
    </row>
    <row r="1148" spans="1:4">
      <c r="A1148" t="str">
        <f>IF(DSDV!B1153&lt;&gt;"",DSDV!B1153,"")</f>
        <v/>
      </c>
      <c r="B1148" t="str">
        <f>IF(DSDV!G1153&lt;&gt;"",DSDV!G1153,"")</f>
        <v/>
      </c>
      <c r="C1148" s="237" t="str">
        <f>IF(DSDV!K1153&lt;&gt;"",DSDV!K1153,"")</f>
        <v/>
      </c>
      <c r="D1148" s="417" t="str">
        <f>IF(DSDV!W1153&lt;&gt;"",DSDV!W1153,"")</f>
        <v/>
      </c>
    </row>
    <row r="1149" spans="1:4">
      <c r="A1149" t="str">
        <f>IF(DSDV!B1154&lt;&gt;"",DSDV!B1154,"")</f>
        <v/>
      </c>
      <c r="B1149" t="str">
        <f>IF(DSDV!G1154&lt;&gt;"",DSDV!G1154,"")</f>
        <v/>
      </c>
      <c r="C1149" s="237" t="str">
        <f>IF(DSDV!K1154&lt;&gt;"",DSDV!K1154,"")</f>
        <v/>
      </c>
      <c r="D1149" s="417" t="str">
        <f>IF(DSDV!W1154&lt;&gt;"",DSDV!W1154,"")</f>
        <v/>
      </c>
    </row>
    <row r="1150" spans="1:4">
      <c r="A1150" t="str">
        <f>IF(DSDV!B1155&lt;&gt;"",DSDV!B1155,"")</f>
        <v/>
      </c>
      <c r="B1150" t="str">
        <f>IF(DSDV!G1155&lt;&gt;"",DSDV!G1155,"")</f>
        <v/>
      </c>
      <c r="C1150" s="237" t="str">
        <f>IF(DSDV!K1155&lt;&gt;"",DSDV!K1155,"")</f>
        <v/>
      </c>
      <c r="D1150" s="417" t="str">
        <f>IF(DSDV!W1155&lt;&gt;"",DSDV!W1155,"")</f>
        <v/>
      </c>
    </row>
    <row r="1151" spans="1:4">
      <c r="A1151" t="str">
        <f>IF(DSDV!B1156&lt;&gt;"",DSDV!B1156,"")</f>
        <v/>
      </c>
      <c r="B1151" t="str">
        <f>IF(DSDV!G1156&lt;&gt;"",DSDV!G1156,"")</f>
        <v/>
      </c>
      <c r="C1151" s="237" t="str">
        <f>IF(DSDV!K1156&lt;&gt;"",DSDV!K1156,"")</f>
        <v/>
      </c>
      <c r="D1151" s="417" t="str">
        <f>IF(DSDV!W1156&lt;&gt;"",DSDV!W1156,"")</f>
        <v/>
      </c>
    </row>
    <row r="1152" spans="1:4">
      <c r="A1152" t="str">
        <f>IF(DSDV!B1157&lt;&gt;"",DSDV!B1157,"")</f>
        <v/>
      </c>
      <c r="B1152" t="str">
        <f>IF(DSDV!G1157&lt;&gt;"",DSDV!G1157,"")</f>
        <v/>
      </c>
      <c r="C1152" s="237" t="str">
        <f>IF(DSDV!K1157&lt;&gt;"",DSDV!K1157,"")</f>
        <v/>
      </c>
      <c r="D1152" s="417" t="str">
        <f>IF(DSDV!W1157&lt;&gt;"",DSDV!W1157,"")</f>
        <v/>
      </c>
    </row>
    <row r="1153" spans="1:4">
      <c r="A1153" t="str">
        <f>IF(DSDV!B1158&lt;&gt;"",DSDV!B1158,"")</f>
        <v/>
      </c>
      <c r="B1153" t="str">
        <f>IF(DSDV!G1158&lt;&gt;"",DSDV!G1158,"")</f>
        <v/>
      </c>
      <c r="C1153" s="237" t="str">
        <f>IF(DSDV!K1158&lt;&gt;"",DSDV!K1158,"")</f>
        <v/>
      </c>
      <c r="D1153" s="417" t="str">
        <f>IF(DSDV!W1158&lt;&gt;"",DSDV!W1158,"")</f>
        <v/>
      </c>
    </row>
    <row r="1154" spans="1:4">
      <c r="A1154" t="str">
        <f>IF(DSDV!B1159&lt;&gt;"",DSDV!B1159,"")</f>
        <v/>
      </c>
      <c r="B1154" t="str">
        <f>IF(DSDV!G1159&lt;&gt;"",DSDV!G1159,"")</f>
        <v/>
      </c>
      <c r="C1154" s="237" t="str">
        <f>IF(DSDV!K1159&lt;&gt;"",DSDV!K1159,"")</f>
        <v/>
      </c>
      <c r="D1154" s="417" t="str">
        <f>IF(DSDV!W1159&lt;&gt;"",DSDV!W1159,"")</f>
        <v/>
      </c>
    </row>
    <row r="1155" spans="1:4">
      <c r="A1155" t="str">
        <f>IF(DSDV!B1160&lt;&gt;"",DSDV!B1160,"")</f>
        <v/>
      </c>
      <c r="B1155" t="str">
        <f>IF(DSDV!G1160&lt;&gt;"",DSDV!G1160,"")</f>
        <v/>
      </c>
      <c r="C1155" s="237" t="str">
        <f>IF(DSDV!K1160&lt;&gt;"",DSDV!K1160,"")</f>
        <v/>
      </c>
      <c r="D1155" s="417" t="str">
        <f>IF(DSDV!W1160&lt;&gt;"",DSDV!W1160,"")</f>
        <v/>
      </c>
    </row>
    <row r="1156" spans="1:4">
      <c r="A1156" t="str">
        <f>IF(DSDV!B1161&lt;&gt;"",DSDV!B1161,"")</f>
        <v/>
      </c>
      <c r="B1156" t="str">
        <f>IF(DSDV!G1161&lt;&gt;"",DSDV!G1161,"")</f>
        <v/>
      </c>
      <c r="C1156" s="237" t="str">
        <f>IF(DSDV!K1161&lt;&gt;"",DSDV!K1161,"")</f>
        <v/>
      </c>
      <c r="D1156" s="417" t="str">
        <f>IF(DSDV!W1161&lt;&gt;"",DSDV!W1161,"")</f>
        <v/>
      </c>
    </row>
    <row r="1157" spans="1:4">
      <c r="A1157" t="str">
        <f>IF(DSDV!B1162&lt;&gt;"",DSDV!B1162,"")</f>
        <v/>
      </c>
      <c r="B1157" t="str">
        <f>IF(DSDV!G1162&lt;&gt;"",DSDV!G1162,"")</f>
        <v/>
      </c>
      <c r="C1157" s="237" t="str">
        <f>IF(DSDV!K1162&lt;&gt;"",DSDV!K1162,"")</f>
        <v/>
      </c>
      <c r="D1157" s="417" t="str">
        <f>IF(DSDV!W1162&lt;&gt;"",DSDV!W1162,"")</f>
        <v/>
      </c>
    </row>
    <row r="1158" spans="1:4">
      <c r="A1158" t="str">
        <f>IF(DSDV!B1163&lt;&gt;"",DSDV!B1163,"")</f>
        <v/>
      </c>
      <c r="B1158" t="str">
        <f>IF(DSDV!G1163&lt;&gt;"",DSDV!G1163,"")</f>
        <v/>
      </c>
      <c r="C1158" s="237" t="str">
        <f>IF(DSDV!K1163&lt;&gt;"",DSDV!K1163,"")</f>
        <v/>
      </c>
      <c r="D1158" s="417" t="str">
        <f>IF(DSDV!W1163&lt;&gt;"",DSDV!W1163,"")</f>
        <v/>
      </c>
    </row>
    <row r="1159" spans="1:4">
      <c r="A1159" t="str">
        <f>IF(DSDV!B1164&lt;&gt;"",DSDV!B1164,"")</f>
        <v/>
      </c>
      <c r="B1159" t="str">
        <f>IF(DSDV!G1164&lt;&gt;"",DSDV!G1164,"")</f>
        <v/>
      </c>
      <c r="C1159" s="237" t="str">
        <f>IF(DSDV!K1164&lt;&gt;"",DSDV!K1164,"")</f>
        <v/>
      </c>
      <c r="D1159" s="417" t="str">
        <f>IF(DSDV!W1164&lt;&gt;"",DSDV!W1164,"")</f>
        <v/>
      </c>
    </row>
    <row r="1160" spans="1:4">
      <c r="A1160" t="str">
        <f>IF(DSDV!B1165&lt;&gt;"",DSDV!B1165,"")</f>
        <v/>
      </c>
      <c r="B1160" t="str">
        <f>IF(DSDV!G1165&lt;&gt;"",DSDV!G1165,"")</f>
        <v/>
      </c>
      <c r="C1160" s="237" t="str">
        <f>IF(DSDV!K1165&lt;&gt;"",DSDV!K1165,"")</f>
        <v/>
      </c>
      <c r="D1160" s="417" t="str">
        <f>IF(DSDV!W1165&lt;&gt;"",DSDV!W1165,"")</f>
        <v/>
      </c>
    </row>
    <row r="1161" spans="1:4">
      <c r="A1161" t="str">
        <f>IF(DSDV!B1166&lt;&gt;"",DSDV!B1166,"")</f>
        <v/>
      </c>
      <c r="B1161" t="str">
        <f>IF(DSDV!G1166&lt;&gt;"",DSDV!G1166,"")</f>
        <v/>
      </c>
      <c r="C1161" s="237" t="str">
        <f>IF(DSDV!K1166&lt;&gt;"",DSDV!K1166,"")</f>
        <v/>
      </c>
      <c r="D1161" s="417" t="str">
        <f>IF(DSDV!W1166&lt;&gt;"",DSDV!W1166,"")</f>
        <v/>
      </c>
    </row>
    <row r="1162" spans="1:4">
      <c r="A1162" t="str">
        <f>IF(DSDV!B1167&lt;&gt;"",DSDV!B1167,"")</f>
        <v/>
      </c>
      <c r="B1162" t="str">
        <f>IF(DSDV!G1167&lt;&gt;"",DSDV!G1167,"")</f>
        <v/>
      </c>
      <c r="C1162" s="237" t="str">
        <f>IF(DSDV!K1167&lt;&gt;"",DSDV!K1167,"")</f>
        <v/>
      </c>
      <c r="D1162" s="417" t="str">
        <f>IF(DSDV!W1167&lt;&gt;"",DSDV!W1167,"")</f>
        <v/>
      </c>
    </row>
    <row r="1163" spans="1:4">
      <c r="A1163" t="str">
        <f>IF(DSDV!B1168&lt;&gt;"",DSDV!B1168,"")</f>
        <v/>
      </c>
      <c r="B1163" t="str">
        <f>IF(DSDV!G1168&lt;&gt;"",DSDV!G1168,"")</f>
        <v/>
      </c>
      <c r="C1163" s="237" t="str">
        <f>IF(DSDV!K1168&lt;&gt;"",DSDV!K1168,"")</f>
        <v/>
      </c>
      <c r="D1163" s="417" t="str">
        <f>IF(DSDV!W1168&lt;&gt;"",DSDV!W1168,"")</f>
        <v/>
      </c>
    </row>
    <row r="1164" spans="1:4">
      <c r="A1164" t="str">
        <f>IF(DSDV!B1169&lt;&gt;"",DSDV!B1169,"")</f>
        <v/>
      </c>
      <c r="B1164" t="str">
        <f>IF(DSDV!G1169&lt;&gt;"",DSDV!G1169,"")</f>
        <v/>
      </c>
      <c r="C1164" s="237" t="str">
        <f>IF(DSDV!K1169&lt;&gt;"",DSDV!K1169,"")</f>
        <v/>
      </c>
      <c r="D1164" s="417" t="str">
        <f>IF(DSDV!W1169&lt;&gt;"",DSDV!W1169,"")</f>
        <v/>
      </c>
    </row>
    <row r="1165" spans="1:4">
      <c r="A1165" t="str">
        <f>IF(DSDV!B1170&lt;&gt;"",DSDV!B1170,"")</f>
        <v/>
      </c>
      <c r="B1165" t="str">
        <f>IF(DSDV!G1170&lt;&gt;"",DSDV!G1170,"")</f>
        <v/>
      </c>
      <c r="C1165" s="237" t="str">
        <f>IF(DSDV!K1170&lt;&gt;"",DSDV!K1170,"")</f>
        <v/>
      </c>
      <c r="D1165" s="417" t="str">
        <f>IF(DSDV!W1170&lt;&gt;"",DSDV!W1170,"")</f>
        <v/>
      </c>
    </row>
    <row r="1166" spans="1:4">
      <c r="A1166" t="str">
        <f>IF(DSDV!B1171&lt;&gt;"",DSDV!B1171,"")</f>
        <v/>
      </c>
      <c r="B1166" t="str">
        <f>IF(DSDV!G1171&lt;&gt;"",DSDV!G1171,"")</f>
        <v/>
      </c>
      <c r="C1166" s="237" t="str">
        <f>IF(DSDV!K1171&lt;&gt;"",DSDV!K1171,"")</f>
        <v/>
      </c>
      <c r="D1166" s="417" t="str">
        <f>IF(DSDV!W1171&lt;&gt;"",DSDV!W1171,"")</f>
        <v/>
      </c>
    </row>
    <row r="1167" spans="1:4">
      <c r="A1167" t="str">
        <f>IF(DSDV!B1172&lt;&gt;"",DSDV!B1172,"")</f>
        <v/>
      </c>
      <c r="B1167" t="str">
        <f>IF(DSDV!G1172&lt;&gt;"",DSDV!G1172,"")</f>
        <v/>
      </c>
      <c r="C1167" s="237" t="str">
        <f>IF(DSDV!K1172&lt;&gt;"",DSDV!K1172,"")</f>
        <v/>
      </c>
      <c r="D1167" s="417" t="str">
        <f>IF(DSDV!W1172&lt;&gt;"",DSDV!W1172,"")</f>
        <v/>
      </c>
    </row>
    <row r="1168" spans="1:4">
      <c r="A1168" t="str">
        <f>IF(DSDV!B1173&lt;&gt;"",DSDV!B1173,"")</f>
        <v/>
      </c>
      <c r="B1168" t="str">
        <f>IF(DSDV!G1173&lt;&gt;"",DSDV!G1173,"")</f>
        <v/>
      </c>
      <c r="C1168" s="237" t="str">
        <f>IF(DSDV!K1173&lt;&gt;"",DSDV!K1173,"")</f>
        <v/>
      </c>
      <c r="D1168" s="417" t="str">
        <f>IF(DSDV!W1173&lt;&gt;"",DSDV!W1173,"")</f>
        <v/>
      </c>
    </row>
    <row r="1169" spans="1:4">
      <c r="A1169" t="str">
        <f>IF(DSDV!B1174&lt;&gt;"",DSDV!B1174,"")</f>
        <v/>
      </c>
      <c r="B1169" t="str">
        <f>IF(DSDV!G1174&lt;&gt;"",DSDV!G1174,"")</f>
        <v/>
      </c>
      <c r="C1169" s="237" t="str">
        <f>IF(DSDV!K1174&lt;&gt;"",DSDV!K1174,"")</f>
        <v/>
      </c>
      <c r="D1169" s="417" t="str">
        <f>IF(DSDV!W1174&lt;&gt;"",DSDV!W1174,"")</f>
        <v/>
      </c>
    </row>
    <row r="1170" spans="1:4">
      <c r="A1170" t="str">
        <f>IF(DSDV!B1175&lt;&gt;"",DSDV!B1175,"")</f>
        <v/>
      </c>
      <c r="B1170" t="str">
        <f>IF(DSDV!G1175&lt;&gt;"",DSDV!G1175,"")</f>
        <v/>
      </c>
      <c r="C1170" s="237" t="str">
        <f>IF(DSDV!K1175&lt;&gt;"",DSDV!K1175,"")</f>
        <v/>
      </c>
      <c r="D1170" s="417" t="str">
        <f>IF(DSDV!W1175&lt;&gt;"",DSDV!W1175,"")</f>
        <v/>
      </c>
    </row>
    <row r="1171" spans="1:4">
      <c r="A1171" t="str">
        <f>IF(DSDV!B1176&lt;&gt;"",DSDV!B1176,"")</f>
        <v/>
      </c>
      <c r="B1171" t="str">
        <f>IF(DSDV!G1176&lt;&gt;"",DSDV!G1176,"")</f>
        <v/>
      </c>
      <c r="C1171" s="237" t="str">
        <f>IF(DSDV!K1176&lt;&gt;"",DSDV!K1176,"")</f>
        <v/>
      </c>
      <c r="D1171" s="417" t="str">
        <f>IF(DSDV!W1176&lt;&gt;"",DSDV!W1176,"")</f>
        <v/>
      </c>
    </row>
    <row r="1172" spans="1:4">
      <c r="A1172" t="str">
        <f>IF(DSDV!B1177&lt;&gt;"",DSDV!B1177,"")</f>
        <v/>
      </c>
      <c r="B1172" t="str">
        <f>IF(DSDV!G1177&lt;&gt;"",DSDV!G1177,"")</f>
        <v/>
      </c>
      <c r="C1172" s="237" t="str">
        <f>IF(DSDV!K1177&lt;&gt;"",DSDV!K1177,"")</f>
        <v/>
      </c>
      <c r="D1172" s="417" t="str">
        <f>IF(DSDV!W1177&lt;&gt;"",DSDV!W1177,"")</f>
        <v/>
      </c>
    </row>
    <row r="1173" spans="1:4">
      <c r="A1173" t="str">
        <f>IF(DSDV!B1178&lt;&gt;"",DSDV!B1178,"")</f>
        <v/>
      </c>
      <c r="B1173" t="str">
        <f>IF(DSDV!G1178&lt;&gt;"",DSDV!G1178,"")</f>
        <v/>
      </c>
      <c r="C1173" s="237" t="str">
        <f>IF(DSDV!K1178&lt;&gt;"",DSDV!K1178,"")</f>
        <v/>
      </c>
      <c r="D1173" s="417" t="str">
        <f>IF(DSDV!W1178&lt;&gt;"",DSDV!W1178,"")</f>
        <v/>
      </c>
    </row>
    <row r="1174" spans="1:4">
      <c r="A1174" t="str">
        <f>IF(DSDV!B1179&lt;&gt;"",DSDV!B1179,"")</f>
        <v/>
      </c>
      <c r="B1174" t="str">
        <f>IF(DSDV!G1179&lt;&gt;"",DSDV!G1179,"")</f>
        <v/>
      </c>
      <c r="C1174" s="237" t="str">
        <f>IF(DSDV!K1179&lt;&gt;"",DSDV!K1179,"")</f>
        <v/>
      </c>
      <c r="D1174" s="417" t="str">
        <f>IF(DSDV!W1179&lt;&gt;"",DSDV!W1179,"")</f>
        <v/>
      </c>
    </row>
    <row r="1175" spans="1:4">
      <c r="A1175" t="str">
        <f>IF(DSDV!B1180&lt;&gt;"",DSDV!B1180,"")</f>
        <v/>
      </c>
      <c r="B1175" t="str">
        <f>IF(DSDV!G1180&lt;&gt;"",DSDV!G1180,"")</f>
        <v/>
      </c>
      <c r="C1175" s="237" t="str">
        <f>IF(DSDV!K1180&lt;&gt;"",DSDV!K1180,"")</f>
        <v/>
      </c>
      <c r="D1175" s="417" t="str">
        <f>IF(DSDV!W1180&lt;&gt;"",DSDV!W1180,"")</f>
        <v/>
      </c>
    </row>
    <row r="1176" spans="1:4">
      <c r="A1176" t="str">
        <f>IF(DSDV!B1181&lt;&gt;"",DSDV!B1181,"")</f>
        <v/>
      </c>
      <c r="B1176" t="str">
        <f>IF(DSDV!G1181&lt;&gt;"",DSDV!G1181,"")</f>
        <v/>
      </c>
      <c r="C1176" s="237" t="str">
        <f>IF(DSDV!K1181&lt;&gt;"",DSDV!K1181,"")</f>
        <v/>
      </c>
      <c r="D1176" s="417" t="str">
        <f>IF(DSDV!W1181&lt;&gt;"",DSDV!W1181,"")</f>
        <v/>
      </c>
    </row>
    <row r="1177" spans="1:4">
      <c r="A1177" t="str">
        <f>IF(DSDV!B1182&lt;&gt;"",DSDV!B1182,"")</f>
        <v/>
      </c>
      <c r="B1177" t="str">
        <f>IF(DSDV!G1182&lt;&gt;"",DSDV!G1182,"")</f>
        <v/>
      </c>
      <c r="C1177" s="237" t="str">
        <f>IF(DSDV!K1182&lt;&gt;"",DSDV!K1182,"")</f>
        <v/>
      </c>
      <c r="D1177" s="417" t="str">
        <f>IF(DSDV!W1182&lt;&gt;"",DSDV!W1182,"")</f>
        <v/>
      </c>
    </row>
    <row r="1178" spans="1:4">
      <c r="A1178" t="str">
        <f>IF(DSDV!B1183&lt;&gt;"",DSDV!B1183,"")</f>
        <v/>
      </c>
      <c r="B1178" t="str">
        <f>IF(DSDV!G1183&lt;&gt;"",DSDV!G1183,"")</f>
        <v/>
      </c>
      <c r="C1178" s="237" t="str">
        <f>IF(DSDV!K1183&lt;&gt;"",DSDV!K1183,"")</f>
        <v/>
      </c>
      <c r="D1178" s="417" t="str">
        <f>IF(DSDV!W1183&lt;&gt;"",DSDV!W1183,"")</f>
        <v/>
      </c>
    </row>
    <row r="1179" spans="1:4">
      <c r="A1179" t="str">
        <f>IF(DSDV!B1184&lt;&gt;"",DSDV!B1184,"")</f>
        <v/>
      </c>
      <c r="B1179" t="str">
        <f>IF(DSDV!G1184&lt;&gt;"",DSDV!G1184,"")</f>
        <v/>
      </c>
      <c r="C1179" s="237" t="str">
        <f>IF(DSDV!K1184&lt;&gt;"",DSDV!K1184,"")</f>
        <v/>
      </c>
      <c r="D1179" s="417" t="str">
        <f>IF(DSDV!W1184&lt;&gt;"",DSDV!W1184,"")</f>
        <v/>
      </c>
    </row>
    <row r="1180" spans="1:4">
      <c r="C1180" s="237"/>
      <c r="D1180" s="238"/>
    </row>
    <row r="1181" spans="1:4">
      <c r="C1181" s="237"/>
      <c r="D1181" s="238"/>
    </row>
    <row r="1182" spans="1:4">
      <c r="C1182" s="237"/>
      <c r="D1182" s="238"/>
    </row>
    <row r="1183" spans="1:4">
      <c r="C1183" s="237"/>
      <c r="D1183" s="238"/>
    </row>
    <row r="1184" spans="1:4">
      <c r="C1184" s="237"/>
      <c r="D1184" s="238"/>
    </row>
    <row r="1185" spans="3:4">
      <c r="C1185" s="237"/>
      <c r="D1185" s="238"/>
    </row>
    <row r="1186" spans="3:4">
      <c r="C1186" s="237"/>
      <c r="D1186" s="238"/>
    </row>
    <row r="1187" spans="3:4">
      <c r="C1187" s="237"/>
      <c r="D1187" s="238"/>
    </row>
    <row r="1188" spans="3:4">
      <c r="C1188" s="237"/>
      <c r="D1188" s="238"/>
    </row>
    <row r="1189" spans="3:4">
      <c r="C1189" s="237"/>
      <c r="D1189" s="238"/>
    </row>
    <row r="1190" spans="3:4">
      <c r="C1190" s="237"/>
      <c r="D1190" s="238"/>
    </row>
    <row r="1191" spans="3:4">
      <c r="C1191" s="237"/>
      <c r="D1191" s="238"/>
    </row>
    <row r="1192" spans="3:4">
      <c r="C1192" s="237"/>
      <c r="D1192" s="238"/>
    </row>
    <row r="1193" spans="3:4">
      <c r="C1193" s="237"/>
      <c r="D1193" s="238"/>
    </row>
    <row r="1194" spans="3:4">
      <c r="C1194" s="237"/>
      <c r="D1194" s="238"/>
    </row>
    <row r="1195" spans="3:4">
      <c r="C1195" s="237"/>
      <c r="D1195" s="238"/>
    </row>
    <row r="1196" spans="3:4">
      <c r="C1196" s="237"/>
      <c r="D1196" s="238"/>
    </row>
    <row r="1197" spans="3:4">
      <c r="C1197" s="237"/>
      <c r="D1197" s="238"/>
    </row>
    <row r="1198" spans="3:4">
      <c r="C1198" s="237"/>
      <c r="D1198" s="238"/>
    </row>
    <row r="1199" spans="3:4">
      <c r="C1199" s="237"/>
      <c r="D1199" s="238"/>
    </row>
    <row r="1200" spans="3:4">
      <c r="C1200" s="237"/>
      <c r="D1200" s="238"/>
    </row>
    <row r="1201" spans="3:4">
      <c r="C1201" s="237"/>
      <c r="D1201" s="238"/>
    </row>
    <row r="1202" spans="3:4">
      <c r="C1202" s="237"/>
      <c r="D1202" s="238"/>
    </row>
    <row r="1203" spans="3:4">
      <c r="C1203" s="237"/>
      <c r="D1203" s="238"/>
    </row>
    <row r="1204" spans="3:4">
      <c r="C1204" s="237"/>
      <c r="D1204" s="238"/>
    </row>
    <row r="1205" spans="3:4">
      <c r="C1205" s="237"/>
      <c r="D1205" s="238"/>
    </row>
    <row r="1206" spans="3:4">
      <c r="C1206" s="237"/>
      <c r="D1206" s="238"/>
    </row>
    <row r="1207" spans="3:4">
      <c r="C1207" s="237"/>
      <c r="D1207" s="238"/>
    </row>
    <row r="1208" spans="3:4">
      <c r="C1208" s="237"/>
      <c r="D1208" s="238"/>
    </row>
    <row r="1209" spans="3:4">
      <c r="C1209" s="237"/>
      <c r="D1209" s="238"/>
    </row>
    <row r="1210" spans="3:4">
      <c r="C1210" s="237"/>
      <c r="D1210" s="238"/>
    </row>
    <row r="1211" spans="3:4">
      <c r="C1211" s="237"/>
      <c r="D1211" s="238"/>
    </row>
    <row r="1212" spans="3:4">
      <c r="C1212" s="237"/>
      <c r="D1212" s="238"/>
    </row>
    <row r="1213" spans="3:4">
      <c r="C1213" s="237"/>
      <c r="D1213" s="238"/>
    </row>
    <row r="1214" spans="3:4">
      <c r="C1214" s="237"/>
      <c r="D1214" s="238"/>
    </row>
    <row r="1215" spans="3:4">
      <c r="C1215" s="237"/>
      <c r="D1215" s="238"/>
    </row>
    <row r="1216" spans="3:4">
      <c r="C1216" s="237"/>
      <c r="D1216" s="238"/>
    </row>
    <row r="1217" spans="3:4">
      <c r="C1217" s="237"/>
      <c r="D1217" s="238"/>
    </row>
    <row r="1218" spans="3:4">
      <c r="C1218" s="237"/>
      <c r="D1218" s="238"/>
    </row>
    <row r="1219" spans="3:4">
      <c r="C1219" s="237"/>
      <c r="D1219" s="238"/>
    </row>
    <row r="1220" spans="3:4">
      <c r="C1220" s="237"/>
      <c r="D1220" s="238"/>
    </row>
    <row r="1221" spans="3:4">
      <c r="C1221" s="237"/>
      <c r="D1221" s="238"/>
    </row>
    <row r="1222" spans="3:4">
      <c r="C1222" s="237"/>
      <c r="D1222" s="238"/>
    </row>
    <row r="1223" spans="3:4">
      <c r="C1223" s="237"/>
      <c r="D1223" s="238"/>
    </row>
    <row r="1224" spans="3:4">
      <c r="C1224" s="237"/>
      <c r="D1224" s="238"/>
    </row>
    <row r="1225" spans="3:4">
      <c r="C1225" s="237"/>
      <c r="D1225" s="238"/>
    </row>
    <row r="1226" spans="3:4">
      <c r="C1226" s="237"/>
      <c r="D1226" s="238"/>
    </row>
    <row r="1227" spans="3:4">
      <c r="C1227" s="237"/>
      <c r="D1227" s="238"/>
    </row>
    <row r="1228" spans="3:4">
      <c r="C1228" s="237"/>
      <c r="D1228" s="238"/>
    </row>
    <row r="1229" spans="3:4">
      <c r="C1229" s="237"/>
      <c r="D1229" s="238"/>
    </row>
    <row r="1230" spans="3:4">
      <c r="C1230" s="237"/>
      <c r="D1230" s="238"/>
    </row>
    <row r="1231" spans="3:4">
      <c r="C1231" s="237"/>
      <c r="D1231" s="238"/>
    </row>
    <row r="1232" spans="3:4">
      <c r="C1232" s="237"/>
      <c r="D1232" s="238"/>
    </row>
    <row r="1233" spans="3:4">
      <c r="C1233" s="237"/>
      <c r="D1233" s="238"/>
    </row>
    <row r="1234" spans="3:4">
      <c r="C1234" s="237"/>
      <c r="D1234" s="238"/>
    </row>
    <row r="1235" spans="3:4">
      <c r="C1235" s="237"/>
      <c r="D1235" s="238"/>
    </row>
    <row r="1236" spans="3:4">
      <c r="C1236" s="237"/>
      <c r="D1236" s="238"/>
    </row>
    <row r="1237" spans="3:4">
      <c r="C1237" s="237"/>
      <c r="D1237" s="238"/>
    </row>
    <row r="1238" spans="3:4">
      <c r="C1238" s="237"/>
      <c r="D1238" s="238"/>
    </row>
    <row r="1239" spans="3:4">
      <c r="C1239" s="237"/>
      <c r="D1239" s="238"/>
    </row>
    <row r="1240" spans="3:4">
      <c r="C1240" s="237"/>
      <c r="D1240" s="238"/>
    </row>
    <row r="1241" spans="3:4">
      <c r="C1241" s="237"/>
      <c r="D1241" s="238"/>
    </row>
    <row r="1242" spans="3:4">
      <c r="C1242" s="237"/>
      <c r="D1242" s="238"/>
    </row>
    <row r="1243" spans="3:4">
      <c r="C1243" s="237"/>
      <c r="D1243" s="238"/>
    </row>
    <row r="1244" spans="3:4">
      <c r="C1244" s="237"/>
      <c r="D1244" s="238"/>
    </row>
    <row r="1245" spans="3:4">
      <c r="C1245" s="237"/>
      <c r="D1245" s="238"/>
    </row>
    <row r="1246" spans="3:4">
      <c r="C1246" s="237"/>
      <c r="D1246" s="238"/>
    </row>
    <row r="1247" spans="3:4">
      <c r="C1247" s="237"/>
      <c r="D1247" s="238"/>
    </row>
    <row r="1248" spans="3:4">
      <c r="C1248" s="237"/>
      <c r="D1248" s="238"/>
    </row>
    <row r="1249" spans="3:4">
      <c r="C1249" s="237"/>
      <c r="D1249" s="238"/>
    </row>
    <row r="1250" spans="3:4">
      <c r="C1250" s="237"/>
      <c r="D1250" s="238"/>
    </row>
    <row r="1251" spans="3:4">
      <c r="C1251" s="237"/>
      <c r="D1251" s="238"/>
    </row>
    <row r="1252" spans="3:4">
      <c r="C1252" s="237"/>
      <c r="D1252" s="238"/>
    </row>
    <row r="1253" spans="3:4">
      <c r="C1253" s="237"/>
      <c r="D1253" s="238"/>
    </row>
    <row r="1254" spans="3:4">
      <c r="C1254" s="237"/>
      <c r="D1254" s="238"/>
    </row>
    <row r="1255" spans="3:4">
      <c r="C1255" s="237"/>
      <c r="D1255" s="238"/>
    </row>
    <row r="1256" spans="3:4">
      <c r="C1256" s="237"/>
      <c r="D1256" s="238"/>
    </row>
    <row r="1257" spans="3:4">
      <c r="C1257" s="237"/>
      <c r="D1257" s="238"/>
    </row>
    <row r="1258" spans="3:4">
      <c r="C1258" s="237"/>
      <c r="D1258" s="238"/>
    </row>
    <row r="1259" spans="3:4">
      <c r="C1259" s="237"/>
      <c r="D1259" s="238"/>
    </row>
    <row r="1260" spans="3:4">
      <c r="C1260" s="237"/>
      <c r="D1260" s="238"/>
    </row>
    <row r="1261" spans="3:4">
      <c r="C1261" s="237"/>
      <c r="D1261" s="238"/>
    </row>
    <row r="1262" spans="3:4">
      <c r="C1262" s="237"/>
      <c r="D1262" s="238"/>
    </row>
    <row r="1263" spans="3:4">
      <c r="C1263" s="237"/>
      <c r="D1263" s="238"/>
    </row>
    <row r="1264" spans="3:4">
      <c r="C1264" s="237"/>
      <c r="D1264" s="238"/>
    </row>
    <row r="1265" spans="3:4">
      <c r="C1265" s="237"/>
      <c r="D1265" s="238"/>
    </row>
    <row r="1266" spans="3:4">
      <c r="C1266" s="237"/>
      <c r="D1266" s="238"/>
    </row>
    <row r="1267" spans="3:4">
      <c r="C1267" s="237"/>
      <c r="D1267" s="238"/>
    </row>
    <row r="1268" spans="3:4">
      <c r="C1268" s="237"/>
      <c r="D1268" s="238"/>
    </row>
    <row r="1269" spans="3:4">
      <c r="C1269" s="237"/>
      <c r="D1269" s="238"/>
    </row>
    <row r="1270" spans="3:4">
      <c r="C1270" s="237"/>
      <c r="D1270" s="238"/>
    </row>
    <row r="1271" spans="3:4">
      <c r="C1271" s="237"/>
      <c r="D1271" s="238"/>
    </row>
    <row r="1272" spans="3:4">
      <c r="C1272" s="237"/>
      <c r="D1272" s="238"/>
    </row>
    <row r="1273" spans="3:4">
      <c r="C1273" s="237"/>
      <c r="D1273" s="238"/>
    </row>
    <row r="1274" spans="3:4">
      <c r="C1274" s="237"/>
      <c r="D1274" s="238"/>
    </row>
    <row r="1275" spans="3:4">
      <c r="C1275" s="237"/>
      <c r="D1275" s="238"/>
    </row>
    <row r="1276" spans="3:4">
      <c r="C1276" s="237"/>
      <c r="D1276" s="238"/>
    </row>
    <row r="1277" spans="3:4">
      <c r="C1277" s="237"/>
      <c r="D1277" s="238"/>
    </row>
    <row r="1278" spans="3:4">
      <c r="C1278" s="237"/>
      <c r="D1278" s="238"/>
    </row>
    <row r="1279" spans="3:4">
      <c r="C1279" s="237"/>
      <c r="D1279" s="238"/>
    </row>
    <row r="1280" spans="3:4">
      <c r="C1280" s="237"/>
      <c r="D1280" s="238"/>
    </row>
    <row r="1281" spans="3:4">
      <c r="C1281" s="237"/>
      <c r="D1281" s="238"/>
    </row>
    <row r="1282" spans="3:4">
      <c r="C1282" s="237"/>
      <c r="D1282" s="238"/>
    </row>
    <row r="1283" spans="3:4">
      <c r="C1283" s="237"/>
      <c r="D1283" s="238"/>
    </row>
    <row r="1284" spans="3:4">
      <c r="C1284" s="237"/>
      <c r="D1284" s="238"/>
    </row>
    <row r="1285" spans="3:4">
      <c r="C1285" s="237"/>
      <c r="D1285" s="238"/>
    </row>
    <row r="1286" spans="3:4">
      <c r="C1286" s="237"/>
      <c r="D1286" s="238"/>
    </row>
    <row r="1287" spans="3:4">
      <c r="C1287" s="237"/>
      <c r="D1287" s="238"/>
    </row>
    <row r="1288" spans="3:4">
      <c r="C1288" s="237"/>
      <c r="D1288" s="238"/>
    </row>
    <row r="1289" spans="3:4">
      <c r="C1289" s="237"/>
      <c r="D1289" s="238"/>
    </row>
    <row r="1290" spans="3:4">
      <c r="C1290" s="237"/>
      <c r="D1290" s="238"/>
    </row>
    <row r="1291" spans="3:4">
      <c r="C1291" s="237"/>
      <c r="D1291" s="238"/>
    </row>
    <row r="1292" spans="3:4">
      <c r="C1292" s="237"/>
      <c r="D1292" s="238"/>
    </row>
    <row r="1293" spans="3:4">
      <c r="C1293" s="237"/>
      <c r="D1293" s="238"/>
    </row>
    <row r="1294" spans="3:4">
      <c r="C1294" s="237"/>
      <c r="D1294" s="238"/>
    </row>
    <row r="1295" spans="3:4">
      <c r="C1295" s="237"/>
      <c r="D1295" s="238"/>
    </row>
    <row r="1296" spans="3:4">
      <c r="C1296" s="237"/>
      <c r="D1296" s="238"/>
    </row>
    <row r="1297" spans="3:4">
      <c r="C1297" s="237"/>
      <c r="D1297" s="238"/>
    </row>
    <row r="1298" spans="3:4">
      <c r="C1298" s="237"/>
      <c r="D1298" s="238"/>
    </row>
    <row r="1299" spans="3:4">
      <c r="C1299" s="237"/>
      <c r="D1299" s="238"/>
    </row>
    <row r="1300" spans="3:4">
      <c r="C1300" s="237"/>
      <c r="D1300" s="238"/>
    </row>
    <row r="1301" spans="3:4">
      <c r="C1301" s="237"/>
      <c r="D1301" s="238"/>
    </row>
    <row r="1302" spans="3:4">
      <c r="C1302" s="237"/>
      <c r="D1302" s="238"/>
    </row>
    <row r="1303" spans="3:4">
      <c r="C1303" s="237"/>
      <c r="D1303" s="238"/>
    </row>
    <row r="1304" spans="3:4">
      <c r="C1304" s="237"/>
      <c r="D1304" s="238"/>
    </row>
    <row r="1305" spans="3:4">
      <c r="C1305" s="237"/>
      <c r="D1305" s="238"/>
    </row>
    <row r="1306" spans="3:4">
      <c r="C1306" s="237"/>
      <c r="D1306" s="238"/>
    </row>
    <row r="1307" spans="3:4">
      <c r="C1307" s="237"/>
      <c r="D1307" s="238"/>
    </row>
    <row r="1308" spans="3:4">
      <c r="C1308" s="237"/>
      <c r="D1308" s="238"/>
    </row>
    <row r="1309" spans="3:4">
      <c r="C1309" s="237"/>
      <c r="D1309" s="238"/>
    </row>
    <row r="1310" spans="3:4">
      <c r="C1310" s="237"/>
      <c r="D1310" s="238"/>
    </row>
    <row r="1311" spans="3:4">
      <c r="C1311" s="237"/>
      <c r="D1311" s="238"/>
    </row>
    <row r="1312" spans="3:4">
      <c r="C1312" s="237"/>
      <c r="D1312" s="238"/>
    </row>
    <row r="1313" spans="3:4">
      <c r="C1313" s="237"/>
      <c r="D1313" s="238"/>
    </row>
    <row r="1314" spans="3:4">
      <c r="C1314" s="237"/>
      <c r="D1314" s="238"/>
    </row>
    <row r="1315" spans="3:4">
      <c r="C1315" s="237"/>
      <c r="D1315" s="238"/>
    </row>
    <row r="1316" spans="3:4">
      <c r="C1316" s="237"/>
      <c r="D1316" s="238"/>
    </row>
    <row r="1317" spans="3:4">
      <c r="C1317" s="237"/>
      <c r="D1317" s="238"/>
    </row>
    <row r="1318" spans="3:4">
      <c r="C1318" s="237"/>
      <c r="D1318" s="238"/>
    </row>
    <row r="1319" spans="3:4">
      <c r="C1319" s="237"/>
      <c r="D1319" s="238"/>
    </row>
    <row r="1320" spans="3:4">
      <c r="C1320" s="237"/>
      <c r="D1320" s="238"/>
    </row>
    <row r="1321" spans="3:4">
      <c r="C1321" s="237"/>
      <c r="D1321" s="238"/>
    </row>
    <row r="1322" spans="3:4">
      <c r="C1322" s="237"/>
      <c r="D1322" s="238"/>
    </row>
    <row r="1323" spans="3:4">
      <c r="C1323" s="237"/>
      <c r="D1323" s="238"/>
    </row>
    <row r="1324" spans="3:4">
      <c r="C1324" s="237"/>
      <c r="D1324" s="238"/>
    </row>
    <row r="1325" spans="3:4">
      <c r="C1325" s="237"/>
      <c r="D1325" s="238"/>
    </row>
    <row r="1326" spans="3:4">
      <c r="C1326" s="237"/>
      <c r="D1326" s="238"/>
    </row>
    <row r="1327" spans="3:4">
      <c r="C1327" s="237"/>
      <c r="D1327" s="238"/>
    </row>
    <row r="1328" spans="3:4">
      <c r="C1328" s="237"/>
      <c r="D1328" s="238"/>
    </row>
    <row r="1329" spans="3:4">
      <c r="C1329" s="237"/>
      <c r="D1329" s="238"/>
    </row>
    <row r="1330" spans="3:4">
      <c r="C1330" s="237"/>
      <c r="D1330" s="238"/>
    </row>
    <row r="1331" spans="3:4">
      <c r="C1331" s="237"/>
      <c r="D1331" s="238"/>
    </row>
    <row r="1332" spans="3:4">
      <c r="C1332" s="237"/>
      <c r="D1332" s="238"/>
    </row>
    <row r="1333" spans="3:4">
      <c r="C1333" s="237"/>
      <c r="D1333" s="238"/>
    </row>
    <row r="1334" spans="3:4">
      <c r="C1334" s="237"/>
      <c r="D1334" s="238"/>
    </row>
    <row r="1335" spans="3:4">
      <c r="C1335" s="237"/>
      <c r="D1335" s="238"/>
    </row>
    <row r="1336" spans="3:4">
      <c r="C1336" s="237"/>
      <c r="D1336" s="238"/>
    </row>
    <row r="1337" spans="3:4">
      <c r="C1337" s="237"/>
      <c r="D1337" s="238"/>
    </row>
    <row r="1338" spans="3:4">
      <c r="C1338" s="237"/>
      <c r="D1338" s="238"/>
    </row>
    <row r="1339" spans="3:4">
      <c r="C1339" s="237"/>
      <c r="D1339" s="238"/>
    </row>
    <row r="1340" spans="3:4">
      <c r="C1340" s="237"/>
      <c r="D1340" s="238"/>
    </row>
    <row r="1341" spans="3:4">
      <c r="C1341" s="237"/>
      <c r="D1341" s="238"/>
    </row>
    <row r="1342" spans="3:4">
      <c r="C1342" s="237"/>
      <c r="D1342" s="238"/>
    </row>
    <row r="1343" spans="3:4">
      <c r="C1343" s="237"/>
      <c r="D1343" s="238"/>
    </row>
    <row r="1344" spans="3:4">
      <c r="C1344" s="237"/>
      <c r="D1344" s="238"/>
    </row>
    <row r="1345" spans="3:4">
      <c r="C1345" s="237"/>
      <c r="D1345" s="238"/>
    </row>
    <row r="1346" spans="3:4">
      <c r="C1346" s="237"/>
      <c r="D1346" s="238"/>
    </row>
    <row r="1347" spans="3:4">
      <c r="C1347" s="237"/>
      <c r="D1347" s="238"/>
    </row>
    <row r="1348" spans="3:4">
      <c r="C1348" s="237"/>
      <c r="D1348" s="238"/>
    </row>
    <row r="1349" spans="3:4">
      <c r="C1349" s="237"/>
      <c r="D1349" s="238"/>
    </row>
    <row r="1350" spans="3:4">
      <c r="C1350" s="237"/>
      <c r="D1350" s="238"/>
    </row>
    <row r="1351" spans="3:4">
      <c r="C1351" s="237"/>
      <c r="D1351" s="238"/>
    </row>
    <row r="1352" spans="3:4">
      <c r="C1352" s="237"/>
      <c r="D1352" s="238"/>
    </row>
    <row r="1353" spans="3:4">
      <c r="C1353" s="237"/>
      <c r="D1353" s="238"/>
    </row>
    <row r="1354" spans="3:4">
      <c r="C1354" s="237"/>
      <c r="D1354" s="238"/>
    </row>
    <row r="1355" spans="3:4">
      <c r="C1355" s="237"/>
      <c r="D1355" s="238"/>
    </row>
    <row r="1356" spans="3:4">
      <c r="C1356" s="237"/>
      <c r="D1356" s="238"/>
    </row>
    <row r="1357" spans="3:4">
      <c r="C1357" s="237"/>
      <c r="D1357" s="238"/>
    </row>
    <row r="1358" spans="3:4">
      <c r="C1358" s="237"/>
      <c r="D1358" s="238"/>
    </row>
    <row r="1359" spans="3:4">
      <c r="C1359" s="237"/>
      <c r="D1359" s="238"/>
    </row>
    <row r="1360" spans="3:4">
      <c r="C1360" s="237"/>
      <c r="D1360" s="238"/>
    </row>
    <row r="1361" spans="3:4">
      <c r="C1361" s="237"/>
      <c r="D1361" s="238"/>
    </row>
    <row r="1362" spans="3:4">
      <c r="C1362" s="237"/>
      <c r="D1362" s="238"/>
    </row>
    <row r="1363" spans="3:4">
      <c r="C1363" s="237"/>
      <c r="D1363" s="238"/>
    </row>
    <row r="1364" spans="3:4">
      <c r="C1364" s="237"/>
      <c r="D1364" s="238"/>
    </row>
    <row r="1365" spans="3:4">
      <c r="C1365" s="237"/>
      <c r="D1365" s="238"/>
    </row>
    <row r="1366" spans="3:4">
      <c r="C1366" s="237"/>
      <c r="D1366" s="238"/>
    </row>
    <row r="1367" spans="3:4">
      <c r="C1367" s="237"/>
      <c r="D1367" s="238"/>
    </row>
    <row r="1368" spans="3:4">
      <c r="C1368" s="237"/>
      <c r="D1368" s="238"/>
    </row>
    <row r="1369" spans="3:4">
      <c r="C1369" s="237"/>
      <c r="D1369" s="238"/>
    </row>
    <row r="1370" spans="3:4">
      <c r="C1370" s="237"/>
      <c r="D1370" s="238"/>
    </row>
    <row r="1371" spans="3:4">
      <c r="C1371" s="237"/>
      <c r="D1371" s="238"/>
    </row>
    <row r="1372" spans="3:4">
      <c r="C1372" s="237"/>
      <c r="D1372" s="238"/>
    </row>
    <row r="1373" spans="3:4">
      <c r="C1373" s="237"/>
      <c r="D1373" s="238"/>
    </row>
    <row r="1374" spans="3:4">
      <c r="C1374" s="237"/>
      <c r="D1374" s="238"/>
    </row>
    <row r="1375" spans="3:4">
      <c r="C1375" s="237"/>
      <c r="D1375" s="238"/>
    </row>
    <row r="1376" spans="3:4">
      <c r="C1376" s="237"/>
      <c r="D1376" s="238"/>
    </row>
    <row r="1377" spans="3:4">
      <c r="C1377" s="237"/>
      <c r="D1377" s="238"/>
    </row>
    <row r="1378" spans="3:4">
      <c r="C1378" s="237"/>
      <c r="D1378" s="238"/>
    </row>
    <row r="1379" spans="3:4">
      <c r="C1379" s="237"/>
      <c r="D1379" s="238"/>
    </row>
    <row r="1380" spans="3:4">
      <c r="C1380" s="237"/>
      <c r="D1380" s="238"/>
    </row>
    <row r="1381" spans="3:4">
      <c r="C1381" s="237"/>
      <c r="D1381" s="238"/>
    </row>
    <row r="1382" spans="3:4">
      <c r="C1382" s="237"/>
      <c r="D1382" s="238"/>
    </row>
    <row r="1383" spans="3:4">
      <c r="C1383" s="237"/>
      <c r="D1383" s="238"/>
    </row>
    <row r="1384" spans="3:4">
      <c r="C1384" s="237"/>
      <c r="D1384" s="238"/>
    </row>
    <row r="1385" spans="3:4">
      <c r="C1385" s="237"/>
      <c r="D1385" s="238"/>
    </row>
    <row r="1386" spans="3:4">
      <c r="C1386" s="237"/>
      <c r="D1386" s="238"/>
    </row>
    <row r="1387" spans="3:4">
      <c r="C1387" s="237"/>
      <c r="D1387" s="238"/>
    </row>
    <row r="1388" spans="3:4">
      <c r="C1388" s="237"/>
      <c r="D1388" s="238"/>
    </row>
    <row r="1389" spans="3:4">
      <c r="C1389" s="237"/>
      <c r="D1389" s="238"/>
    </row>
    <row r="1390" spans="3:4">
      <c r="C1390" s="237"/>
      <c r="D1390" s="238"/>
    </row>
    <row r="1391" spans="3:4">
      <c r="C1391" s="237"/>
      <c r="D1391" s="238"/>
    </row>
    <row r="1392" spans="3:4">
      <c r="C1392" s="237"/>
      <c r="D1392" s="238"/>
    </row>
    <row r="1393" spans="3:4">
      <c r="C1393" s="237"/>
      <c r="D1393" s="238"/>
    </row>
    <row r="1394" spans="3:4">
      <c r="C1394" s="237"/>
      <c r="D1394" s="238"/>
    </row>
    <row r="1395" spans="3:4">
      <c r="C1395" s="237"/>
      <c r="D1395" s="238"/>
    </row>
    <row r="1396" spans="3:4">
      <c r="C1396" s="237"/>
      <c r="D1396" s="238"/>
    </row>
    <row r="1397" spans="3:4">
      <c r="C1397" s="237"/>
      <c r="D1397" s="238"/>
    </row>
    <row r="1398" spans="3:4">
      <c r="C1398" s="237"/>
      <c r="D1398" s="238"/>
    </row>
    <row r="1399" spans="3:4">
      <c r="C1399" s="237"/>
      <c r="D1399" s="238"/>
    </row>
    <row r="1400" spans="3:4">
      <c r="C1400" s="237"/>
      <c r="D1400" s="238"/>
    </row>
    <row r="1401" spans="3:4">
      <c r="C1401" s="237"/>
      <c r="D1401" s="238"/>
    </row>
    <row r="1402" spans="3:4">
      <c r="C1402" s="237"/>
      <c r="D1402" s="238"/>
    </row>
    <row r="1403" spans="3:4">
      <c r="C1403" s="237"/>
      <c r="D1403" s="238"/>
    </row>
    <row r="1404" spans="3:4">
      <c r="C1404" s="237"/>
      <c r="D1404" s="238"/>
    </row>
    <row r="1405" spans="3:4">
      <c r="C1405" s="237"/>
      <c r="D1405" s="238"/>
    </row>
    <row r="1406" spans="3:4">
      <c r="C1406" s="237"/>
      <c r="D1406" s="238"/>
    </row>
    <row r="1407" spans="3:4">
      <c r="C1407" s="237"/>
      <c r="D1407" s="238"/>
    </row>
    <row r="1408" spans="3:4">
      <c r="C1408" s="237"/>
      <c r="D1408" s="238"/>
    </row>
    <row r="1409" spans="3:4">
      <c r="C1409" s="237"/>
      <c r="D1409" s="238"/>
    </row>
    <row r="1410" spans="3:4">
      <c r="C1410" s="237"/>
      <c r="D1410" s="238"/>
    </row>
    <row r="1411" spans="3:4">
      <c r="C1411" s="237"/>
      <c r="D1411" s="238"/>
    </row>
    <row r="1412" spans="3:4">
      <c r="C1412" s="237"/>
      <c r="D1412" s="238"/>
    </row>
    <row r="1413" spans="3:4">
      <c r="C1413" s="237"/>
      <c r="D1413" s="238"/>
    </row>
    <row r="1414" spans="3:4">
      <c r="C1414" s="237"/>
      <c r="D1414" s="238"/>
    </row>
    <row r="1415" spans="3:4">
      <c r="C1415" s="237"/>
      <c r="D1415" s="238"/>
    </row>
    <row r="1416" spans="3:4">
      <c r="C1416" s="237"/>
      <c r="D1416" s="238"/>
    </row>
    <row r="1417" spans="3:4">
      <c r="C1417" s="237"/>
      <c r="D1417" s="238"/>
    </row>
    <row r="1418" spans="3:4">
      <c r="C1418" s="237"/>
      <c r="D1418" s="238"/>
    </row>
    <row r="1419" spans="3:4">
      <c r="C1419" s="237"/>
      <c r="D1419" s="238"/>
    </row>
    <row r="1420" spans="3:4">
      <c r="C1420" s="237"/>
      <c r="D1420" s="238"/>
    </row>
    <row r="1421" spans="3:4">
      <c r="C1421" s="237"/>
      <c r="D1421" s="238"/>
    </row>
    <row r="1422" spans="3:4">
      <c r="C1422" s="237"/>
      <c r="D1422" s="238"/>
    </row>
    <row r="1423" spans="3:4">
      <c r="C1423" s="237"/>
      <c r="D1423" s="238"/>
    </row>
    <row r="1424" spans="3:4">
      <c r="C1424" s="237"/>
      <c r="D1424" s="238"/>
    </row>
    <row r="1425" spans="3:4">
      <c r="C1425" s="237"/>
      <c r="D1425" s="238"/>
    </row>
    <row r="1426" spans="3:4">
      <c r="C1426" s="237"/>
      <c r="D1426" s="238"/>
    </row>
    <row r="1427" spans="3:4">
      <c r="C1427" s="237"/>
      <c r="D1427" s="238"/>
    </row>
    <row r="1428" spans="3:4">
      <c r="C1428" s="237"/>
      <c r="D1428" s="238"/>
    </row>
    <row r="1429" spans="3:4">
      <c r="C1429" s="237"/>
      <c r="D1429" s="238"/>
    </row>
    <row r="1430" spans="3:4">
      <c r="C1430" s="237"/>
      <c r="D1430" s="238"/>
    </row>
    <row r="1431" spans="3:4">
      <c r="C1431" s="237"/>
      <c r="D1431" s="238"/>
    </row>
    <row r="1432" spans="3:4">
      <c r="C1432" s="237"/>
      <c r="D1432" s="238"/>
    </row>
    <row r="1433" spans="3:4">
      <c r="C1433" s="237"/>
      <c r="D1433" s="238"/>
    </row>
    <row r="1434" spans="3:4">
      <c r="C1434" s="237"/>
      <c r="D1434" s="238"/>
    </row>
    <row r="1435" spans="3:4">
      <c r="C1435" s="237"/>
      <c r="D1435" s="238"/>
    </row>
    <row r="1436" spans="3:4">
      <c r="C1436" s="237"/>
      <c r="D1436" s="238"/>
    </row>
    <row r="1437" spans="3:4">
      <c r="C1437" s="237"/>
      <c r="D1437" s="238"/>
    </row>
    <row r="1438" spans="3:4">
      <c r="C1438" s="237"/>
      <c r="D1438" s="238"/>
    </row>
    <row r="1439" spans="3:4">
      <c r="C1439" s="237"/>
      <c r="D1439" s="238"/>
    </row>
    <row r="1440" spans="3:4">
      <c r="C1440" s="237"/>
      <c r="D1440" s="238"/>
    </row>
    <row r="1441" spans="3:4">
      <c r="C1441" s="237"/>
      <c r="D1441" s="238"/>
    </row>
    <row r="1442" spans="3:4">
      <c r="C1442" s="237"/>
      <c r="D1442" s="238"/>
    </row>
    <row r="1443" spans="3:4">
      <c r="C1443" s="237"/>
      <c r="D1443" s="238"/>
    </row>
    <row r="1444" spans="3:4">
      <c r="C1444" s="237"/>
      <c r="D1444" s="238"/>
    </row>
    <row r="1445" spans="3:4">
      <c r="C1445" s="237"/>
      <c r="D1445" s="238"/>
    </row>
    <row r="1446" spans="3:4">
      <c r="C1446" s="237"/>
      <c r="D1446" s="238"/>
    </row>
    <row r="1447" spans="3:4">
      <c r="C1447" s="237"/>
      <c r="D1447" s="238"/>
    </row>
    <row r="1448" spans="3:4">
      <c r="C1448" s="237"/>
      <c r="D1448" s="238"/>
    </row>
    <row r="1449" spans="3:4">
      <c r="C1449" s="237"/>
      <c r="D1449" s="238"/>
    </row>
    <row r="1450" spans="3:4">
      <c r="C1450" s="237"/>
      <c r="D1450" s="238"/>
    </row>
    <row r="1451" spans="3:4">
      <c r="C1451" s="237"/>
      <c r="D1451" s="238"/>
    </row>
    <row r="1452" spans="3:4">
      <c r="C1452" s="237"/>
      <c r="D1452" s="238"/>
    </row>
    <row r="1453" spans="3:4">
      <c r="C1453" s="237"/>
      <c r="D1453" s="238"/>
    </row>
    <row r="1454" spans="3:4">
      <c r="C1454" s="237"/>
      <c r="D1454" s="238"/>
    </row>
    <row r="1455" spans="3:4">
      <c r="C1455" s="237"/>
      <c r="D1455" s="238"/>
    </row>
    <row r="1456" spans="3:4">
      <c r="C1456" s="237"/>
      <c r="D1456" s="238"/>
    </row>
    <row r="1457" spans="3:4">
      <c r="C1457" s="237"/>
      <c r="D1457" s="238"/>
    </row>
    <row r="1458" spans="3:4">
      <c r="C1458" s="237"/>
      <c r="D1458" s="238"/>
    </row>
    <row r="1459" spans="3:4">
      <c r="C1459" s="237"/>
      <c r="D1459" s="238"/>
    </row>
    <row r="1460" spans="3:4">
      <c r="C1460" s="237"/>
      <c r="D1460" s="238"/>
    </row>
    <row r="1461" spans="3:4">
      <c r="C1461" s="237"/>
      <c r="D1461" s="238"/>
    </row>
    <row r="1462" spans="3:4">
      <c r="C1462" s="237"/>
      <c r="D1462" s="238"/>
    </row>
    <row r="1463" spans="3:4">
      <c r="C1463" s="237"/>
      <c r="D1463" s="238"/>
    </row>
    <row r="1464" spans="3:4">
      <c r="C1464" s="237"/>
      <c r="D1464" s="238"/>
    </row>
    <row r="1465" spans="3:4">
      <c r="C1465" s="237"/>
      <c r="D1465" s="238"/>
    </row>
    <row r="1466" spans="3:4">
      <c r="C1466" s="237"/>
      <c r="D1466" s="238"/>
    </row>
    <row r="1467" spans="3:4">
      <c r="C1467" s="237"/>
      <c r="D1467" s="238"/>
    </row>
    <row r="1468" spans="3:4">
      <c r="C1468" s="237"/>
      <c r="D1468" s="238"/>
    </row>
    <row r="1469" spans="3:4">
      <c r="C1469" s="237"/>
      <c r="D1469" s="238"/>
    </row>
    <row r="1470" spans="3:4">
      <c r="C1470" s="237"/>
      <c r="D1470" s="238"/>
    </row>
    <row r="1471" spans="3:4">
      <c r="C1471" s="237"/>
      <c r="D1471" s="238"/>
    </row>
    <row r="1472" spans="3:4">
      <c r="C1472" s="237"/>
      <c r="D1472" s="238"/>
    </row>
    <row r="1473" spans="3:4">
      <c r="C1473" s="237"/>
      <c r="D1473" s="238"/>
    </row>
    <row r="1474" spans="3:4">
      <c r="C1474" s="237"/>
      <c r="D1474" s="238"/>
    </row>
    <row r="1475" spans="3:4">
      <c r="C1475" s="237"/>
      <c r="D1475" s="238"/>
    </row>
    <row r="1476" spans="3:4">
      <c r="C1476" s="237"/>
      <c r="D1476" s="238"/>
    </row>
    <row r="1477" spans="3:4">
      <c r="C1477" s="237"/>
      <c r="D1477" s="238"/>
    </row>
    <row r="1478" spans="3:4">
      <c r="C1478" s="237"/>
      <c r="D1478" s="238"/>
    </row>
    <row r="1479" spans="3:4">
      <c r="C1479" s="237"/>
      <c r="D1479" s="238"/>
    </row>
    <row r="1480" spans="3:4">
      <c r="C1480" s="237"/>
      <c r="D1480" s="238"/>
    </row>
    <row r="1481" spans="3:4">
      <c r="C1481" s="237"/>
      <c r="D1481" s="238"/>
    </row>
    <row r="1482" spans="3:4">
      <c r="C1482" s="237"/>
      <c r="D1482" s="238"/>
    </row>
    <row r="1483" spans="3:4">
      <c r="C1483" s="237"/>
      <c r="D1483" s="238"/>
    </row>
    <row r="1484" spans="3:4">
      <c r="C1484" s="237"/>
      <c r="D1484" s="238"/>
    </row>
    <row r="1485" spans="3:4">
      <c r="C1485" s="237"/>
      <c r="D1485" s="238"/>
    </row>
    <row r="1486" spans="3:4">
      <c r="C1486" s="237"/>
      <c r="D1486" s="238"/>
    </row>
    <row r="1487" spans="3:4">
      <c r="C1487" s="237"/>
      <c r="D1487" s="238"/>
    </row>
    <row r="1488" spans="3:4">
      <c r="C1488" s="237"/>
      <c r="D1488" s="238"/>
    </row>
    <row r="1489" spans="3:4">
      <c r="C1489" s="237"/>
      <c r="D1489" s="238"/>
    </row>
    <row r="1490" spans="3:4">
      <c r="C1490" s="237"/>
      <c r="D1490" s="238"/>
    </row>
    <row r="1491" spans="3:4">
      <c r="C1491" s="237"/>
      <c r="D1491" s="238"/>
    </row>
    <row r="1492" spans="3:4">
      <c r="C1492" s="237"/>
      <c r="D1492" s="238"/>
    </row>
    <row r="1493" spans="3:4">
      <c r="C1493" s="237"/>
      <c r="D1493" s="238"/>
    </row>
    <row r="1494" spans="3:4">
      <c r="C1494" s="237"/>
      <c r="D1494" s="238"/>
    </row>
    <row r="1495" spans="3:4">
      <c r="C1495" s="237"/>
      <c r="D1495" s="238"/>
    </row>
    <row r="1496" spans="3:4">
      <c r="C1496" s="237"/>
      <c r="D1496" s="238"/>
    </row>
    <row r="1497" spans="3:4">
      <c r="C1497" s="237"/>
      <c r="D1497" s="238"/>
    </row>
    <row r="1498" spans="3:4">
      <c r="C1498" s="237"/>
      <c r="D1498" s="238"/>
    </row>
    <row r="1499" spans="3:4">
      <c r="C1499" s="237"/>
      <c r="D1499" s="238"/>
    </row>
    <row r="1500" spans="3:4">
      <c r="C1500" s="237"/>
      <c r="D1500" s="238"/>
    </row>
    <row r="1501" spans="3:4">
      <c r="C1501" s="237"/>
      <c r="D1501" s="238"/>
    </row>
    <row r="1502" spans="3:4">
      <c r="C1502" s="237"/>
      <c r="D1502" s="238"/>
    </row>
    <row r="1503" spans="3:4">
      <c r="C1503" s="237"/>
      <c r="D1503" s="238"/>
    </row>
    <row r="1504" spans="3:4">
      <c r="C1504" s="237"/>
      <c r="D1504" s="238"/>
    </row>
    <row r="1505" spans="3:4">
      <c r="C1505" s="237"/>
      <c r="D1505" s="238"/>
    </row>
    <row r="1506" spans="3:4">
      <c r="C1506" s="237"/>
      <c r="D1506" s="238"/>
    </row>
    <row r="1507" spans="3:4">
      <c r="C1507" s="237"/>
      <c r="D1507" s="238"/>
    </row>
    <row r="1508" spans="3:4">
      <c r="C1508" s="237"/>
      <c r="D1508" s="238"/>
    </row>
    <row r="1509" spans="3:4">
      <c r="C1509" s="237"/>
      <c r="D1509" s="238"/>
    </row>
    <row r="1510" spans="3:4">
      <c r="C1510" s="237"/>
      <c r="D1510" s="238"/>
    </row>
    <row r="1511" spans="3:4">
      <c r="C1511" s="237"/>
      <c r="D1511" s="238"/>
    </row>
    <row r="1512" spans="3:4">
      <c r="C1512" s="237"/>
      <c r="D1512" s="238"/>
    </row>
    <row r="1513" spans="3:4">
      <c r="C1513" s="237"/>
      <c r="D1513" s="238"/>
    </row>
    <row r="1514" spans="3:4">
      <c r="C1514" s="237"/>
      <c r="D1514" s="238"/>
    </row>
    <row r="1515" spans="3:4">
      <c r="C1515" s="237"/>
      <c r="D1515" s="238"/>
    </row>
    <row r="1516" spans="3:4">
      <c r="C1516" s="237"/>
      <c r="D1516" s="238"/>
    </row>
    <row r="1517" spans="3:4">
      <c r="C1517" s="237"/>
      <c r="D1517" s="238"/>
    </row>
    <row r="1518" spans="3:4">
      <c r="C1518" s="237"/>
      <c r="D1518" s="238"/>
    </row>
    <row r="1519" spans="3:4">
      <c r="C1519" s="237"/>
      <c r="D1519" s="238"/>
    </row>
    <row r="1520" spans="3:4">
      <c r="C1520" s="237"/>
      <c r="D1520" s="238"/>
    </row>
    <row r="1521" spans="3:4">
      <c r="C1521" s="237"/>
      <c r="D1521" s="238"/>
    </row>
    <row r="1522" spans="3:4">
      <c r="C1522" s="237"/>
      <c r="D1522" s="238"/>
    </row>
    <row r="1523" spans="3:4">
      <c r="C1523" s="237"/>
      <c r="D1523" s="238"/>
    </row>
    <row r="1524" spans="3:4">
      <c r="C1524" s="237"/>
      <c r="D1524" s="238"/>
    </row>
    <row r="1525" spans="3:4">
      <c r="C1525" s="237"/>
      <c r="D1525" s="238"/>
    </row>
    <row r="1526" spans="3:4">
      <c r="C1526" s="237"/>
      <c r="D1526" s="238"/>
    </row>
    <row r="1527" spans="3:4">
      <c r="C1527" s="237"/>
      <c r="D1527" s="238"/>
    </row>
    <row r="1528" spans="3:4">
      <c r="C1528" s="237"/>
      <c r="D1528" s="238"/>
    </row>
    <row r="1529" spans="3:4">
      <c r="C1529" s="237"/>
      <c r="D1529" s="238"/>
    </row>
    <row r="1530" spans="3:4">
      <c r="C1530" s="237"/>
      <c r="D1530" s="238"/>
    </row>
    <row r="1531" spans="3:4">
      <c r="C1531" s="237"/>
      <c r="D1531" s="238"/>
    </row>
    <row r="1532" spans="3:4">
      <c r="C1532" s="237"/>
      <c r="D1532" s="238"/>
    </row>
    <row r="1533" spans="3:4">
      <c r="C1533" s="237"/>
      <c r="D1533" s="238"/>
    </row>
    <row r="1534" spans="3:4">
      <c r="C1534" s="237"/>
      <c r="D1534" s="238"/>
    </row>
    <row r="1535" spans="3:4">
      <c r="C1535" s="237"/>
      <c r="D1535" s="238"/>
    </row>
    <row r="1536" spans="3:4">
      <c r="C1536" s="237"/>
      <c r="D1536" s="238"/>
    </row>
    <row r="1537" spans="3:4">
      <c r="C1537" s="237"/>
      <c r="D1537" s="238"/>
    </row>
    <row r="1538" spans="3:4">
      <c r="C1538" s="237"/>
      <c r="D1538" s="238"/>
    </row>
    <row r="1539" spans="3:4">
      <c r="C1539" s="237"/>
      <c r="D1539" s="238"/>
    </row>
    <row r="1540" spans="3:4">
      <c r="C1540" s="237"/>
      <c r="D1540" s="238"/>
    </row>
    <row r="1541" spans="3:4">
      <c r="C1541" s="237"/>
      <c r="D1541" s="238"/>
    </row>
    <row r="1542" spans="3:4">
      <c r="C1542" s="237"/>
      <c r="D1542" s="238"/>
    </row>
    <row r="1543" spans="3:4">
      <c r="C1543" s="237"/>
      <c r="D1543" s="238"/>
    </row>
    <row r="1544" spans="3:4">
      <c r="C1544" s="237"/>
      <c r="D1544" s="238"/>
    </row>
    <row r="1545" spans="3:4">
      <c r="C1545" s="237"/>
      <c r="D1545" s="238"/>
    </row>
    <row r="1546" spans="3:4">
      <c r="C1546" s="237"/>
      <c r="D1546" s="238"/>
    </row>
    <row r="1547" spans="3:4">
      <c r="C1547" s="237"/>
      <c r="D1547" s="238"/>
    </row>
    <row r="1548" spans="3:4">
      <c r="C1548" s="237"/>
      <c r="D1548" s="238"/>
    </row>
    <row r="1549" spans="3:4">
      <c r="C1549" s="237"/>
      <c r="D1549" s="238"/>
    </row>
    <row r="1550" spans="3:4">
      <c r="C1550" s="237"/>
      <c r="D1550" s="238"/>
    </row>
    <row r="1551" spans="3:4">
      <c r="C1551" s="237"/>
      <c r="D1551" s="238"/>
    </row>
    <row r="1552" spans="3:4">
      <c r="C1552" s="237"/>
      <c r="D1552" s="238"/>
    </row>
    <row r="1553" spans="3:4">
      <c r="C1553" s="237"/>
      <c r="D1553" s="238"/>
    </row>
    <row r="1554" spans="3:4">
      <c r="C1554" s="237"/>
      <c r="D1554" s="238"/>
    </row>
    <row r="1555" spans="3:4">
      <c r="C1555" s="237"/>
      <c r="D1555" s="238"/>
    </row>
    <row r="1556" spans="3:4">
      <c r="C1556" s="237"/>
      <c r="D1556" s="238"/>
    </row>
    <row r="1557" spans="3:4">
      <c r="C1557" s="237"/>
      <c r="D1557" s="238"/>
    </row>
    <row r="1558" spans="3:4">
      <c r="C1558" s="237"/>
      <c r="D1558" s="238"/>
    </row>
    <row r="1559" spans="3:4">
      <c r="C1559" s="237"/>
      <c r="D1559" s="238"/>
    </row>
    <row r="1560" spans="3:4">
      <c r="C1560" s="237"/>
      <c r="D1560" s="238"/>
    </row>
    <row r="1561" spans="3:4">
      <c r="C1561" s="237"/>
      <c r="D1561" s="238"/>
    </row>
    <row r="1562" spans="3:4">
      <c r="C1562" s="237"/>
      <c r="D1562" s="238"/>
    </row>
    <row r="1563" spans="3:4">
      <c r="C1563" s="237"/>
      <c r="D1563" s="238"/>
    </row>
    <row r="1564" spans="3:4">
      <c r="C1564" s="237"/>
      <c r="D1564" s="238"/>
    </row>
    <row r="1565" spans="3:4">
      <c r="C1565" s="237"/>
      <c r="D1565" s="238"/>
    </row>
    <row r="1566" spans="3:4">
      <c r="C1566" s="237"/>
      <c r="D1566" s="238"/>
    </row>
    <row r="1567" spans="3:4">
      <c r="C1567" s="237"/>
      <c r="D1567" s="238"/>
    </row>
    <row r="1568" spans="3:4">
      <c r="C1568" s="237"/>
      <c r="D1568" s="238"/>
    </row>
    <row r="1569" spans="3:4">
      <c r="C1569" s="237"/>
      <c r="D1569" s="238"/>
    </row>
    <row r="1570" spans="3:4">
      <c r="C1570" s="237"/>
      <c r="D1570" s="238"/>
    </row>
    <row r="1571" spans="3:4">
      <c r="C1571" s="237"/>
      <c r="D1571" s="238"/>
    </row>
    <row r="1572" spans="3:4">
      <c r="C1572" s="237"/>
      <c r="D1572" s="238"/>
    </row>
    <row r="1573" spans="3:4">
      <c r="C1573" s="237"/>
      <c r="D1573" s="238"/>
    </row>
    <row r="1574" spans="3:4">
      <c r="C1574" s="237"/>
      <c r="D1574" s="238"/>
    </row>
    <row r="1575" spans="3:4">
      <c r="C1575" s="237"/>
      <c r="D1575" s="238"/>
    </row>
    <row r="1576" spans="3:4">
      <c r="C1576" s="237"/>
      <c r="D1576" s="238"/>
    </row>
    <row r="1577" spans="3:4">
      <c r="C1577" s="237"/>
      <c r="D1577" s="238"/>
    </row>
    <row r="1578" spans="3:4">
      <c r="C1578" s="237"/>
      <c r="D1578" s="238"/>
    </row>
    <row r="1579" spans="3:4">
      <c r="C1579" s="237"/>
      <c r="D1579" s="238"/>
    </row>
    <row r="1580" spans="3:4">
      <c r="C1580" s="237"/>
      <c r="D1580" s="238"/>
    </row>
    <row r="1581" spans="3:4">
      <c r="C1581" s="237"/>
      <c r="D1581" s="238"/>
    </row>
    <row r="1582" spans="3:4">
      <c r="C1582" s="237"/>
      <c r="D1582" s="238"/>
    </row>
    <row r="1583" spans="3:4">
      <c r="C1583" s="237"/>
      <c r="D1583" s="238"/>
    </row>
    <row r="1584" spans="3:4">
      <c r="C1584" s="237"/>
      <c r="D1584" s="238"/>
    </row>
    <row r="1585" spans="3:4">
      <c r="C1585" s="237"/>
      <c r="D1585" s="238"/>
    </row>
    <row r="1586" spans="3:4">
      <c r="C1586" s="237"/>
      <c r="D1586" s="238"/>
    </row>
    <row r="1587" spans="3:4">
      <c r="C1587" s="237"/>
      <c r="D1587" s="238"/>
    </row>
    <row r="1588" spans="3:4">
      <c r="C1588" s="237"/>
      <c r="D1588" s="238"/>
    </row>
    <row r="1589" spans="3:4">
      <c r="C1589" s="237"/>
      <c r="D1589" s="238"/>
    </row>
    <row r="1590" spans="3:4">
      <c r="C1590" s="237"/>
      <c r="D1590" s="238"/>
    </row>
    <row r="1591" spans="3:4">
      <c r="C1591" s="237"/>
      <c r="D1591" s="238"/>
    </row>
    <row r="1592" spans="3:4">
      <c r="C1592" s="237"/>
      <c r="D1592" s="238"/>
    </row>
    <row r="1593" spans="3:4">
      <c r="C1593" s="237"/>
      <c r="D1593" s="238"/>
    </row>
    <row r="1594" spans="3:4">
      <c r="C1594" s="237"/>
      <c r="D1594" s="238"/>
    </row>
    <row r="1595" spans="3:4">
      <c r="C1595" s="237"/>
      <c r="D1595" s="238"/>
    </row>
    <row r="1596" spans="3:4">
      <c r="C1596" s="237"/>
      <c r="D1596" s="238"/>
    </row>
    <row r="1597" spans="3:4">
      <c r="C1597" s="237"/>
      <c r="D1597" s="238"/>
    </row>
    <row r="1598" spans="3:4">
      <c r="C1598" s="237"/>
      <c r="D1598" s="238"/>
    </row>
    <row r="1599" spans="3:4">
      <c r="C1599" s="237"/>
      <c r="D1599" s="238"/>
    </row>
    <row r="1600" spans="3:4">
      <c r="C1600" s="237"/>
      <c r="D1600" s="238"/>
    </row>
    <row r="1601" spans="3:4">
      <c r="C1601" s="237"/>
      <c r="D1601" s="238"/>
    </row>
    <row r="1602" spans="3:4">
      <c r="C1602" s="237"/>
      <c r="D1602" s="238"/>
    </row>
    <row r="1603" spans="3:4">
      <c r="C1603" s="237"/>
      <c r="D1603" s="238"/>
    </row>
    <row r="1604" spans="3:4">
      <c r="C1604" s="237"/>
      <c r="D1604" s="238"/>
    </row>
    <row r="1605" spans="3:4">
      <c r="C1605" s="237"/>
      <c r="D1605" s="238"/>
    </row>
    <row r="1606" spans="3:4">
      <c r="C1606" s="237"/>
      <c r="D1606" s="238"/>
    </row>
    <row r="1607" spans="3:4">
      <c r="C1607" s="237"/>
      <c r="D1607" s="238"/>
    </row>
    <row r="1608" spans="3:4">
      <c r="C1608" s="237"/>
      <c r="D1608" s="238"/>
    </row>
    <row r="1609" spans="3:4">
      <c r="C1609" s="237"/>
      <c r="D1609" s="238"/>
    </row>
    <row r="1610" spans="3:4">
      <c r="C1610" s="237"/>
      <c r="D1610" s="238"/>
    </row>
    <row r="1611" spans="3:4">
      <c r="C1611" s="237"/>
    </row>
    <row r="1612" spans="3:4">
      <c r="C1612" s="237"/>
    </row>
    <row r="1613" spans="3:4">
      <c r="C1613" s="237"/>
    </row>
    <row r="1614" spans="3:4">
      <c r="C1614" s="237"/>
    </row>
    <row r="1615" spans="3:4">
      <c r="C1615" s="23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28"/>
  <sheetViews>
    <sheetView workbookViewId="0">
      <selection activeCell="C11" sqref="C11"/>
    </sheetView>
  </sheetViews>
  <sheetFormatPr defaultRowHeight="15"/>
  <cols>
    <col min="2" max="2" width="17.28515625" customWidth="1"/>
    <col min="3" max="3" width="59.42578125" customWidth="1"/>
    <col min="4" max="4" width="26.7109375" customWidth="1"/>
    <col min="6" max="6" width="27.5703125" customWidth="1"/>
  </cols>
  <sheetData>
    <row r="1" spans="1:6" ht="52.5" customHeight="1">
      <c r="A1" s="177" t="s">
        <v>254</v>
      </c>
      <c r="B1" s="177" t="s">
        <v>255</v>
      </c>
      <c r="C1" s="178" t="s">
        <v>256</v>
      </c>
      <c r="D1" s="178" t="s">
        <v>336</v>
      </c>
      <c r="F1" s="178" t="s">
        <v>525</v>
      </c>
    </row>
    <row r="2" spans="1:6" ht="18.75">
      <c r="A2" s="179">
        <v>1</v>
      </c>
      <c r="B2" s="180" t="s">
        <v>337</v>
      </c>
      <c r="C2" s="181" t="s">
        <v>257</v>
      </c>
      <c r="D2" s="180" t="s">
        <v>510</v>
      </c>
      <c r="F2" s="180" t="s">
        <v>510</v>
      </c>
    </row>
    <row r="3" spans="1:6" ht="18.75">
      <c r="A3" s="179">
        <f>A2+1</f>
        <v>2</v>
      </c>
      <c r="B3" s="180" t="s">
        <v>338</v>
      </c>
      <c r="C3" s="181" t="s">
        <v>258</v>
      </c>
      <c r="D3" s="180" t="s">
        <v>510</v>
      </c>
      <c r="F3" s="180" t="s">
        <v>511</v>
      </c>
    </row>
    <row r="4" spans="1:6" ht="18.75">
      <c r="A4" s="179">
        <f t="shared" ref="A4:A67" si="0">A3+1</f>
        <v>3</v>
      </c>
      <c r="B4" s="180" t="s">
        <v>339</v>
      </c>
      <c r="C4" s="181" t="s">
        <v>259</v>
      </c>
      <c r="D4" s="180" t="s">
        <v>510</v>
      </c>
      <c r="F4" s="180" t="s">
        <v>512</v>
      </c>
    </row>
    <row r="5" spans="1:6" ht="18.75">
      <c r="A5" s="179">
        <f t="shared" si="0"/>
        <v>4</v>
      </c>
      <c r="B5" s="180" t="s">
        <v>340</v>
      </c>
      <c r="C5" s="181" t="s">
        <v>238</v>
      </c>
      <c r="D5" s="180" t="s">
        <v>510</v>
      </c>
      <c r="F5" s="180" t="s">
        <v>513</v>
      </c>
    </row>
    <row r="6" spans="1:6" ht="18.75">
      <c r="A6" s="179">
        <f t="shared" si="0"/>
        <v>5</v>
      </c>
      <c r="B6" s="180" t="s">
        <v>341</v>
      </c>
      <c r="C6" s="181" t="s">
        <v>174</v>
      </c>
      <c r="D6" s="180" t="s">
        <v>510</v>
      </c>
      <c r="F6" s="180" t="s">
        <v>524</v>
      </c>
    </row>
    <row r="7" spans="1:6" ht="18.75">
      <c r="A7" s="179">
        <f t="shared" si="0"/>
        <v>6</v>
      </c>
      <c r="B7" s="180" t="s">
        <v>342</v>
      </c>
      <c r="C7" s="181" t="s">
        <v>260</v>
      </c>
      <c r="D7" s="180" t="s">
        <v>510</v>
      </c>
      <c r="F7" s="180" t="s">
        <v>514</v>
      </c>
    </row>
    <row r="8" spans="1:6" ht="18.75">
      <c r="A8" s="179">
        <f t="shared" si="0"/>
        <v>7</v>
      </c>
      <c r="B8" s="180" t="s">
        <v>343</v>
      </c>
      <c r="C8" s="181" t="s">
        <v>261</v>
      </c>
      <c r="D8" s="180" t="s">
        <v>510</v>
      </c>
      <c r="F8" s="180" t="s">
        <v>515</v>
      </c>
    </row>
    <row r="9" spans="1:6" ht="18.75">
      <c r="A9" s="179">
        <f t="shared" si="0"/>
        <v>8</v>
      </c>
      <c r="B9" s="180" t="s">
        <v>344</v>
      </c>
      <c r="C9" s="181" t="s">
        <v>262</v>
      </c>
      <c r="D9" s="180" t="s">
        <v>510</v>
      </c>
      <c r="F9" s="180" t="s">
        <v>516</v>
      </c>
    </row>
    <row r="10" spans="1:6" ht="18.75">
      <c r="A10" s="179">
        <f t="shared" si="0"/>
        <v>9</v>
      </c>
      <c r="B10" s="180" t="s">
        <v>345</v>
      </c>
      <c r="C10" s="181" t="s">
        <v>263</v>
      </c>
      <c r="D10" s="180" t="s">
        <v>510</v>
      </c>
      <c r="F10" s="180" t="s">
        <v>517</v>
      </c>
    </row>
    <row r="11" spans="1:6" ht="18.75">
      <c r="A11" s="179">
        <f t="shared" si="0"/>
        <v>10</v>
      </c>
      <c r="B11" s="180" t="s">
        <v>346</v>
      </c>
      <c r="C11" s="181" t="s">
        <v>264</v>
      </c>
      <c r="D11" s="180" t="s">
        <v>510</v>
      </c>
      <c r="F11" s="180" t="s">
        <v>315</v>
      </c>
    </row>
    <row r="12" spans="1:6" ht="18.75">
      <c r="A12" s="179">
        <f t="shared" si="0"/>
        <v>11</v>
      </c>
      <c r="B12" s="180" t="s">
        <v>347</v>
      </c>
      <c r="C12" s="181" t="s">
        <v>265</v>
      </c>
      <c r="D12" s="180" t="s">
        <v>510</v>
      </c>
      <c r="F12" s="180" t="s">
        <v>519</v>
      </c>
    </row>
    <row r="13" spans="1:6" ht="18.75">
      <c r="A13" s="179">
        <f t="shared" si="0"/>
        <v>12</v>
      </c>
      <c r="B13" s="180" t="s">
        <v>348</v>
      </c>
      <c r="C13" s="181" t="s">
        <v>266</v>
      </c>
      <c r="D13" s="180" t="s">
        <v>511</v>
      </c>
      <c r="F13" s="180" t="s">
        <v>520</v>
      </c>
    </row>
    <row r="14" spans="1:6" ht="18.75">
      <c r="A14" s="179">
        <f t="shared" si="0"/>
        <v>13</v>
      </c>
      <c r="B14" s="180" t="s">
        <v>349</v>
      </c>
      <c r="C14" s="181" t="s">
        <v>267</v>
      </c>
      <c r="D14" s="180" t="s">
        <v>511</v>
      </c>
      <c r="F14" s="180" t="s">
        <v>521</v>
      </c>
    </row>
    <row r="15" spans="1:6" ht="18.75">
      <c r="A15" s="179">
        <f t="shared" si="0"/>
        <v>14</v>
      </c>
      <c r="B15" s="180" t="s">
        <v>350</v>
      </c>
      <c r="C15" s="181" t="s">
        <v>268</v>
      </c>
      <c r="D15" s="180" t="s">
        <v>511</v>
      </c>
      <c r="F15" s="180" t="s">
        <v>522</v>
      </c>
    </row>
    <row r="16" spans="1:6" ht="18.75">
      <c r="A16" s="179">
        <f t="shared" si="0"/>
        <v>15</v>
      </c>
      <c r="B16" s="180" t="s">
        <v>351</v>
      </c>
      <c r="C16" s="181" t="s">
        <v>269</v>
      </c>
      <c r="D16" s="180" t="s">
        <v>511</v>
      </c>
      <c r="F16" s="180" t="s">
        <v>523</v>
      </c>
    </row>
    <row r="17" spans="1:4" ht="18.75">
      <c r="A17" s="179">
        <f t="shared" si="0"/>
        <v>16</v>
      </c>
      <c r="B17" s="182" t="s">
        <v>352</v>
      </c>
      <c r="C17" s="181" t="s">
        <v>270</v>
      </c>
      <c r="D17" s="180" t="s">
        <v>512</v>
      </c>
    </row>
    <row r="18" spans="1:4" ht="18.75">
      <c r="A18" s="179">
        <f t="shared" si="0"/>
        <v>17</v>
      </c>
      <c r="B18" s="182" t="s">
        <v>353</v>
      </c>
      <c r="C18" s="181" t="s">
        <v>271</v>
      </c>
      <c r="D18" s="180" t="s">
        <v>512</v>
      </c>
    </row>
    <row r="19" spans="1:4" ht="18.75">
      <c r="A19" s="179">
        <f t="shared" si="0"/>
        <v>18</v>
      </c>
      <c r="B19" s="182" t="s">
        <v>354</v>
      </c>
      <c r="C19" s="181" t="s">
        <v>272</v>
      </c>
      <c r="D19" s="180" t="s">
        <v>512</v>
      </c>
    </row>
    <row r="20" spans="1:4" ht="18.75">
      <c r="A20" s="179">
        <f t="shared" si="0"/>
        <v>19</v>
      </c>
      <c r="B20" s="182" t="s">
        <v>355</v>
      </c>
      <c r="C20" s="181" t="s">
        <v>273</v>
      </c>
      <c r="D20" s="180" t="s">
        <v>512</v>
      </c>
    </row>
    <row r="21" spans="1:4" ht="18.75">
      <c r="A21" s="179">
        <f t="shared" si="0"/>
        <v>20</v>
      </c>
      <c r="B21" s="182" t="s">
        <v>356</v>
      </c>
      <c r="C21" s="181" t="s">
        <v>274</v>
      </c>
      <c r="D21" s="180" t="s">
        <v>512</v>
      </c>
    </row>
    <row r="22" spans="1:4" ht="18.75">
      <c r="A22" s="179">
        <f t="shared" si="0"/>
        <v>21</v>
      </c>
      <c r="B22" s="182" t="s">
        <v>357</v>
      </c>
      <c r="C22" s="181" t="s">
        <v>275</v>
      </c>
      <c r="D22" s="180" t="s">
        <v>512</v>
      </c>
    </row>
    <row r="23" spans="1:4" ht="18.75">
      <c r="A23" s="179">
        <f t="shared" si="0"/>
        <v>22</v>
      </c>
      <c r="B23" s="182" t="s">
        <v>358</v>
      </c>
      <c r="C23" s="181" t="s">
        <v>276</v>
      </c>
      <c r="D23" s="180" t="s">
        <v>512</v>
      </c>
    </row>
    <row r="24" spans="1:4" ht="18.75">
      <c r="A24" s="179">
        <f t="shared" si="0"/>
        <v>23</v>
      </c>
      <c r="B24" s="182" t="s">
        <v>359</v>
      </c>
      <c r="C24" s="181" t="s">
        <v>277</v>
      </c>
      <c r="D24" s="180" t="s">
        <v>513</v>
      </c>
    </row>
    <row r="25" spans="1:4" ht="18.75">
      <c r="A25" s="179">
        <f t="shared" si="0"/>
        <v>24</v>
      </c>
      <c r="B25" s="182" t="s">
        <v>360</v>
      </c>
      <c r="C25" s="181" t="s">
        <v>278</v>
      </c>
      <c r="D25" s="180" t="s">
        <v>513</v>
      </c>
    </row>
    <row r="26" spans="1:4" ht="18.75">
      <c r="A26" s="179">
        <f t="shared" si="0"/>
        <v>25</v>
      </c>
      <c r="B26" s="182" t="s">
        <v>361</v>
      </c>
      <c r="C26" s="181" t="s">
        <v>279</v>
      </c>
      <c r="D26" s="180" t="s">
        <v>513</v>
      </c>
    </row>
    <row r="27" spans="1:4" ht="18.75">
      <c r="A27" s="179">
        <f t="shared" si="0"/>
        <v>26</v>
      </c>
      <c r="B27" s="182" t="s">
        <v>362</v>
      </c>
      <c r="C27" s="183" t="s">
        <v>280</v>
      </c>
      <c r="D27" s="180" t="s">
        <v>524</v>
      </c>
    </row>
    <row r="28" spans="1:4" ht="18.75">
      <c r="A28" s="179">
        <f t="shared" si="0"/>
        <v>27</v>
      </c>
      <c r="B28" s="182" t="s">
        <v>363</v>
      </c>
      <c r="C28" s="184" t="s">
        <v>281</v>
      </c>
      <c r="D28" s="180" t="s">
        <v>524</v>
      </c>
    </row>
    <row r="29" spans="1:4" ht="18.75">
      <c r="A29" s="179">
        <f t="shared" si="0"/>
        <v>28</v>
      </c>
      <c r="B29" s="182" t="s">
        <v>364</v>
      </c>
      <c r="C29" s="184" t="s">
        <v>282</v>
      </c>
      <c r="D29" s="180" t="s">
        <v>524</v>
      </c>
    </row>
    <row r="30" spans="1:4" ht="18.75">
      <c r="A30" s="179">
        <f t="shared" si="0"/>
        <v>29</v>
      </c>
      <c r="B30" s="182" t="s">
        <v>365</v>
      </c>
      <c r="C30" s="184" t="s">
        <v>283</v>
      </c>
      <c r="D30" s="180" t="s">
        <v>524</v>
      </c>
    </row>
    <row r="31" spans="1:4" ht="18.75">
      <c r="A31" s="179">
        <f t="shared" si="0"/>
        <v>30</v>
      </c>
      <c r="B31" s="182" t="s">
        <v>366</v>
      </c>
      <c r="C31" s="184" t="s">
        <v>284</v>
      </c>
      <c r="D31" s="180" t="s">
        <v>524</v>
      </c>
    </row>
    <row r="32" spans="1:4" ht="18.75">
      <c r="A32" s="179">
        <f t="shared" si="0"/>
        <v>31</v>
      </c>
      <c r="B32" s="182" t="s">
        <v>367</v>
      </c>
      <c r="C32" s="184" t="s">
        <v>285</v>
      </c>
      <c r="D32" s="180" t="s">
        <v>524</v>
      </c>
    </row>
    <row r="33" spans="1:4" ht="18.75">
      <c r="A33" s="179">
        <f t="shared" si="0"/>
        <v>32</v>
      </c>
      <c r="B33" s="182" t="s">
        <v>368</v>
      </c>
      <c r="C33" s="184" t="s">
        <v>286</v>
      </c>
      <c r="D33" s="180" t="s">
        <v>524</v>
      </c>
    </row>
    <row r="34" spans="1:4" ht="18.75">
      <c r="A34" s="179">
        <f t="shared" si="0"/>
        <v>33</v>
      </c>
      <c r="B34" s="182" t="s">
        <v>369</v>
      </c>
      <c r="C34" s="184" t="s">
        <v>287</v>
      </c>
      <c r="D34" s="180" t="s">
        <v>524</v>
      </c>
    </row>
    <row r="35" spans="1:4" ht="18.75">
      <c r="A35" s="179">
        <f t="shared" si="0"/>
        <v>34</v>
      </c>
      <c r="B35" s="182" t="s">
        <v>370</v>
      </c>
      <c r="C35" s="183" t="s">
        <v>288</v>
      </c>
      <c r="D35" s="180" t="s">
        <v>524</v>
      </c>
    </row>
    <row r="36" spans="1:4" ht="18.75">
      <c r="A36" s="179">
        <f t="shared" si="0"/>
        <v>35</v>
      </c>
      <c r="B36" s="182" t="s">
        <v>371</v>
      </c>
      <c r="C36" s="183" t="s">
        <v>289</v>
      </c>
      <c r="D36" s="180" t="s">
        <v>524</v>
      </c>
    </row>
    <row r="37" spans="1:4" ht="18.75">
      <c r="A37" s="179">
        <f t="shared" si="0"/>
        <v>36</v>
      </c>
      <c r="B37" s="182" t="s">
        <v>372</v>
      </c>
      <c r="C37" s="183" t="s">
        <v>290</v>
      </c>
      <c r="D37" s="180" t="s">
        <v>524</v>
      </c>
    </row>
    <row r="38" spans="1:4" ht="18.75">
      <c r="A38" s="179">
        <f t="shared" si="0"/>
        <v>37</v>
      </c>
      <c r="B38" s="182" t="s">
        <v>373</v>
      </c>
      <c r="C38" s="183" t="s">
        <v>291</v>
      </c>
      <c r="D38" s="180" t="s">
        <v>524</v>
      </c>
    </row>
    <row r="39" spans="1:4" ht="18.75">
      <c r="A39" s="179">
        <f t="shared" si="0"/>
        <v>38</v>
      </c>
      <c r="B39" s="182" t="s">
        <v>374</v>
      </c>
      <c r="C39" s="183" t="s">
        <v>128</v>
      </c>
      <c r="D39" s="180" t="s">
        <v>514</v>
      </c>
    </row>
    <row r="40" spans="1:4" ht="18.75">
      <c r="A40" s="179">
        <f t="shared" si="0"/>
        <v>39</v>
      </c>
      <c r="B40" s="182" t="s">
        <v>375</v>
      </c>
      <c r="C40" s="183" t="s">
        <v>292</v>
      </c>
      <c r="D40" s="180" t="s">
        <v>514</v>
      </c>
    </row>
    <row r="41" spans="1:4" ht="18.75">
      <c r="A41" s="179">
        <f t="shared" si="0"/>
        <v>40</v>
      </c>
      <c r="B41" s="182" t="s">
        <v>376</v>
      </c>
      <c r="C41" s="183" t="s">
        <v>130</v>
      </c>
      <c r="D41" s="180" t="s">
        <v>514</v>
      </c>
    </row>
    <row r="42" spans="1:4" ht="18.75">
      <c r="A42" s="179">
        <f t="shared" si="0"/>
        <v>41</v>
      </c>
      <c r="B42" s="182" t="s">
        <v>377</v>
      </c>
      <c r="C42" s="183" t="s">
        <v>293</v>
      </c>
      <c r="D42" s="180" t="s">
        <v>514</v>
      </c>
    </row>
    <row r="43" spans="1:4" ht="18.75">
      <c r="A43" s="179">
        <f t="shared" si="0"/>
        <v>42</v>
      </c>
      <c r="B43" s="182" t="s">
        <v>378</v>
      </c>
      <c r="C43" s="183" t="s">
        <v>294</v>
      </c>
      <c r="D43" s="180" t="s">
        <v>514</v>
      </c>
    </row>
    <row r="44" spans="1:4" ht="18.75">
      <c r="A44" s="179">
        <f t="shared" si="0"/>
        <v>43</v>
      </c>
      <c r="B44" s="182" t="s">
        <v>379</v>
      </c>
      <c r="C44" s="183" t="s">
        <v>295</v>
      </c>
      <c r="D44" s="180" t="s">
        <v>514</v>
      </c>
    </row>
    <row r="45" spans="1:4" ht="18.75">
      <c r="A45" s="179">
        <f t="shared" si="0"/>
        <v>44</v>
      </c>
      <c r="B45" s="182" t="s">
        <v>380</v>
      </c>
      <c r="C45" s="183" t="s">
        <v>296</v>
      </c>
      <c r="D45" s="180" t="s">
        <v>514</v>
      </c>
    </row>
    <row r="46" spans="1:4" ht="18.75">
      <c r="A46" s="179">
        <f t="shared" si="0"/>
        <v>45</v>
      </c>
      <c r="B46" s="182" t="s">
        <v>381</v>
      </c>
      <c r="C46" s="183" t="s">
        <v>297</v>
      </c>
      <c r="D46" s="180" t="s">
        <v>514</v>
      </c>
    </row>
    <row r="47" spans="1:4" ht="18.75">
      <c r="A47" s="179">
        <f t="shared" si="0"/>
        <v>46</v>
      </c>
      <c r="B47" s="182" t="s">
        <v>382</v>
      </c>
      <c r="C47" s="183" t="s">
        <v>298</v>
      </c>
      <c r="D47" s="180" t="s">
        <v>514</v>
      </c>
    </row>
    <row r="48" spans="1:4" ht="18.75">
      <c r="A48" s="179">
        <f t="shared" si="0"/>
        <v>47</v>
      </c>
      <c r="B48" s="182" t="s">
        <v>383</v>
      </c>
      <c r="C48" s="183" t="s">
        <v>299</v>
      </c>
      <c r="D48" s="180" t="s">
        <v>514</v>
      </c>
    </row>
    <row r="49" spans="1:4" ht="18.75">
      <c r="A49" s="179">
        <f t="shared" si="0"/>
        <v>48</v>
      </c>
      <c r="B49" s="182" t="s">
        <v>384</v>
      </c>
      <c r="C49" s="183" t="s">
        <v>300</v>
      </c>
      <c r="D49" s="180" t="s">
        <v>514</v>
      </c>
    </row>
    <row r="50" spans="1:4" ht="18.75">
      <c r="A50" s="179">
        <f t="shared" si="0"/>
        <v>49</v>
      </c>
      <c r="B50" s="182" t="s">
        <v>385</v>
      </c>
      <c r="C50" s="183" t="s">
        <v>301</v>
      </c>
      <c r="D50" s="180" t="s">
        <v>515</v>
      </c>
    </row>
    <row r="51" spans="1:4" ht="18.75">
      <c r="A51" s="179">
        <f t="shared" si="0"/>
        <v>50</v>
      </c>
      <c r="B51" s="182" t="s">
        <v>386</v>
      </c>
      <c r="C51" s="183" t="s">
        <v>302</v>
      </c>
      <c r="D51" s="180" t="s">
        <v>515</v>
      </c>
    </row>
    <row r="52" spans="1:4" ht="18.75">
      <c r="A52" s="179">
        <f t="shared" si="0"/>
        <v>51</v>
      </c>
      <c r="B52" s="182" t="s">
        <v>387</v>
      </c>
      <c r="C52" s="183" t="s">
        <v>303</v>
      </c>
      <c r="D52" s="180" t="s">
        <v>515</v>
      </c>
    </row>
    <row r="53" spans="1:4" ht="18.75">
      <c r="A53" s="179">
        <f t="shared" si="0"/>
        <v>52</v>
      </c>
      <c r="B53" s="182" t="s">
        <v>388</v>
      </c>
      <c r="C53" s="183" t="s">
        <v>304</v>
      </c>
      <c r="D53" s="180" t="s">
        <v>515</v>
      </c>
    </row>
    <row r="54" spans="1:4" ht="18.75">
      <c r="A54" s="179">
        <f t="shared" si="0"/>
        <v>53</v>
      </c>
      <c r="B54" s="182" t="s">
        <v>389</v>
      </c>
      <c r="C54" s="183" t="s">
        <v>305</v>
      </c>
      <c r="D54" s="180" t="s">
        <v>515</v>
      </c>
    </row>
    <row r="55" spans="1:4" ht="18.75">
      <c r="A55" s="179">
        <f t="shared" si="0"/>
        <v>54</v>
      </c>
      <c r="B55" s="182" t="s">
        <v>390</v>
      </c>
      <c r="C55" s="183" t="s">
        <v>306</v>
      </c>
      <c r="D55" s="180" t="s">
        <v>515</v>
      </c>
    </row>
    <row r="56" spans="1:4" ht="18.75">
      <c r="A56" s="179">
        <f t="shared" si="0"/>
        <v>55</v>
      </c>
      <c r="B56" s="182" t="s">
        <v>391</v>
      </c>
      <c r="C56" s="183" t="s">
        <v>307</v>
      </c>
      <c r="D56" s="180" t="s">
        <v>515</v>
      </c>
    </row>
    <row r="57" spans="1:4" ht="18.75">
      <c r="A57" s="179">
        <f t="shared" si="0"/>
        <v>56</v>
      </c>
      <c r="B57" s="182" t="s">
        <v>392</v>
      </c>
      <c r="C57" s="183" t="s">
        <v>308</v>
      </c>
      <c r="D57" s="180" t="s">
        <v>516</v>
      </c>
    </row>
    <row r="58" spans="1:4" ht="18.75">
      <c r="A58" s="179">
        <f t="shared" si="0"/>
        <v>57</v>
      </c>
      <c r="B58" s="182" t="s">
        <v>393</v>
      </c>
      <c r="C58" s="183" t="s">
        <v>309</v>
      </c>
      <c r="D58" s="180" t="s">
        <v>516</v>
      </c>
    </row>
    <row r="59" spans="1:4" ht="18.75">
      <c r="A59" s="179">
        <f t="shared" si="0"/>
        <v>58</v>
      </c>
      <c r="B59" s="182" t="s">
        <v>394</v>
      </c>
      <c r="C59" s="183" t="s">
        <v>310</v>
      </c>
      <c r="D59" s="180" t="s">
        <v>516</v>
      </c>
    </row>
    <row r="60" spans="1:4" ht="18.75">
      <c r="A60" s="179">
        <f t="shared" si="0"/>
        <v>59</v>
      </c>
      <c r="B60" s="182" t="s">
        <v>395</v>
      </c>
      <c r="C60" s="183" t="s">
        <v>311</v>
      </c>
      <c r="D60" s="180" t="s">
        <v>516</v>
      </c>
    </row>
    <row r="61" spans="1:4" ht="18.75">
      <c r="A61" s="179">
        <f t="shared" si="0"/>
        <v>60</v>
      </c>
      <c r="B61" s="182" t="s">
        <v>396</v>
      </c>
      <c r="C61" s="185" t="s">
        <v>302</v>
      </c>
      <c r="D61" s="180" t="s">
        <v>517</v>
      </c>
    </row>
    <row r="62" spans="1:4" ht="18.75">
      <c r="A62" s="179">
        <f t="shared" si="0"/>
        <v>61</v>
      </c>
      <c r="B62" s="182" t="s">
        <v>397</v>
      </c>
      <c r="C62" s="183" t="s">
        <v>312</v>
      </c>
      <c r="D62" s="180" t="s">
        <v>517</v>
      </c>
    </row>
    <row r="63" spans="1:4" ht="18.75">
      <c r="A63" s="179">
        <f t="shared" si="0"/>
        <v>62</v>
      </c>
      <c r="B63" s="182" t="s">
        <v>398</v>
      </c>
      <c r="C63" s="183" t="s">
        <v>313</v>
      </c>
      <c r="D63" s="180" t="s">
        <v>517</v>
      </c>
    </row>
    <row r="64" spans="1:4" ht="18.75">
      <c r="A64" s="179">
        <f t="shared" si="0"/>
        <v>63</v>
      </c>
      <c r="B64" s="182" t="s">
        <v>399</v>
      </c>
      <c r="C64" s="183" t="s">
        <v>314</v>
      </c>
      <c r="D64" s="180" t="s">
        <v>517</v>
      </c>
    </row>
    <row r="65" spans="1:4" ht="18.75">
      <c r="A65" s="179">
        <f t="shared" si="0"/>
        <v>64</v>
      </c>
      <c r="B65" s="182" t="s">
        <v>400</v>
      </c>
      <c r="C65" s="183" t="s">
        <v>304</v>
      </c>
      <c r="D65" s="180" t="s">
        <v>517</v>
      </c>
    </row>
    <row r="66" spans="1:4" ht="18.75">
      <c r="A66" s="179">
        <f t="shared" si="0"/>
        <v>65</v>
      </c>
      <c r="B66" s="182" t="s">
        <v>401</v>
      </c>
      <c r="C66" s="183" t="s">
        <v>310</v>
      </c>
      <c r="D66" s="180" t="s">
        <v>517</v>
      </c>
    </row>
    <row r="67" spans="1:4" ht="18.75">
      <c r="A67" s="179">
        <f t="shared" si="0"/>
        <v>66</v>
      </c>
      <c r="B67" s="182" t="s">
        <v>325</v>
      </c>
      <c r="C67" s="181" t="s">
        <v>518</v>
      </c>
      <c r="D67" s="180" t="s">
        <v>315</v>
      </c>
    </row>
    <row r="68" spans="1:4" ht="18.75">
      <c r="A68" s="179">
        <f t="shared" ref="A68:A128" si="1">A67+1</f>
        <v>67</v>
      </c>
      <c r="B68" s="182" t="s">
        <v>402</v>
      </c>
      <c r="C68" s="184" t="s">
        <v>270</v>
      </c>
      <c r="D68" s="180" t="s">
        <v>519</v>
      </c>
    </row>
    <row r="69" spans="1:4" ht="18.75">
      <c r="A69" s="179">
        <f t="shared" si="1"/>
        <v>68</v>
      </c>
      <c r="B69" s="182" t="s">
        <v>403</v>
      </c>
      <c r="C69" s="184" t="s">
        <v>316</v>
      </c>
      <c r="D69" s="180" t="s">
        <v>519</v>
      </c>
    </row>
    <row r="70" spans="1:4" ht="18.75">
      <c r="A70" s="179">
        <f t="shared" si="1"/>
        <v>69</v>
      </c>
      <c r="B70" s="182" t="s">
        <v>404</v>
      </c>
      <c r="C70" s="184" t="s">
        <v>317</v>
      </c>
      <c r="D70" s="180" t="s">
        <v>519</v>
      </c>
    </row>
    <row r="71" spans="1:4" ht="18.75">
      <c r="A71" s="179">
        <f t="shared" si="1"/>
        <v>70</v>
      </c>
      <c r="B71" s="182" t="s">
        <v>405</v>
      </c>
      <c r="C71" s="184" t="s">
        <v>318</v>
      </c>
      <c r="D71" s="180" t="s">
        <v>519</v>
      </c>
    </row>
    <row r="72" spans="1:4" ht="18.75">
      <c r="A72" s="179">
        <f t="shared" si="1"/>
        <v>71</v>
      </c>
      <c r="B72" s="182" t="s">
        <v>406</v>
      </c>
      <c r="C72" s="184" t="s">
        <v>319</v>
      </c>
      <c r="D72" s="180" t="s">
        <v>519</v>
      </c>
    </row>
    <row r="73" spans="1:4" ht="18.75">
      <c r="A73" s="179">
        <f t="shared" si="1"/>
        <v>72</v>
      </c>
      <c r="B73" s="182" t="s">
        <v>407</v>
      </c>
      <c r="C73" s="184" t="s">
        <v>320</v>
      </c>
      <c r="D73" s="180" t="s">
        <v>519</v>
      </c>
    </row>
    <row r="74" spans="1:4" ht="18.75">
      <c r="A74" s="179">
        <f t="shared" si="1"/>
        <v>73</v>
      </c>
      <c r="B74" s="182" t="s">
        <v>408</v>
      </c>
      <c r="C74" s="184" t="s">
        <v>575</v>
      </c>
      <c r="D74" s="180" t="s">
        <v>519</v>
      </c>
    </row>
    <row r="75" spans="1:4" ht="18.75">
      <c r="A75" s="179">
        <f t="shared" si="1"/>
        <v>74</v>
      </c>
      <c r="B75" s="182" t="s">
        <v>409</v>
      </c>
      <c r="C75" s="184" t="s">
        <v>576</v>
      </c>
      <c r="D75" s="180" t="s">
        <v>519</v>
      </c>
    </row>
    <row r="76" spans="1:4" ht="18.75">
      <c r="A76" s="179">
        <f t="shared" si="1"/>
        <v>75</v>
      </c>
      <c r="B76" s="182" t="s">
        <v>410</v>
      </c>
      <c r="C76" s="184" t="s">
        <v>577</v>
      </c>
      <c r="D76" s="180" t="s">
        <v>519</v>
      </c>
    </row>
    <row r="77" spans="1:4" ht="18.75">
      <c r="A77" s="179">
        <f t="shared" si="1"/>
        <v>76</v>
      </c>
      <c r="B77" s="182" t="s">
        <v>411</v>
      </c>
      <c r="C77" s="184" t="s">
        <v>578</v>
      </c>
      <c r="D77" s="180" t="s">
        <v>519</v>
      </c>
    </row>
    <row r="78" spans="1:4" ht="18.75">
      <c r="A78" s="179">
        <f t="shared" si="1"/>
        <v>77</v>
      </c>
      <c r="B78" s="182" t="s">
        <v>412</v>
      </c>
      <c r="C78" s="184" t="s">
        <v>579</v>
      </c>
      <c r="D78" s="180" t="s">
        <v>519</v>
      </c>
    </row>
    <row r="79" spans="1:4" ht="18.75">
      <c r="A79" s="179">
        <f t="shared" si="1"/>
        <v>78</v>
      </c>
      <c r="B79" s="182" t="s">
        <v>413</v>
      </c>
      <c r="C79" s="184" t="s">
        <v>580</v>
      </c>
      <c r="D79" s="180" t="s">
        <v>519</v>
      </c>
    </row>
    <row r="80" spans="1:4" ht="18.75">
      <c r="A80" s="179">
        <f t="shared" si="1"/>
        <v>79</v>
      </c>
      <c r="B80" s="182" t="s">
        <v>414</v>
      </c>
      <c r="C80" s="184" t="s">
        <v>581</v>
      </c>
      <c r="D80" s="180" t="s">
        <v>519</v>
      </c>
    </row>
    <row r="81" spans="1:4" ht="18.75">
      <c r="A81" s="179">
        <f t="shared" si="1"/>
        <v>80</v>
      </c>
      <c r="B81" s="182" t="s">
        <v>415</v>
      </c>
      <c r="C81" s="184" t="s">
        <v>582</v>
      </c>
      <c r="D81" s="180" t="s">
        <v>519</v>
      </c>
    </row>
    <row r="82" spans="1:4" ht="18.75">
      <c r="A82" s="179">
        <f t="shared" si="1"/>
        <v>81</v>
      </c>
      <c r="B82" s="182" t="s">
        <v>416</v>
      </c>
      <c r="C82" s="184" t="s">
        <v>583</v>
      </c>
      <c r="D82" s="180" t="s">
        <v>519</v>
      </c>
    </row>
    <row r="83" spans="1:4" ht="18.75">
      <c r="A83" s="179">
        <f t="shared" si="1"/>
        <v>82</v>
      </c>
      <c r="B83" s="182" t="s">
        <v>417</v>
      </c>
      <c r="C83" s="184" t="s">
        <v>270</v>
      </c>
      <c r="D83" s="180" t="s">
        <v>520</v>
      </c>
    </row>
    <row r="84" spans="1:4" ht="18.75">
      <c r="A84" s="179">
        <f t="shared" si="1"/>
        <v>83</v>
      </c>
      <c r="B84" s="182" t="s">
        <v>418</v>
      </c>
      <c r="C84" s="184" t="s">
        <v>316</v>
      </c>
      <c r="D84" s="180" t="s">
        <v>520</v>
      </c>
    </row>
    <row r="85" spans="1:4" ht="18.75">
      <c r="A85" s="179">
        <f t="shared" si="1"/>
        <v>84</v>
      </c>
      <c r="B85" s="182" t="s">
        <v>419</v>
      </c>
      <c r="C85" s="184" t="s">
        <v>317</v>
      </c>
      <c r="D85" s="180" t="s">
        <v>520</v>
      </c>
    </row>
    <row r="86" spans="1:4" ht="18.75">
      <c r="A86" s="179">
        <f t="shared" si="1"/>
        <v>85</v>
      </c>
      <c r="B86" s="182" t="s">
        <v>420</v>
      </c>
      <c r="C86" s="184" t="s">
        <v>318</v>
      </c>
      <c r="D86" s="180" t="s">
        <v>520</v>
      </c>
    </row>
    <row r="87" spans="1:4" ht="18.75">
      <c r="A87" s="179">
        <f t="shared" si="1"/>
        <v>86</v>
      </c>
      <c r="B87" s="182" t="s">
        <v>421</v>
      </c>
      <c r="C87" s="184" t="s">
        <v>265</v>
      </c>
      <c r="D87" s="180" t="s">
        <v>520</v>
      </c>
    </row>
    <row r="88" spans="1:4" ht="18.75">
      <c r="A88" s="179">
        <f t="shared" si="1"/>
        <v>87</v>
      </c>
      <c r="B88" s="182" t="s">
        <v>422</v>
      </c>
      <c r="C88" s="184" t="s">
        <v>584</v>
      </c>
      <c r="D88" s="180" t="s">
        <v>520</v>
      </c>
    </row>
    <row r="89" spans="1:4" ht="18.75">
      <c r="A89" s="179">
        <f t="shared" si="1"/>
        <v>88</v>
      </c>
      <c r="B89" s="182" t="s">
        <v>423</v>
      </c>
      <c r="C89" s="184" t="s">
        <v>585</v>
      </c>
      <c r="D89" s="180" t="s">
        <v>520</v>
      </c>
    </row>
    <row r="90" spans="1:4" ht="18.75">
      <c r="A90" s="179">
        <f t="shared" si="1"/>
        <v>89</v>
      </c>
      <c r="B90" s="182" t="s">
        <v>424</v>
      </c>
      <c r="C90" s="184" t="s">
        <v>586</v>
      </c>
      <c r="D90" s="180" t="s">
        <v>520</v>
      </c>
    </row>
    <row r="91" spans="1:4" ht="18.75">
      <c r="A91" s="179">
        <f t="shared" si="1"/>
        <v>90</v>
      </c>
      <c r="B91" s="182" t="s">
        <v>425</v>
      </c>
      <c r="C91" s="184" t="s">
        <v>587</v>
      </c>
      <c r="D91" s="180" t="s">
        <v>520</v>
      </c>
    </row>
    <row r="92" spans="1:4" ht="18.75">
      <c r="A92" s="179">
        <f t="shared" si="1"/>
        <v>91</v>
      </c>
      <c r="B92" s="182" t="s">
        <v>426</v>
      </c>
      <c r="C92" s="184" t="s">
        <v>588</v>
      </c>
      <c r="D92" s="180" t="s">
        <v>520</v>
      </c>
    </row>
    <row r="93" spans="1:4" ht="18.75">
      <c r="A93" s="179">
        <f t="shared" si="1"/>
        <v>92</v>
      </c>
      <c r="B93" s="182" t="s">
        <v>427</v>
      </c>
      <c r="C93" s="184" t="s">
        <v>589</v>
      </c>
      <c r="D93" s="180" t="s">
        <v>520</v>
      </c>
    </row>
    <row r="94" spans="1:4" ht="18.75">
      <c r="A94" s="179">
        <f t="shared" si="1"/>
        <v>93</v>
      </c>
      <c r="B94" s="182" t="s">
        <v>428</v>
      </c>
      <c r="C94" s="184" t="s">
        <v>590</v>
      </c>
      <c r="D94" s="180" t="s">
        <v>520</v>
      </c>
    </row>
    <row r="95" spans="1:4" ht="18.75">
      <c r="A95" s="179">
        <f t="shared" si="1"/>
        <v>94</v>
      </c>
      <c r="B95" s="182" t="s">
        <v>429</v>
      </c>
      <c r="C95" s="184" t="s">
        <v>591</v>
      </c>
      <c r="D95" s="180" t="s">
        <v>520</v>
      </c>
    </row>
    <row r="96" spans="1:4" ht="18.75">
      <c r="A96" s="179">
        <f t="shared" si="1"/>
        <v>95</v>
      </c>
      <c r="B96" s="182" t="s">
        <v>430</v>
      </c>
      <c r="C96" s="184" t="s">
        <v>592</v>
      </c>
      <c r="D96" s="180" t="s">
        <v>520</v>
      </c>
    </row>
    <row r="97" spans="1:4" ht="18.75">
      <c r="A97" s="179">
        <f t="shared" si="1"/>
        <v>96</v>
      </c>
      <c r="B97" s="182" t="s">
        <v>431</v>
      </c>
      <c r="C97" s="184" t="s">
        <v>321</v>
      </c>
      <c r="D97" s="180" t="s">
        <v>521</v>
      </c>
    </row>
    <row r="98" spans="1:4" ht="18.75">
      <c r="A98" s="179">
        <f t="shared" si="1"/>
        <v>97</v>
      </c>
      <c r="B98" s="182" t="s">
        <v>432</v>
      </c>
      <c r="C98" s="184" t="s">
        <v>322</v>
      </c>
      <c r="D98" s="180" t="s">
        <v>521</v>
      </c>
    </row>
    <row r="99" spans="1:4" ht="18.75">
      <c r="A99" s="179">
        <f t="shared" si="1"/>
        <v>98</v>
      </c>
      <c r="B99" s="182" t="s">
        <v>435</v>
      </c>
      <c r="C99" s="184" t="s">
        <v>323</v>
      </c>
      <c r="D99" s="180" t="s">
        <v>521</v>
      </c>
    </row>
    <row r="100" spans="1:4" ht="18.75">
      <c r="A100" s="179">
        <f t="shared" si="1"/>
        <v>99</v>
      </c>
      <c r="B100" s="182" t="s">
        <v>433</v>
      </c>
      <c r="C100" s="184" t="s">
        <v>321</v>
      </c>
      <c r="D100" s="180" t="s">
        <v>522</v>
      </c>
    </row>
    <row r="101" spans="1:4" ht="18.75">
      <c r="A101" s="179">
        <f t="shared" si="1"/>
        <v>100</v>
      </c>
      <c r="B101" s="182" t="s">
        <v>434</v>
      </c>
      <c r="C101" s="184" t="s">
        <v>322</v>
      </c>
      <c r="D101" s="180" t="s">
        <v>522</v>
      </c>
    </row>
    <row r="102" spans="1:4" ht="18.75">
      <c r="A102" s="179">
        <f t="shared" si="1"/>
        <v>101</v>
      </c>
      <c r="B102" s="182" t="s">
        <v>436</v>
      </c>
      <c r="C102" s="184" t="s">
        <v>324</v>
      </c>
      <c r="D102" s="180" t="s">
        <v>522</v>
      </c>
    </row>
    <row r="103" spans="1:4" ht="18.75">
      <c r="A103" s="179">
        <f t="shared" si="1"/>
        <v>102</v>
      </c>
      <c r="B103" s="182" t="s">
        <v>437</v>
      </c>
      <c r="C103" s="184" t="s">
        <v>323</v>
      </c>
      <c r="D103" s="180" t="s">
        <v>522</v>
      </c>
    </row>
    <row r="104" spans="1:4" ht="18.75">
      <c r="A104" s="179">
        <f t="shared" si="1"/>
        <v>103</v>
      </c>
      <c r="B104" s="182" t="s">
        <v>438</v>
      </c>
      <c r="C104" s="184" t="s">
        <v>326</v>
      </c>
      <c r="D104" s="180" t="s">
        <v>523</v>
      </c>
    </row>
    <row r="105" spans="1:4" ht="18.75">
      <c r="A105" s="179">
        <f t="shared" si="1"/>
        <v>104</v>
      </c>
      <c r="B105" s="182" t="s">
        <v>439</v>
      </c>
      <c r="C105" s="184" t="s">
        <v>327</v>
      </c>
      <c r="D105" s="180" t="s">
        <v>523</v>
      </c>
    </row>
    <row r="106" spans="1:4" ht="18.75">
      <c r="A106" s="179">
        <f t="shared" si="1"/>
        <v>105</v>
      </c>
      <c r="B106" s="182" t="s">
        <v>440</v>
      </c>
      <c r="C106" s="184" t="s">
        <v>328</v>
      </c>
      <c r="D106" s="180" t="s">
        <v>523</v>
      </c>
    </row>
    <row r="107" spans="1:4" ht="18.75">
      <c r="A107" s="179">
        <f t="shared" si="1"/>
        <v>106</v>
      </c>
      <c r="B107" s="182" t="s">
        <v>441</v>
      </c>
      <c r="C107" s="184" t="s">
        <v>329</v>
      </c>
      <c r="D107" s="180" t="s">
        <v>523</v>
      </c>
    </row>
    <row r="108" spans="1:4" ht="18.75">
      <c r="A108" s="179">
        <f t="shared" si="1"/>
        <v>107</v>
      </c>
      <c r="B108" s="182" t="s">
        <v>442</v>
      </c>
      <c r="C108" s="184" t="s">
        <v>330</v>
      </c>
      <c r="D108" s="180" t="s">
        <v>523</v>
      </c>
    </row>
    <row r="109" spans="1:4" ht="18.75">
      <c r="A109" s="179">
        <f t="shared" si="1"/>
        <v>108</v>
      </c>
      <c r="B109" s="182" t="s">
        <v>443</v>
      </c>
      <c r="C109" s="184" t="s">
        <v>331</v>
      </c>
      <c r="D109" s="180" t="s">
        <v>523</v>
      </c>
    </row>
    <row r="110" spans="1:4" ht="18.75">
      <c r="A110" s="179">
        <f t="shared" si="1"/>
        <v>109</v>
      </c>
      <c r="B110" s="182" t="s">
        <v>444</v>
      </c>
      <c r="C110" s="184" t="s">
        <v>332</v>
      </c>
      <c r="D110" s="180" t="s">
        <v>523</v>
      </c>
    </row>
    <row r="111" spans="1:4" ht="18.75">
      <c r="A111" s="179">
        <f t="shared" si="1"/>
        <v>110</v>
      </c>
      <c r="B111" s="182" t="s">
        <v>445</v>
      </c>
      <c r="C111" s="184" t="s">
        <v>333</v>
      </c>
      <c r="D111" s="180" t="s">
        <v>523</v>
      </c>
    </row>
    <row r="112" spans="1:4" ht="18.75">
      <c r="A112" s="179">
        <f t="shared" si="1"/>
        <v>111</v>
      </c>
      <c r="B112" s="182" t="s">
        <v>446</v>
      </c>
      <c r="C112" s="184" t="s">
        <v>334</v>
      </c>
      <c r="D112" s="180" t="s">
        <v>523</v>
      </c>
    </row>
    <row r="113" spans="1:4" ht="18.75">
      <c r="A113" s="179">
        <f t="shared" si="1"/>
        <v>112</v>
      </c>
      <c r="B113" s="182" t="s">
        <v>447</v>
      </c>
      <c r="C113" s="184" t="s">
        <v>335</v>
      </c>
      <c r="D113" s="180" t="s">
        <v>523</v>
      </c>
    </row>
    <row r="114" spans="1:4" ht="18.75">
      <c r="A114" s="179">
        <f t="shared" si="1"/>
        <v>113</v>
      </c>
      <c r="B114" s="182" t="s">
        <v>448</v>
      </c>
      <c r="C114" s="184" t="s">
        <v>616</v>
      </c>
      <c r="D114" s="180" t="s">
        <v>523</v>
      </c>
    </row>
    <row r="115" spans="1:4" ht="18.75">
      <c r="A115" s="179">
        <f t="shared" si="1"/>
        <v>114</v>
      </c>
      <c r="B115" s="182" t="s">
        <v>449</v>
      </c>
      <c r="C115" s="184" t="s">
        <v>608</v>
      </c>
      <c r="D115" s="180" t="s">
        <v>523</v>
      </c>
    </row>
    <row r="116" spans="1:4" ht="18.75">
      <c r="A116" s="179">
        <f t="shared" si="1"/>
        <v>115</v>
      </c>
      <c r="B116" s="182" t="s">
        <v>450</v>
      </c>
      <c r="C116" s="184" t="s">
        <v>617</v>
      </c>
      <c r="D116" s="180" t="s">
        <v>523</v>
      </c>
    </row>
    <row r="117" spans="1:4" ht="18.75">
      <c r="A117" s="179">
        <f t="shared" si="1"/>
        <v>116</v>
      </c>
      <c r="B117" s="182" t="s">
        <v>451</v>
      </c>
      <c r="C117" s="184" t="s">
        <v>618</v>
      </c>
      <c r="D117" s="180" t="s">
        <v>523</v>
      </c>
    </row>
    <row r="118" spans="1:4" ht="18.75">
      <c r="A118" s="179">
        <f t="shared" si="1"/>
        <v>117</v>
      </c>
      <c r="B118" s="182" t="s">
        <v>452</v>
      </c>
      <c r="C118" s="184" t="s">
        <v>619</v>
      </c>
      <c r="D118" s="180" t="s">
        <v>523</v>
      </c>
    </row>
    <row r="119" spans="1:4" ht="18.75">
      <c r="A119" s="179">
        <f t="shared" si="1"/>
        <v>118</v>
      </c>
      <c r="B119" s="182" t="s">
        <v>453</v>
      </c>
      <c r="C119" s="184" t="s">
        <v>620</v>
      </c>
      <c r="D119" s="180" t="s">
        <v>523</v>
      </c>
    </row>
    <row r="120" spans="1:4" ht="18.75">
      <c r="A120" s="179">
        <f t="shared" si="1"/>
        <v>119</v>
      </c>
      <c r="B120" s="182" t="s">
        <v>454</v>
      </c>
      <c r="C120" s="184" t="s">
        <v>609</v>
      </c>
      <c r="D120" s="180" t="s">
        <v>523</v>
      </c>
    </row>
    <row r="121" spans="1:4" ht="18.75">
      <c r="A121" s="179">
        <f t="shared" si="1"/>
        <v>120</v>
      </c>
      <c r="B121" s="182" t="s">
        <v>455</v>
      </c>
      <c r="C121" s="184" t="s">
        <v>610</v>
      </c>
      <c r="D121" s="180" t="s">
        <v>523</v>
      </c>
    </row>
    <row r="122" spans="1:4" ht="18.75">
      <c r="A122" s="179">
        <f t="shared" si="1"/>
        <v>121</v>
      </c>
      <c r="B122" s="182" t="s">
        <v>456</v>
      </c>
      <c r="C122" s="184" t="s">
        <v>611</v>
      </c>
      <c r="D122" s="180" t="s">
        <v>523</v>
      </c>
    </row>
    <row r="123" spans="1:4" ht="18.75">
      <c r="A123" s="179">
        <f t="shared" si="1"/>
        <v>122</v>
      </c>
      <c r="B123" s="182" t="s">
        <v>457</v>
      </c>
      <c r="C123" s="184" t="s">
        <v>612</v>
      </c>
      <c r="D123" s="180" t="s">
        <v>523</v>
      </c>
    </row>
    <row r="124" spans="1:4" ht="18.75">
      <c r="A124" s="179">
        <f t="shared" si="1"/>
        <v>123</v>
      </c>
      <c r="B124" s="182" t="s">
        <v>458</v>
      </c>
      <c r="C124" s="184" t="s">
        <v>613</v>
      </c>
      <c r="D124" s="180" t="s">
        <v>523</v>
      </c>
    </row>
    <row r="125" spans="1:4" ht="18.75">
      <c r="A125" s="179">
        <f t="shared" si="1"/>
        <v>124</v>
      </c>
      <c r="B125" s="182" t="s">
        <v>459</v>
      </c>
      <c r="C125" s="184" t="s">
        <v>621</v>
      </c>
      <c r="D125" s="180" t="s">
        <v>523</v>
      </c>
    </row>
    <row r="126" spans="1:4" ht="18.75">
      <c r="A126" s="179">
        <f t="shared" si="1"/>
        <v>125</v>
      </c>
      <c r="B126" s="182" t="s">
        <v>460</v>
      </c>
      <c r="C126" s="184" t="s">
        <v>614</v>
      </c>
      <c r="D126" s="180" t="s">
        <v>523</v>
      </c>
    </row>
    <row r="127" spans="1:4" ht="18.75">
      <c r="A127" s="179">
        <f t="shared" si="1"/>
        <v>126</v>
      </c>
      <c r="B127" s="182" t="s">
        <v>461</v>
      </c>
      <c r="C127" s="184" t="s">
        <v>615</v>
      </c>
      <c r="D127" s="180" t="s">
        <v>523</v>
      </c>
    </row>
    <row r="128" spans="1:4" ht="18.75">
      <c r="A128" s="179">
        <f t="shared" si="1"/>
        <v>127</v>
      </c>
      <c r="B128" s="182" t="s">
        <v>623</v>
      </c>
      <c r="C128" s="184" t="s">
        <v>622</v>
      </c>
      <c r="D128" s="180" t="s">
        <v>523</v>
      </c>
    </row>
  </sheetData>
  <dataConsolidate/>
  <dataValidations count="1">
    <dataValidation allowBlank="1" showInputMessage="1" showErrorMessage="1" prompt="Nhập mã hàng nhớ thêm 1 khoảng trắng" sqref="B17:B82"/>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36"/>
  <sheetViews>
    <sheetView workbookViewId="0">
      <selection activeCell="P5" sqref="P5"/>
    </sheetView>
  </sheetViews>
  <sheetFormatPr defaultColWidth="8.85546875" defaultRowHeight="15"/>
  <cols>
    <col min="1" max="1" width="7.85546875" style="1" customWidth="1"/>
    <col min="2" max="2" width="27.5703125" style="1" customWidth="1"/>
    <col min="3" max="3" width="10.5703125" style="1" customWidth="1"/>
    <col min="4" max="5" width="12.42578125" style="1" customWidth="1"/>
    <col min="6" max="6" width="16.7109375" style="1" customWidth="1"/>
    <col min="7" max="7" width="12.42578125" style="1" customWidth="1"/>
    <col min="8" max="9" width="17.5703125" style="1" customWidth="1"/>
    <col min="10" max="12" width="12.42578125" style="1" customWidth="1"/>
    <col min="13" max="13" width="12.28515625" style="1" customWidth="1"/>
    <col min="14" max="14" width="11" style="1" customWidth="1"/>
    <col min="15" max="21" width="12.42578125" style="1" customWidth="1"/>
    <col min="22" max="25" width="8.85546875" style="1"/>
    <col min="26" max="26" width="10.140625" style="1" bestFit="1" customWidth="1"/>
    <col min="27" max="28" width="8.85546875" style="1"/>
    <col min="29" max="29" width="12" style="1" customWidth="1"/>
    <col min="30" max="30" width="14" style="1" customWidth="1"/>
    <col min="31" max="31" width="16.28515625" style="1" customWidth="1"/>
    <col min="32" max="32" width="9.7109375" style="1" customWidth="1"/>
    <col min="33" max="34" width="8.85546875" style="1"/>
    <col min="35" max="35" width="32.7109375" style="1" customWidth="1"/>
    <col min="36" max="36" width="32.140625" style="1" customWidth="1"/>
    <col min="37" max="16384" width="8.85546875" style="1"/>
  </cols>
  <sheetData>
    <row r="1" spans="1:36">
      <c r="A1" s="15">
        <f>COLUMN()</f>
        <v>1</v>
      </c>
      <c r="B1" s="15">
        <f>COLUMN()</f>
        <v>2</v>
      </c>
      <c r="C1" s="15">
        <f>COLUMN()</f>
        <v>3</v>
      </c>
      <c r="D1" s="15">
        <f>COLUMN()</f>
        <v>4</v>
      </c>
      <c r="E1" s="15">
        <f>COLUMN()</f>
        <v>5</v>
      </c>
      <c r="F1" s="15">
        <f>COLUMN()</f>
        <v>6</v>
      </c>
      <c r="G1" s="15">
        <f>COLUMN()</f>
        <v>7</v>
      </c>
      <c r="H1" s="15">
        <f>COLUMN()</f>
        <v>8</v>
      </c>
      <c r="I1" s="15">
        <f>COLUMN()</f>
        <v>9</v>
      </c>
      <c r="J1" s="15">
        <f>COLUMN()</f>
        <v>10</v>
      </c>
      <c r="K1" s="15">
        <f>COLUMN()</f>
        <v>11</v>
      </c>
      <c r="L1" s="15">
        <f>COLUMN()</f>
        <v>12</v>
      </c>
      <c r="M1" s="15">
        <f>COLUMN()</f>
        <v>13</v>
      </c>
      <c r="N1" s="15">
        <f>COLUMN()</f>
        <v>14</v>
      </c>
      <c r="O1" s="15">
        <f>COLUMN()</f>
        <v>15</v>
      </c>
      <c r="P1" s="15">
        <f>COLUMN()</f>
        <v>16</v>
      </c>
      <c r="Q1" s="15">
        <f>COLUMN()</f>
        <v>17</v>
      </c>
      <c r="R1" s="15">
        <f>COLUMN()</f>
        <v>18</v>
      </c>
      <c r="S1" s="15">
        <f>COLUMN()</f>
        <v>19</v>
      </c>
      <c r="T1" s="15">
        <f>COLUMN()</f>
        <v>20</v>
      </c>
      <c r="U1" s="15">
        <f>COLUMN()</f>
        <v>21</v>
      </c>
      <c r="V1" s="15">
        <f>COLUMN()</f>
        <v>22</v>
      </c>
    </row>
    <row r="3" spans="1:36" ht="13.9" customHeight="1">
      <c r="A3" s="538" t="s">
        <v>27</v>
      </c>
      <c r="B3" s="12" t="s">
        <v>26</v>
      </c>
      <c r="C3" s="11" t="e">
        <f>COUNTIFS(QTCT!$A$6:$A$100,#REF!,QTCT!#REF!,#REF!)</f>
        <v>#REF!</v>
      </c>
      <c r="D3" s="539" t="s">
        <v>17</v>
      </c>
      <c r="E3" s="540" t="s">
        <v>18</v>
      </c>
      <c r="F3" s="540" t="s">
        <v>18</v>
      </c>
      <c r="G3" s="540" t="s">
        <v>18</v>
      </c>
      <c r="H3" s="538" t="s">
        <v>9</v>
      </c>
      <c r="I3" s="538" t="s">
        <v>9</v>
      </c>
      <c r="J3" s="541" t="s">
        <v>2</v>
      </c>
      <c r="K3" s="538" t="s">
        <v>3</v>
      </c>
      <c r="L3" s="538" t="s">
        <v>13</v>
      </c>
      <c r="M3" s="539"/>
      <c r="N3" s="539"/>
      <c r="O3" s="562" t="s">
        <v>20</v>
      </c>
      <c r="P3" s="562" t="s">
        <v>20</v>
      </c>
      <c r="Q3" s="562" t="s">
        <v>20</v>
      </c>
      <c r="R3" s="540" t="s">
        <v>16</v>
      </c>
      <c r="S3" s="540" t="s">
        <v>16</v>
      </c>
      <c r="T3" s="540" t="s">
        <v>16</v>
      </c>
      <c r="U3" s="538" t="s">
        <v>21</v>
      </c>
    </row>
    <row r="4" spans="1:36" ht="29.45" customHeight="1">
      <c r="A4" s="538"/>
      <c r="B4" s="2" t="s">
        <v>23</v>
      </c>
      <c r="C4" s="11" t="e">
        <f t="array" ref="C4">MATCH(#REF!&amp;"X",QT_HoTen&amp;QT_Dang_ApDung,0)</f>
        <v>#REF!</v>
      </c>
      <c r="D4" s="539"/>
      <c r="E4" s="540"/>
      <c r="F4" s="540"/>
      <c r="G4" s="540"/>
      <c r="H4" s="538"/>
      <c r="I4" s="538"/>
      <c r="J4" s="542"/>
      <c r="K4" s="538"/>
      <c r="L4" s="538"/>
      <c r="M4" s="21" t="s">
        <v>3</v>
      </c>
      <c r="N4" s="21" t="s">
        <v>14</v>
      </c>
      <c r="O4" s="562"/>
      <c r="P4" s="562"/>
      <c r="Q4" s="562"/>
      <c r="R4" s="540"/>
      <c r="S4" s="540"/>
      <c r="T4" s="540"/>
      <c r="U4" s="538"/>
    </row>
    <row r="5" spans="1:36" ht="18" customHeight="1">
      <c r="A5" s="538"/>
      <c r="B5" s="12" t="s">
        <v>28</v>
      </c>
      <c r="C5" s="11" t="e">
        <f>IF(AND(#REF!=ThietLap!B23,#REF!=""),1,0)+IF(AND(#REF!&lt;&gt;ThietLap!B23,OR(#REF!="",#REF!="",#REF!="",#REF!="")),1,0)</f>
        <v>#REF!</v>
      </c>
      <c r="D5" s="11" t="e">
        <f>#REF!</f>
        <v>#REF!</v>
      </c>
      <c r="E5" s="19" t="e">
        <f>IF(#REF!=ThietLap!$B$23,#REF!,#REF!)</f>
        <v>#REF!</v>
      </c>
      <c r="F5" s="19" t="e">
        <f>IF(#REF!=ThietLap!$B$23,#REF!,#REF!)</f>
        <v>#REF!</v>
      </c>
      <c r="G5" s="19" t="e">
        <f>IF(#REF!=ThietLap!$B$23,#REF!,#REF!)</f>
        <v>#REF!</v>
      </c>
      <c r="H5" s="11" t="e">
        <f>#REF!</f>
        <v>#REF!</v>
      </c>
      <c r="I5" s="192" t="e">
        <f>#REF!</f>
        <v>#REF!</v>
      </c>
      <c r="J5" s="11" t="e">
        <f>#REF!</f>
        <v>#REF!</v>
      </c>
      <c r="K5" s="11" t="e">
        <f>#REF!</f>
        <v>#REF!</v>
      </c>
      <c r="L5" s="11" t="e">
        <f>IF(#REF!="",#REF!,#REF!)</f>
        <v>#REF!</v>
      </c>
      <c r="M5" s="11" t="e">
        <f>IF(#REF!+#REF!=0,0,#REF!+#REF!)</f>
        <v>#REF!</v>
      </c>
      <c r="N5" s="11" t="e">
        <f>IF(#REF!+#REF!=0,0,#REF!+#REF!)</f>
        <v>#REF!</v>
      </c>
      <c r="O5" s="192" t="e">
        <f>#REF!*(1+#REF!)+L5+M5</f>
        <v>#REF!</v>
      </c>
      <c r="P5" s="192" t="e">
        <f>#REF!*(1+#REF!)+M5+N5</f>
        <v>#REF!</v>
      </c>
      <c r="Q5" s="11" t="e">
        <f>#REF!*(1+#REF!)+M5+N5</f>
        <v>#REF!</v>
      </c>
      <c r="R5" s="19" t="e">
        <f>IF(#REF!&lt;&gt;"",#REF!,#REF!)</f>
        <v>#REF!</v>
      </c>
      <c r="S5" s="19" t="e">
        <f>IF(#REF!&lt;&gt;"",#REF!,#REF!)</f>
        <v>#REF!</v>
      </c>
      <c r="T5" s="19" t="e">
        <f>IF(#REF!&lt;&gt;"",#REF!,#REF!)</f>
        <v>#REF!</v>
      </c>
      <c r="U5" s="11" t="s">
        <v>22</v>
      </c>
    </row>
    <row r="7" spans="1:36">
      <c r="A7" s="56" t="s">
        <v>29</v>
      </c>
      <c r="B7" s="57" t="s">
        <v>30</v>
      </c>
      <c r="C7" s="57"/>
      <c r="D7" s="58">
        <f>COUNTIFS(QTCT!$A$6:$A$1505,Trich_Yeu!D15)</f>
        <v>0</v>
      </c>
    </row>
    <row r="9" spans="1:36" ht="15" customHeight="1">
      <c r="A9" s="541" t="s">
        <v>31</v>
      </c>
      <c r="B9" s="68" t="s">
        <v>26</v>
      </c>
      <c r="C9" s="544" t="s">
        <v>33</v>
      </c>
      <c r="D9" s="539" t="s">
        <v>17</v>
      </c>
      <c r="E9" s="540" t="s">
        <v>18</v>
      </c>
      <c r="F9" s="540" t="s">
        <v>18</v>
      </c>
      <c r="G9" s="540" t="s">
        <v>18</v>
      </c>
      <c r="H9" s="538" t="s">
        <v>9</v>
      </c>
      <c r="I9" s="538" t="s">
        <v>9</v>
      </c>
      <c r="J9" s="541" t="s">
        <v>2</v>
      </c>
      <c r="K9" s="538" t="s">
        <v>3</v>
      </c>
      <c r="L9" s="538" t="s">
        <v>13</v>
      </c>
      <c r="M9" s="539"/>
      <c r="N9" s="539"/>
      <c r="O9" s="562" t="s">
        <v>20</v>
      </c>
      <c r="P9" s="562" t="s">
        <v>20</v>
      </c>
      <c r="Q9" s="562" t="s">
        <v>20</v>
      </c>
      <c r="R9" s="540" t="s">
        <v>16</v>
      </c>
      <c r="S9" s="540" t="s">
        <v>16</v>
      </c>
      <c r="T9" s="540" t="s">
        <v>16</v>
      </c>
      <c r="U9" s="538" t="s">
        <v>21</v>
      </c>
    </row>
    <row r="10" spans="1:36" ht="30">
      <c r="A10" s="543"/>
      <c r="B10" s="67">
        <f>COUNTIF(DSDV!$G$7:$G$216,Them_DV!$F$10)</f>
        <v>0</v>
      </c>
      <c r="C10" s="545"/>
      <c r="D10" s="539"/>
      <c r="E10" s="540"/>
      <c r="F10" s="540"/>
      <c r="G10" s="540"/>
      <c r="H10" s="538"/>
      <c r="I10" s="538"/>
      <c r="J10" s="542"/>
      <c r="K10" s="538"/>
      <c r="L10" s="538"/>
      <c r="M10" s="21" t="s">
        <v>3</v>
      </c>
      <c r="N10" s="21" t="s">
        <v>14</v>
      </c>
      <c r="O10" s="562"/>
      <c r="P10" s="562"/>
      <c r="Q10" s="562"/>
      <c r="R10" s="540"/>
      <c r="S10" s="540"/>
      <c r="T10" s="540"/>
      <c r="U10" s="538"/>
    </row>
    <row r="11" spans="1:36" ht="16.899999999999999" customHeight="1">
      <c r="A11" s="543"/>
      <c r="B11" s="68" t="s">
        <v>28</v>
      </c>
      <c r="C11" s="546"/>
      <c r="D11" s="2" t="s">
        <v>32</v>
      </c>
      <c r="E11" s="4" t="str">
        <f>Them_DV!F12</f>
        <v>Dân tộc</v>
      </c>
      <c r="F11" s="4" t="str">
        <f>Them_DV!F12</f>
        <v>Dân tộc</v>
      </c>
      <c r="G11" s="4">
        <f>Them_DV!G12</f>
        <v>0</v>
      </c>
      <c r="H11" s="2">
        <f>Them_DV!C10</f>
        <v>0</v>
      </c>
      <c r="I11" s="2">
        <f>Them_DV!D10</f>
        <v>0</v>
      </c>
      <c r="J11" s="2">
        <f>Them_DV!C14</f>
        <v>0</v>
      </c>
      <c r="K11" s="2">
        <f>Them_DV!G14</f>
        <v>0</v>
      </c>
      <c r="L11" s="2">
        <f>Them_DV!C23</f>
        <v>0</v>
      </c>
      <c r="M11" s="2" t="str">
        <f>Them_DV!E32</f>
        <v xml:space="preserve">Học vị  </v>
      </c>
      <c r="N11" s="2">
        <f>Them_DV!H32</f>
        <v>0</v>
      </c>
      <c r="O11" s="192" t="e">
        <f>#REF!*(1+#REF!)+L11+M11</f>
        <v>#REF!</v>
      </c>
      <c r="P11" s="192" t="e">
        <f>#REF!*(1+#REF!)+M11+N11</f>
        <v>#REF!</v>
      </c>
      <c r="Q11" s="66" t="e">
        <f>#REF!*(1+#REF!)+M11+N11</f>
        <v>#REF!</v>
      </c>
      <c r="R11" s="19" t="e">
        <f>IF(Them_DV!#REF!="",Them_DV!#REF!,Them_DV!#REF!)</f>
        <v>#REF!</v>
      </c>
      <c r="S11" s="19" t="e">
        <f>IF(Them_DV!#REF!="",Them_DV!#REF!,Them_DV!#REF!)</f>
        <v>#REF!</v>
      </c>
      <c r="T11" s="19" t="e">
        <f>IF(Them_DV!#REF!="",Them_DV!#REF!,Them_DV!#REF!)</f>
        <v>#REF!</v>
      </c>
      <c r="U11" s="66" t="s">
        <v>22</v>
      </c>
    </row>
    <row r="12" spans="1:36">
      <c r="A12" s="543"/>
      <c r="B12" s="67">
        <f>IF(OR(Them_DV!C10="",Them_DV!F10=""),1,0)</f>
        <v>1</v>
      </c>
      <c r="C12" s="69"/>
      <c r="D12" s="69"/>
      <c r="E12" s="69"/>
      <c r="F12" s="69"/>
      <c r="G12" s="69"/>
      <c r="H12" s="69"/>
      <c r="I12" s="69"/>
      <c r="J12" s="69"/>
      <c r="K12" s="69"/>
      <c r="L12" s="69"/>
      <c r="M12" s="69"/>
      <c r="N12" s="69"/>
      <c r="O12" s="69"/>
      <c r="P12" s="69"/>
      <c r="Q12" s="69"/>
      <c r="R12" s="69"/>
      <c r="S12" s="69"/>
      <c r="T12" s="69"/>
      <c r="U12" s="69"/>
    </row>
    <row r="13" spans="1:36" ht="39.75" customHeight="1">
      <c r="A13" s="543"/>
      <c r="B13" s="112">
        <f>IF(OR(Them_DV!C5="",Them_DV!G5="",Them_DV!C10="",Them_DV!F10="",Them_DV!C12="",Them_DV!E12="",Them_DV!G12="",Them_DV!C14="",Them_DV!E14="",Them_DV!G14="",Them_DV!C16="",Them_DV!C18="",Them_DV!C21="",Them_DV!E21="",Them_DV!G21="",Them_DV!C23="",Them_DV!E23="", Them_DV!C25="",Them_DV!E25="", Them_DV!C27="",Them_DV!E23="",Them_DV!C30="", Them_DV!F30="",Them_DV!H30="", Them_DV!C32="",Them_DV!G32="", Them_DV!C34=""),1,0)</f>
        <v>1</v>
      </c>
      <c r="C13" s="544" t="s">
        <v>162</v>
      </c>
      <c r="D13" s="549" t="s">
        <v>463</v>
      </c>
      <c r="E13" s="549" t="s">
        <v>464</v>
      </c>
      <c r="F13" s="549" t="s">
        <v>155</v>
      </c>
      <c r="G13" s="549" t="s">
        <v>482</v>
      </c>
      <c r="H13" s="536" t="s">
        <v>480</v>
      </c>
      <c r="I13" s="536" t="s">
        <v>481</v>
      </c>
      <c r="J13" s="536" t="s">
        <v>10</v>
      </c>
      <c r="K13" s="552" t="s">
        <v>112</v>
      </c>
      <c r="L13" s="536" t="s">
        <v>465</v>
      </c>
      <c r="M13" s="563" t="s">
        <v>1</v>
      </c>
      <c r="N13" s="554" t="s">
        <v>466</v>
      </c>
      <c r="O13" s="555"/>
      <c r="P13" s="555"/>
      <c r="Q13" s="555"/>
      <c r="R13" s="555"/>
      <c r="S13" s="555"/>
      <c r="T13" s="556"/>
      <c r="U13" s="557" t="s">
        <v>3</v>
      </c>
      <c r="V13" s="558"/>
      <c r="W13" s="552" t="s">
        <v>487</v>
      </c>
      <c r="X13" s="552" t="s">
        <v>467</v>
      </c>
      <c r="Y13" s="536" t="s">
        <v>468</v>
      </c>
      <c r="Z13" s="536" t="s">
        <v>95</v>
      </c>
      <c r="AA13" s="536" t="s">
        <v>111</v>
      </c>
      <c r="AB13" s="567" t="s">
        <v>469</v>
      </c>
      <c r="AC13" s="536" t="s">
        <v>160</v>
      </c>
      <c r="AD13" s="536" t="s">
        <v>470</v>
      </c>
      <c r="AE13" s="536" t="s">
        <v>471</v>
      </c>
      <c r="AF13" s="536" t="s">
        <v>472</v>
      </c>
      <c r="AG13" s="565" t="s">
        <v>473</v>
      </c>
      <c r="AH13" s="536" t="s">
        <v>488</v>
      </c>
      <c r="AI13" s="536" t="s">
        <v>116</v>
      </c>
      <c r="AJ13" s="536" t="s">
        <v>474</v>
      </c>
    </row>
    <row r="14" spans="1:36" ht="41.25" customHeight="1">
      <c r="A14" s="543"/>
      <c r="B14" s="70"/>
      <c r="C14" s="545"/>
      <c r="D14" s="537"/>
      <c r="E14" s="537"/>
      <c r="F14" s="537"/>
      <c r="G14" s="537"/>
      <c r="H14" s="537"/>
      <c r="I14" s="537"/>
      <c r="J14" s="548"/>
      <c r="K14" s="553"/>
      <c r="L14" s="548"/>
      <c r="M14" s="564"/>
      <c r="N14" s="187" t="s">
        <v>475</v>
      </c>
      <c r="O14" s="190" t="s">
        <v>483</v>
      </c>
      <c r="P14" s="190" t="s">
        <v>476</v>
      </c>
      <c r="Q14" s="190" t="s">
        <v>484</v>
      </c>
      <c r="R14" s="191" t="s">
        <v>477</v>
      </c>
      <c r="S14" s="191" t="s">
        <v>485</v>
      </c>
      <c r="T14" s="188" t="s">
        <v>486</v>
      </c>
      <c r="U14" s="189" t="s">
        <v>478</v>
      </c>
      <c r="V14" s="189" t="s">
        <v>479</v>
      </c>
      <c r="W14" s="553"/>
      <c r="X14" s="553"/>
      <c r="Y14" s="548"/>
      <c r="Z14" s="548"/>
      <c r="AA14" s="548"/>
      <c r="AB14" s="568"/>
      <c r="AC14" s="548"/>
      <c r="AD14" s="548"/>
      <c r="AE14" s="548"/>
      <c r="AF14" s="548"/>
      <c r="AG14" s="566"/>
      <c r="AH14" s="537"/>
      <c r="AI14" s="537"/>
      <c r="AJ14" s="537"/>
    </row>
    <row r="15" spans="1:36" ht="19.149999999999999" customHeight="1">
      <c r="A15" s="542"/>
      <c r="B15" s="71"/>
      <c r="C15" s="547"/>
      <c r="D15" s="2">
        <f>Them_DV!C5</f>
        <v>0</v>
      </c>
      <c r="E15" s="2">
        <f>Them_DV!G5</f>
        <v>0</v>
      </c>
      <c r="F15" s="2" t="str">
        <f>"'"&amp;Them_DV!C3</f>
        <v>'</v>
      </c>
      <c r="G15" s="2" t="str">
        <f>"'"&amp;Them_DV!G3</f>
        <v>'</v>
      </c>
      <c r="H15" s="2">
        <f>Them_DV!C10</f>
        <v>0</v>
      </c>
      <c r="I15" s="193">
        <f>Them_DV!F10</f>
        <v>0</v>
      </c>
      <c r="J15" s="194">
        <f>Them_DV!C12</f>
        <v>0</v>
      </c>
      <c r="K15" s="2">
        <f>Them_DV!E14</f>
        <v>0</v>
      </c>
      <c r="L15" s="2">
        <f>Them_DV!C21</f>
        <v>0</v>
      </c>
      <c r="M15" s="4">
        <f>Them_DV!E12</f>
        <v>0</v>
      </c>
      <c r="N15" s="4">
        <f>Them_DV!C23</f>
        <v>0</v>
      </c>
      <c r="O15" s="193">
        <f>Them_DV!E23</f>
        <v>0</v>
      </c>
      <c r="P15" s="4">
        <f>Them_DV!C25</f>
        <v>0</v>
      </c>
      <c r="Q15" s="194">
        <f>Them_DV!E25</f>
        <v>0</v>
      </c>
      <c r="R15" s="4">
        <f>Them_DV!C27</f>
        <v>0</v>
      </c>
      <c r="S15" s="4">
        <f>Them_DV!E27</f>
        <v>0</v>
      </c>
      <c r="T15" s="4">
        <f>Them_DV!G27</f>
        <v>0</v>
      </c>
      <c r="U15" s="2">
        <f>Them_DV!G14</f>
        <v>0</v>
      </c>
      <c r="V15" s="2">
        <f>Them_DV!G21</f>
        <v>0</v>
      </c>
      <c r="W15" s="4">
        <f>Them_DV!C7</f>
        <v>0</v>
      </c>
      <c r="X15" s="4">
        <f>Them_DV!D7</f>
        <v>0</v>
      </c>
      <c r="Y15" s="4">
        <f>Them_DV!G7</f>
        <v>0</v>
      </c>
      <c r="Z15" s="194">
        <f>Them_DV!G12</f>
        <v>0</v>
      </c>
      <c r="AA15" s="2">
        <f>Them_DV!C14</f>
        <v>0</v>
      </c>
      <c r="AB15" s="193">
        <f>Them_DV!C30</f>
        <v>0</v>
      </c>
      <c r="AC15" s="2">
        <f>Them_DV!F30</f>
        <v>0</v>
      </c>
      <c r="AD15" s="2">
        <f>Them_DV!H30</f>
        <v>0</v>
      </c>
      <c r="AE15" s="2">
        <f>Them_DV!C34</f>
        <v>0</v>
      </c>
      <c r="AF15" s="2">
        <f>Them_DV!C32</f>
        <v>0</v>
      </c>
      <c r="AG15" s="2">
        <f>Them_DV!E21</f>
        <v>0</v>
      </c>
      <c r="AH15" s="2">
        <f>Them_DV!G32</f>
        <v>0</v>
      </c>
      <c r="AI15" s="2">
        <f>Them_DV!C16</f>
        <v>0</v>
      </c>
      <c r="AJ15" s="2">
        <f>Them_DV!C18</f>
        <v>0</v>
      </c>
    </row>
    <row r="16" spans="1:36">
      <c r="D16" s="1">
        <f>Them_DV!G14</f>
        <v>0</v>
      </c>
      <c r="M16" s="113"/>
      <c r="N16" s="113"/>
      <c r="O16" s="113"/>
      <c r="P16" s="113"/>
      <c r="Q16" s="113"/>
      <c r="R16" s="113"/>
      <c r="S16" s="113"/>
      <c r="T16" s="113"/>
      <c r="U16" s="113"/>
      <c r="V16" s="113"/>
    </row>
    <row r="17" spans="2:10" ht="19.149999999999999" customHeight="1">
      <c r="B17" s="1" t="s">
        <v>34</v>
      </c>
      <c r="C17" s="1" t="e">
        <f>MATCH(#REF!,DSDV!L1:L216,0)</f>
        <v>#REF!</v>
      </c>
      <c r="E17" s="73" t="s">
        <v>8</v>
      </c>
      <c r="F17" s="73" t="s">
        <v>8</v>
      </c>
      <c r="G17" s="73" t="s">
        <v>8</v>
      </c>
      <c r="H17" s="74" t="s">
        <v>37</v>
      </c>
      <c r="I17" s="74" t="s">
        <v>37</v>
      </c>
      <c r="J17" s="75" t="s">
        <v>38</v>
      </c>
    </row>
    <row r="18" spans="2:10">
      <c r="E18" s="76">
        <v>1</v>
      </c>
      <c r="F18" s="76">
        <v>1</v>
      </c>
      <c r="G18" s="76">
        <v>1</v>
      </c>
      <c r="H18" s="77">
        <f>DATE(ThietLap!$F$20,DK!G18,1)</f>
        <v>1</v>
      </c>
      <c r="I18" s="77">
        <f>DATE(ThietLap!$F$20,DK!H18,1)</f>
        <v>1</v>
      </c>
      <c r="J18" s="78">
        <f t="shared" ref="J18:J28" si="0">H19-1</f>
        <v>31</v>
      </c>
    </row>
    <row r="19" spans="2:10">
      <c r="B19" s="1" t="s">
        <v>35</v>
      </c>
      <c r="C19" s="3">
        <f>DATE(ThietLap!$F$20,1,1)</f>
        <v>1</v>
      </c>
      <c r="E19" s="79">
        <v>2</v>
      </c>
      <c r="F19" s="79">
        <v>2</v>
      </c>
      <c r="G19" s="79">
        <v>2</v>
      </c>
      <c r="H19" s="77">
        <f>DATE(ThietLap!$F$20,DK!G19,1)</f>
        <v>32</v>
      </c>
      <c r="I19" s="77">
        <f>DATE(ThietLap!$F$20,DK!H19,1)</f>
        <v>944</v>
      </c>
      <c r="J19" s="78">
        <f t="shared" si="0"/>
        <v>60</v>
      </c>
    </row>
    <row r="20" spans="2:10">
      <c r="B20" s="1" t="s">
        <v>36</v>
      </c>
      <c r="C20" s="3">
        <f>DATE(ThietLap!$F$20,12,31)</f>
        <v>366</v>
      </c>
      <c r="E20" s="79">
        <v>3</v>
      </c>
      <c r="F20" s="79">
        <v>3</v>
      </c>
      <c r="G20" s="79">
        <v>3</v>
      </c>
      <c r="H20" s="77">
        <f>DATE(ThietLap!$F$20,DK!G20,1)</f>
        <v>61</v>
      </c>
      <c r="I20" s="77">
        <f>DATE(ThietLap!$F$20,DK!H20,1)</f>
        <v>1828</v>
      </c>
      <c r="J20" s="78">
        <f t="shared" si="0"/>
        <v>91</v>
      </c>
    </row>
    <row r="21" spans="2:10">
      <c r="E21" s="79">
        <v>4</v>
      </c>
      <c r="F21" s="79">
        <v>4</v>
      </c>
      <c r="G21" s="79">
        <v>4</v>
      </c>
      <c r="H21" s="77">
        <f>DATE(ThietLap!$F$20,DK!G21,1)</f>
        <v>92</v>
      </c>
      <c r="I21" s="77">
        <f>DATE(ThietLap!$F$20,DK!H21,1)</f>
        <v>2770</v>
      </c>
      <c r="J21" s="78">
        <f t="shared" si="0"/>
        <v>121</v>
      </c>
    </row>
    <row r="22" spans="2:10">
      <c r="E22" s="79">
        <v>5</v>
      </c>
      <c r="F22" s="79">
        <v>5</v>
      </c>
      <c r="G22" s="79">
        <v>5</v>
      </c>
      <c r="H22" s="77">
        <f>DATE(ThietLap!$F$20,DK!G22,1)</f>
        <v>122</v>
      </c>
      <c r="I22" s="77">
        <f>DATE(ThietLap!$F$20,DK!H22,1)</f>
        <v>3685</v>
      </c>
      <c r="J22" s="78">
        <f t="shared" si="0"/>
        <v>152</v>
      </c>
    </row>
    <row r="23" spans="2:10">
      <c r="E23" s="79">
        <v>6</v>
      </c>
      <c r="F23" s="79">
        <v>6</v>
      </c>
      <c r="G23" s="79">
        <v>6</v>
      </c>
      <c r="H23" s="77">
        <f>DATE(ThietLap!$F$20,DK!G23,1)</f>
        <v>153</v>
      </c>
      <c r="I23" s="77">
        <f>DATE(ThietLap!$F$20,DK!H23,1)</f>
        <v>4628</v>
      </c>
      <c r="J23" s="78">
        <f t="shared" si="0"/>
        <v>182</v>
      </c>
    </row>
    <row r="24" spans="2:10">
      <c r="E24" s="79">
        <v>7</v>
      </c>
      <c r="F24" s="79">
        <v>7</v>
      </c>
      <c r="G24" s="79">
        <v>7</v>
      </c>
      <c r="H24" s="77">
        <f>DATE(ThietLap!$F$20,DK!G24,1)</f>
        <v>183</v>
      </c>
      <c r="I24" s="77">
        <f>DATE(ThietLap!$F$20,DK!H24,1)</f>
        <v>5539</v>
      </c>
      <c r="J24" s="78">
        <f t="shared" si="0"/>
        <v>213</v>
      </c>
    </row>
    <row r="25" spans="2:10">
      <c r="E25" s="79">
        <v>8</v>
      </c>
      <c r="F25" s="79">
        <v>8</v>
      </c>
      <c r="G25" s="79">
        <v>8</v>
      </c>
      <c r="H25" s="77">
        <f>DATE(ThietLap!$F$20,DK!G25,1)</f>
        <v>214</v>
      </c>
      <c r="I25" s="77">
        <f>DATE(ThietLap!$F$20,DK!H25,1)</f>
        <v>6484</v>
      </c>
      <c r="J25" s="78">
        <f t="shared" si="0"/>
        <v>244</v>
      </c>
    </row>
    <row r="26" spans="2:10">
      <c r="E26" s="79">
        <v>9</v>
      </c>
      <c r="F26" s="79">
        <v>9</v>
      </c>
      <c r="G26" s="79">
        <v>9</v>
      </c>
      <c r="H26" s="77">
        <f>DATE(ThietLap!$F$20,DK!G26,1)</f>
        <v>245</v>
      </c>
      <c r="I26" s="77">
        <f>DATE(ThietLap!$F$20,DK!H26,1)</f>
        <v>7427</v>
      </c>
      <c r="J26" s="78">
        <f t="shared" si="0"/>
        <v>274</v>
      </c>
    </row>
    <row r="27" spans="2:10">
      <c r="E27" s="79">
        <v>10</v>
      </c>
      <c r="F27" s="79">
        <v>10</v>
      </c>
      <c r="G27" s="79">
        <v>10</v>
      </c>
      <c r="H27" s="77">
        <f>DATE(ThietLap!$F$20,DK!G27,1)</f>
        <v>275</v>
      </c>
      <c r="I27" s="77">
        <f>DATE(ThietLap!$F$20,DK!H27,1)</f>
        <v>8341</v>
      </c>
      <c r="J27" s="78">
        <f t="shared" si="0"/>
        <v>305</v>
      </c>
    </row>
    <row r="28" spans="2:10">
      <c r="E28" s="79">
        <v>11</v>
      </c>
      <c r="F28" s="79">
        <v>11</v>
      </c>
      <c r="G28" s="79">
        <v>11</v>
      </c>
      <c r="H28" s="77">
        <f>DATE(ThietLap!$F$20,DK!G28,1)</f>
        <v>306</v>
      </c>
      <c r="I28" s="77">
        <f>DATE(ThietLap!$F$20,DK!H28,1)</f>
        <v>9284</v>
      </c>
      <c r="J28" s="78">
        <f t="shared" si="0"/>
        <v>335</v>
      </c>
    </row>
    <row r="29" spans="2:10">
      <c r="E29" s="80">
        <v>12</v>
      </c>
      <c r="F29" s="80">
        <v>12</v>
      </c>
      <c r="G29" s="80">
        <v>12</v>
      </c>
      <c r="H29" s="81">
        <f>DATE(ThietLap!$F$20,DK!G29,1)</f>
        <v>336</v>
      </c>
      <c r="I29" s="81">
        <f>DATE(ThietLap!$F$20,DK!H29,1)</f>
        <v>10197</v>
      </c>
      <c r="J29" s="82">
        <f>DATE(ThietLap!$F$20,DK!G29,31)</f>
        <v>366</v>
      </c>
    </row>
    <row r="32" spans="2:10">
      <c r="I32" s="93"/>
      <c r="J32" s="93"/>
    </row>
    <row r="33" spans="2:10" ht="15" customHeight="1">
      <c r="B33" s="1">
        <f>IF(OR(Them_QTCT!D5="",Them_QTCT!D7="",Them_QTCT!F7="",Them_QTCT!D9=""),1,0)</f>
        <v>1</v>
      </c>
      <c r="C33" s="541" t="s">
        <v>9</v>
      </c>
      <c r="D33" s="560" t="s">
        <v>165</v>
      </c>
      <c r="E33" s="561"/>
      <c r="F33" s="562" t="s">
        <v>168</v>
      </c>
      <c r="G33" s="550" t="s">
        <v>131</v>
      </c>
      <c r="H33" s="550"/>
      <c r="I33" s="559"/>
      <c r="J33" s="551"/>
    </row>
    <row r="34" spans="2:10">
      <c r="C34" s="542"/>
      <c r="D34" s="10" t="s">
        <v>166</v>
      </c>
      <c r="E34" s="21" t="s">
        <v>167</v>
      </c>
      <c r="F34" s="562"/>
      <c r="G34" s="550"/>
      <c r="H34" s="550"/>
      <c r="I34" s="559"/>
      <c r="J34" s="551"/>
    </row>
    <row r="35" spans="2:10">
      <c r="C35" s="12" t="str">
        <f>Them_QTCT!D5</f>
        <v>Cao Văn Hiệp</v>
      </c>
      <c r="D35" s="127">
        <f>Them_QTCT!D7</f>
        <v>0</v>
      </c>
      <c r="E35" s="218">
        <f>Them_QTCT!F7</f>
        <v>0</v>
      </c>
      <c r="F35" s="127">
        <f>Them_QTCT!D9</f>
        <v>0</v>
      </c>
      <c r="G35" s="216">
        <f>Them_QTCT!D13</f>
        <v>0</v>
      </c>
      <c r="H35" s="216"/>
      <c r="I35" s="217"/>
      <c r="J35" s="217"/>
    </row>
    <row r="36" spans="2:10">
      <c r="I36" s="93"/>
      <c r="J36" s="93"/>
    </row>
  </sheetData>
  <mergeCells count="71">
    <mergeCell ref="G33:G34"/>
    <mergeCell ref="E13:E14"/>
    <mergeCell ref="F13:F14"/>
    <mergeCell ref="L9:L10"/>
    <mergeCell ref="J3:J4"/>
    <mergeCell ref="E3:E4"/>
    <mergeCell ref="E9:E10"/>
    <mergeCell ref="I3:I4"/>
    <mergeCell ref="M9:N9"/>
    <mergeCell ref="F3:F4"/>
    <mergeCell ref="F9:F10"/>
    <mergeCell ref="H3:H4"/>
    <mergeCell ref="L3:L4"/>
    <mergeCell ref="M3:N3"/>
    <mergeCell ref="K9:K10"/>
    <mergeCell ref="K3:K4"/>
    <mergeCell ref="AI13:AI14"/>
    <mergeCell ref="M13:M14"/>
    <mergeCell ref="AG13:AG14"/>
    <mergeCell ref="AA13:AA14"/>
    <mergeCell ref="AB13:AB14"/>
    <mergeCell ref="AD13:AD14"/>
    <mergeCell ref="AE13:AE14"/>
    <mergeCell ref="AF13:AF14"/>
    <mergeCell ref="AC13:AC14"/>
    <mergeCell ref="U9:U10"/>
    <mergeCell ref="T3:T4"/>
    <mergeCell ref="U3:U4"/>
    <mergeCell ref="O9:O10"/>
    <mergeCell ref="O3:O4"/>
    <mergeCell ref="Q9:Q10"/>
    <mergeCell ref="T9:T10"/>
    <mergeCell ref="S3:S4"/>
    <mergeCell ref="S9:S10"/>
    <mergeCell ref="R3:R4"/>
    <mergeCell ref="R9:R10"/>
    <mergeCell ref="P3:P4"/>
    <mergeCell ref="P9:P10"/>
    <mergeCell ref="Q3:Q4"/>
    <mergeCell ref="C33:C34"/>
    <mergeCell ref="H33:H34"/>
    <mergeCell ref="J33:J34"/>
    <mergeCell ref="Z13:Z14"/>
    <mergeCell ref="X13:X14"/>
    <mergeCell ref="Y13:Y14"/>
    <mergeCell ref="N13:T13"/>
    <mergeCell ref="U13:V13"/>
    <mergeCell ref="I13:I14"/>
    <mergeCell ref="I33:I34"/>
    <mergeCell ref="W13:W14"/>
    <mergeCell ref="H13:H14"/>
    <mergeCell ref="K13:K14"/>
    <mergeCell ref="L13:L14"/>
    <mergeCell ref="D33:E33"/>
    <mergeCell ref="F33:F34"/>
    <mergeCell ref="AJ13:AJ14"/>
    <mergeCell ref="AH13:AH14"/>
    <mergeCell ref="A3:A5"/>
    <mergeCell ref="D9:D10"/>
    <mergeCell ref="G9:G10"/>
    <mergeCell ref="H9:H10"/>
    <mergeCell ref="J9:J10"/>
    <mergeCell ref="D3:D4"/>
    <mergeCell ref="G3:G4"/>
    <mergeCell ref="A9:A15"/>
    <mergeCell ref="C9:C11"/>
    <mergeCell ref="C13:C15"/>
    <mergeCell ref="J13:J14"/>
    <mergeCell ref="D13:D14"/>
    <mergeCell ref="G13:G14"/>
    <mergeCell ref="I9:I1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505"/>
  <sheetViews>
    <sheetView showGridLines="0" workbookViewId="0">
      <pane ySplit="5" topLeftCell="A6" activePane="bottomLeft" state="frozen"/>
      <selection activeCell="C13" sqref="C13"/>
      <selection pane="bottomLeft" activeCell="A17" sqref="A17"/>
    </sheetView>
  </sheetViews>
  <sheetFormatPr defaultColWidth="9.140625" defaultRowHeight="15"/>
  <cols>
    <col min="1" max="1" width="25.140625" style="130" customWidth="1"/>
    <col min="2" max="2" width="18.42578125" style="20" customWidth="1"/>
    <col min="3" max="3" width="17.28515625" style="175" customWidth="1"/>
    <col min="4" max="4" width="70.140625" style="1" customWidth="1"/>
    <col min="5" max="5" width="25.28515625" style="1" customWidth="1"/>
    <col min="6" max="16384" width="9.140625" style="1"/>
  </cols>
  <sheetData>
    <row r="1" spans="1:5" ht="62.25" customHeight="1"/>
    <row r="2" spans="1:5" ht="27.75" customHeight="1">
      <c r="A2" s="573" t="s">
        <v>169</v>
      </c>
      <c r="B2" s="573"/>
      <c r="C2" s="573"/>
      <c r="D2" s="573"/>
      <c r="E2" s="573"/>
    </row>
    <row r="3" spans="1:5" ht="19.5" customHeight="1">
      <c r="A3" s="569" t="s">
        <v>9</v>
      </c>
      <c r="B3" s="571" t="s">
        <v>165</v>
      </c>
      <c r="C3" s="572"/>
      <c r="D3" s="569" t="s">
        <v>168</v>
      </c>
      <c r="E3" s="569" t="s">
        <v>131</v>
      </c>
    </row>
    <row r="4" spans="1:5" ht="19.5" customHeight="1">
      <c r="A4" s="570"/>
      <c r="B4" s="128" t="s">
        <v>166</v>
      </c>
      <c r="C4" s="129" t="s">
        <v>167</v>
      </c>
      <c r="D4" s="570"/>
      <c r="E4" s="570"/>
    </row>
    <row r="5" spans="1:5" ht="16.5" customHeight="1">
      <c r="A5" s="13">
        <v>1</v>
      </c>
      <c r="B5" s="13">
        <v>2</v>
      </c>
      <c r="C5" s="13">
        <v>3</v>
      </c>
      <c r="D5" s="13"/>
      <c r="E5" s="13">
        <v>5</v>
      </c>
    </row>
    <row r="6" spans="1:5">
      <c r="A6" s="131" t="s">
        <v>494</v>
      </c>
      <c r="B6" s="174" t="s">
        <v>495</v>
      </c>
      <c r="C6" s="174" t="s">
        <v>496</v>
      </c>
      <c r="D6" s="219" t="s">
        <v>497</v>
      </c>
      <c r="E6" s="174" t="s">
        <v>498</v>
      </c>
    </row>
    <row r="7" spans="1:5">
      <c r="A7" s="131" t="s">
        <v>494</v>
      </c>
      <c r="B7" s="174" t="s">
        <v>502</v>
      </c>
      <c r="C7" s="174" t="s">
        <v>503</v>
      </c>
      <c r="D7" s="131" t="s">
        <v>504</v>
      </c>
      <c r="E7" s="174" t="s">
        <v>505</v>
      </c>
    </row>
    <row r="8" spans="1:5">
      <c r="A8" s="131" t="s">
        <v>549</v>
      </c>
      <c r="B8" s="174" t="s">
        <v>556</v>
      </c>
      <c r="C8" s="174" t="s">
        <v>557</v>
      </c>
      <c r="D8" s="131" t="s">
        <v>558</v>
      </c>
      <c r="E8" s="174">
        <v>0</v>
      </c>
    </row>
    <row r="9" spans="1:5">
      <c r="A9" s="131" t="s">
        <v>549</v>
      </c>
      <c r="B9" s="174" t="s">
        <v>559</v>
      </c>
      <c r="C9" s="174" t="s">
        <v>560</v>
      </c>
      <c r="D9" s="131" t="s">
        <v>561</v>
      </c>
      <c r="E9" s="174">
        <v>0</v>
      </c>
    </row>
    <row r="10" spans="1:5">
      <c r="A10" s="131" t="s">
        <v>549</v>
      </c>
      <c r="B10" s="174" t="s">
        <v>562</v>
      </c>
      <c r="C10" s="174" t="s">
        <v>563</v>
      </c>
      <c r="D10" s="131" t="s">
        <v>564</v>
      </c>
      <c r="E10" s="174" t="s">
        <v>135</v>
      </c>
    </row>
    <row r="11" spans="1:5">
      <c r="A11" s="131" t="s">
        <v>549</v>
      </c>
      <c r="B11" s="174" t="s">
        <v>563</v>
      </c>
      <c r="C11" s="174" t="s">
        <v>567</v>
      </c>
      <c r="D11" s="131" t="s">
        <v>568</v>
      </c>
      <c r="E11" s="174" t="s">
        <v>135</v>
      </c>
    </row>
    <row r="12" spans="1:5">
      <c r="A12" s="131" t="s">
        <v>549</v>
      </c>
      <c r="B12" s="174" t="s">
        <v>569</v>
      </c>
      <c r="C12" s="174" t="s">
        <v>570</v>
      </c>
      <c r="D12" s="131" t="s">
        <v>571</v>
      </c>
      <c r="E12" s="174" t="s">
        <v>135</v>
      </c>
    </row>
    <row r="13" spans="1:5">
      <c r="A13" s="131" t="s">
        <v>549</v>
      </c>
      <c r="B13" s="174" t="s">
        <v>572</v>
      </c>
      <c r="C13" s="174" t="s">
        <v>573</v>
      </c>
      <c r="D13" s="131" t="s">
        <v>574</v>
      </c>
      <c r="E13" s="174" t="s">
        <v>135</v>
      </c>
    </row>
    <row r="14" spans="1:5">
      <c r="A14" s="131" t="s">
        <v>549</v>
      </c>
      <c r="B14" s="174" t="s">
        <v>655</v>
      </c>
      <c r="C14" s="174" t="s">
        <v>656</v>
      </c>
      <c r="D14" s="131" t="s">
        <v>657</v>
      </c>
      <c r="E14" s="174" t="s">
        <v>658</v>
      </c>
    </row>
    <row r="15" spans="1:5">
      <c r="A15" s="131" t="s">
        <v>490</v>
      </c>
      <c r="B15" s="174" t="s">
        <v>499</v>
      </c>
      <c r="C15" s="174" t="s">
        <v>501</v>
      </c>
      <c r="D15" s="131" t="s">
        <v>500</v>
      </c>
      <c r="E15" s="174">
        <v>45</v>
      </c>
    </row>
    <row r="16" spans="1:5">
      <c r="A16" s="131" t="s">
        <v>490</v>
      </c>
      <c r="B16" s="174" t="s">
        <v>527</v>
      </c>
      <c r="C16" s="174" t="s">
        <v>528</v>
      </c>
      <c r="D16" s="131" t="s">
        <v>529</v>
      </c>
      <c r="E16" s="174">
        <v>0</v>
      </c>
    </row>
    <row r="17" spans="1:5">
      <c r="A17" s="131" t="s">
        <v>490</v>
      </c>
      <c r="B17" s="174" t="s">
        <v>530</v>
      </c>
      <c r="C17" s="174" t="s">
        <v>530</v>
      </c>
      <c r="D17" s="131" t="s">
        <v>529</v>
      </c>
      <c r="E17" s="174">
        <v>0</v>
      </c>
    </row>
    <row r="18" spans="1:5">
      <c r="A18" s="131"/>
      <c r="B18" s="174"/>
      <c r="C18" s="174"/>
      <c r="D18" s="131"/>
      <c r="E18" s="174"/>
    </row>
    <row r="19" spans="1:5">
      <c r="A19" s="131"/>
      <c r="B19" s="174"/>
      <c r="C19" s="174"/>
      <c r="D19" s="131"/>
      <c r="E19" s="174"/>
    </row>
    <row r="20" spans="1:5">
      <c r="A20" s="131"/>
      <c r="B20" s="174"/>
      <c r="C20" s="174"/>
      <c r="D20" s="131"/>
      <c r="E20" s="174"/>
    </row>
    <row r="21" spans="1:5">
      <c r="A21" s="131"/>
      <c r="B21" s="174"/>
      <c r="C21" s="174"/>
      <c r="D21" s="131"/>
      <c r="E21" s="174"/>
    </row>
    <row r="22" spans="1:5">
      <c r="A22" s="131"/>
      <c r="B22" s="174"/>
      <c r="C22" s="174"/>
      <c r="D22" s="131"/>
      <c r="E22" s="174"/>
    </row>
    <row r="23" spans="1:5">
      <c r="A23" s="131"/>
      <c r="B23" s="174"/>
      <c r="C23" s="174"/>
      <c r="D23" s="131"/>
      <c r="E23" s="174"/>
    </row>
    <row r="24" spans="1:5">
      <c r="A24" s="131"/>
      <c r="B24" s="174"/>
      <c r="C24" s="174"/>
      <c r="D24" s="131"/>
      <c r="E24" s="174"/>
    </row>
    <row r="25" spans="1:5">
      <c r="A25" s="131"/>
      <c r="B25" s="174"/>
      <c r="C25" s="174"/>
      <c r="D25" s="131"/>
      <c r="E25" s="174"/>
    </row>
    <row r="26" spans="1:5">
      <c r="A26" s="131"/>
      <c r="B26" s="174"/>
      <c r="C26" s="174"/>
      <c r="D26" s="131"/>
      <c r="E26" s="174"/>
    </row>
    <row r="27" spans="1:5">
      <c r="A27" s="131"/>
      <c r="B27" s="174"/>
      <c r="C27" s="174"/>
      <c r="D27" s="131"/>
      <c r="E27" s="174"/>
    </row>
    <row r="28" spans="1:5">
      <c r="A28" s="131"/>
      <c r="B28" s="174"/>
      <c r="C28" s="174"/>
      <c r="D28" s="131"/>
      <c r="E28" s="174"/>
    </row>
    <row r="29" spans="1:5">
      <c r="A29" s="131"/>
      <c r="B29" s="174"/>
      <c r="C29" s="174"/>
      <c r="D29" s="131"/>
      <c r="E29" s="174"/>
    </row>
    <row r="30" spans="1:5">
      <c r="A30" s="131"/>
      <c r="B30" s="174"/>
      <c r="C30" s="174"/>
      <c r="D30" s="131"/>
      <c r="E30" s="174"/>
    </row>
    <row r="31" spans="1:5">
      <c r="A31" s="131"/>
      <c r="B31" s="174"/>
      <c r="C31" s="174"/>
      <c r="D31" s="131"/>
      <c r="E31" s="174"/>
    </row>
    <row r="32" spans="1:5">
      <c r="A32" s="131"/>
      <c r="B32" s="174"/>
      <c r="C32" s="174"/>
      <c r="D32" s="131"/>
      <c r="E32" s="174"/>
    </row>
    <row r="33" spans="1:5">
      <c r="A33" s="131"/>
      <c r="B33" s="174"/>
      <c r="C33" s="174"/>
      <c r="D33" s="131"/>
      <c r="E33" s="174"/>
    </row>
    <row r="34" spans="1:5">
      <c r="A34" s="131"/>
      <c r="B34" s="174"/>
      <c r="C34" s="174"/>
      <c r="D34" s="131"/>
      <c r="E34" s="174"/>
    </row>
    <row r="35" spans="1:5">
      <c r="A35" s="131"/>
      <c r="B35" s="174"/>
      <c r="C35" s="174"/>
      <c r="D35" s="131"/>
      <c r="E35" s="174"/>
    </row>
    <row r="36" spans="1:5">
      <c r="A36" s="131"/>
      <c r="B36" s="174"/>
      <c r="C36" s="174"/>
      <c r="D36" s="131"/>
      <c r="E36" s="174"/>
    </row>
    <row r="37" spans="1:5">
      <c r="A37" s="131"/>
      <c r="B37" s="174"/>
      <c r="C37" s="174"/>
      <c r="D37" s="131"/>
      <c r="E37" s="174"/>
    </row>
    <row r="38" spans="1:5">
      <c r="A38" s="131"/>
      <c r="B38" s="174"/>
      <c r="C38" s="174"/>
      <c r="D38" s="131"/>
      <c r="E38" s="174"/>
    </row>
    <row r="39" spans="1:5">
      <c r="A39" s="131"/>
      <c r="B39" s="174"/>
      <c r="C39" s="174"/>
      <c r="D39" s="131"/>
      <c r="E39" s="174"/>
    </row>
    <row r="40" spans="1:5">
      <c r="A40" s="131"/>
      <c r="B40" s="174"/>
      <c r="C40" s="174"/>
      <c r="D40" s="131"/>
      <c r="E40" s="174"/>
    </row>
    <row r="41" spans="1:5">
      <c r="A41" s="131"/>
      <c r="B41" s="174"/>
      <c r="C41" s="174"/>
      <c r="D41" s="131"/>
      <c r="E41" s="174"/>
    </row>
    <row r="42" spans="1:5">
      <c r="A42" s="131"/>
      <c r="B42" s="174"/>
      <c r="C42" s="174"/>
      <c r="D42" s="131"/>
      <c r="E42" s="174"/>
    </row>
    <row r="43" spans="1:5">
      <c r="A43" s="131"/>
      <c r="B43" s="174"/>
      <c r="C43" s="174"/>
      <c r="D43" s="131"/>
      <c r="E43" s="174"/>
    </row>
    <row r="44" spans="1:5">
      <c r="A44" s="131"/>
      <c r="B44" s="174"/>
      <c r="C44" s="174"/>
      <c r="D44" s="131"/>
      <c r="E44" s="174"/>
    </row>
    <row r="45" spans="1:5">
      <c r="A45" s="131"/>
      <c r="B45" s="174"/>
      <c r="C45" s="174"/>
      <c r="D45" s="131"/>
      <c r="E45" s="174"/>
    </row>
    <row r="46" spans="1:5">
      <c r="A46" s="131"/>
      <c r="B46" s="174"/>
      <c r="C46" s="174"/>
      <c r="D46" s="131"/>
      <c r="E46" s="174"/>
    </row>
    <row r="47" spans="1:5">
      <c r="A47" s="131"/>
      <c r="B47" s="174"/>
      <c r="C47" s="174"/>
      <c r="D47" s="131"/>
      <c r="E47" s="174"/>
    </row>
    <row r="48" spans="1:5">
      <c r="A48" s="131"/>
      <c r="B48" s="174"/>
      <c r="C48" s="174"/>
      <c r="D48" s="131"/>
      <c r="E48" s="174"/>
    </row>
    <row r="49" spans="1:5">
      <c r="A49" s="131"/>
      <c r="B49" s="174"/>
      <c r="C49" s="174"/>
      <c r="D49" s="131"/>
      <c r="E49" s="174"/>
    </row>
    <row r="50" spans="1:5">
      <c r="A50" s="131"/>
      <c r="B50" s="174"/>
      <c r="C50" s="174"/>
      <c r="D50" s="131"/>
      <c r="E50" s="174"/>
    </row>
    <row r="51" spans="1:5">
      <c r="A51" s="131"/>
      <c r="B51" s="174"/>
      <c r="C51" s="174"/>
      <c r="D51" s="131"/>
      <c r="E51" s="174"/>
    </row>
    <row r="52" spans="1:5">
      <c r="A52" s="131"/>
      <c r="B52" s="174"/>
      <c r="C52" s="174"/>
      <c r="D52" s="131"/>
      <c r="E52" s="174"/>
    </row>
    <row r="53" spans="1:5">
      <c r="A53" s="131"/>
      <c r="B53" s="174"/>
      <c r="C53" s="174"/>
      <c r="D53" s="131"/>
      <c r="E53" s="174"/>
    </row>
    <row r="54" spans="1:5">
      <c r="A54" s="131"/>
      <c r="B54" s="174"/>
      <c r="C54" s="174"/>
      <c r="D54" s="131"/>
      <c r="E54" s="174"/>
    </row>
    <row r="55" spans="1:5">
      <c r="A55" s="131"/>
      <c r="B55" s="174"/>
      <c r="C55" s="174"/>
      <c r="D55" s="131"/>
      <c r="E55" s="174"/>
    </row>
    <row r="56" spans="1:5">
      <c r="A56" s="131"/>
      <c r="B56" s="174"/>
      <c r="C56" s="174"/>
      <c r="D56" s="131"/>
      <c r="E56" s="174"/>
    </row>
    <row r="57" spans="1:5">
      <c r="A57" s="131"/>
      <c r="B57" s="174"/>
      <c r="C57" s="174"/>
      <c r="D57" s="131"/>
      <c r="E57" s="174"/>
    </row>
    <row r="58" spans="1:5">
      <c r="A58" s="131"/>
      <c r="B58" s="174"/>
      <c r="C58" s="174"/>
      <c r="D58" s="131"/>
      <c r="E58" s="174"/>
    </row>
    <row r="59" spans="1:5">
      <c r="A59" s="131"/>
      <c r="B59" s="174"/>
      <c r="C59" s="174"/>
      <c r="D59" s="131"/>
      <c r="E59" s="174"/>
    </row>
    <row r="60" spans="1:5">
      <c r="A60" s="131"/>
      <c r="B60" s="174"/>
      <c r="C60" s="174"/>
      <c r="D60" s="131"/>
      <c r="E60" s="174"/>
    </row>
    <row r="61" spans="1:5">
      <c r="A61" s="131"/>
      <c r="B61" s="174"/>
      <c r="C61" s="174"/>
      <c r="D61" s="131"/>
      <c r="E61" s="174"/>
    </row>
    <row r="62" spans="1:5">
      <c r="A62" s="131"/>
      <c r="B62" s="174"/>
      <c r="C62" s="174"/>
      <c r="D62" s="131"/>
      <c r="E62" s="174"/>
    </row>
    <row r="63" spans="1:5">
      <c r="A63" s="131"/>
      <c r="B63" s="174"/>
      <c r="C63" s="174"/>
      <c r="D63" s="131"/>
      <c r="E63" s="174"/>
    </row>
    <row r="64" spans="1:5">
      <c r="A64" s="131"/>
      <c r="B64" s="174"/>
      <c r="C64" s="174"/>
      <c r="D64" s="131"/>
      <c r="E64" s="174"/>
    </row>
    <row r="65" spans="1:5">
      <c r="A65" s="131"/>
      <c r="B65" s="174"/>
      <c r="C65" s="174"/>
      <c r="D65" s="131"/>
      <c r="E65" s="174"/>
    </row>
    <row r="66" spans="1:5">
      <c r="A66" s="131"/>
      <c r="B66" s="174"/>
      <c r="C66" s="174"/>
      <c r="D66" s="131"/>
      <c r="E66" s="174"/>
    </row>
    <row r="67" spans="1:5">
      <c r="A67" s="131"/>
      <c r="B67" s="174"/>
      <c r="C67" s="174"/>
      <c r="D67" s="131"/>
      <c r="E67" s="174"/>
    </row>
    <row r="68" spans="1:5">
      <c r="A68" s="131"/>
      <c r="B68" s="174"/>
      <c r="C68" s="174"/>
      <c r="D68" s="131"/>
      <c r="E68" s="174"/>
    </row>
    <row r="69" spans="1:5">
      <c r="A69" s="131"/>
      <c r="B69" s="174"/>
      <c r="C69" s="174"/>
      <c r="D69" s="131"/>
      <c r="E69" s="174"/>
    </row>
    <row r="70" spans="1:5">
      <c r="A70" s="131"/>
      <c r="B70" s="174"/>
      <c r="C70" s="174"/>
      <c r="D70" s="131"/>
      <c r="E70" s="174"/>
    </row>
    <row r="71" spans="1:5">
      <c r="A71" s="131"/>
      <c r="B71" s="174"/>
      <c r="C71" s="174"/>
      <c r="D71" s="131"/>
      <c r="E71" s="174"/>
    </row>
    <row r="72" spans="1:5">
      <c r="A72" s="131"/>
      <c r="B72" s="174"/>
      <c r="C72" s="174"/>
      <c r="D72" s="131"/>
      <c r="E72" s="174"/>
    </row>
    <row r="73" spans="1:5">
      <c r="A73" s="131"/>
      <c r="B73" s="174"/>
      <c r="C73" s="174"/>
      <c r="D73" s="131"/>
      <c r="E73" s="174"/>
    </row>
    <row r="74" spans="1:5">
      <c r="A74" s="131"/>
      <c r="B74" s="174"/>
      <c r="C74" s="174"/>
      <c r="D74" s="131"/>
      <c r="E74" s="174"/>
    </row>
    <row r="75" spans="1:5">
      <c r="A75" s="131"/>
      <c r="B75" s="174"/>
      <c r="C75" s="174"/>
      <c r="D75" s="131"/>
      <c r="E75" s="174"/>
    </row>
    <row r="76" spans="1:5">
      <c r="A76" s="131"/>
      <c r="B76" s="174"/>
      <c r="C76" s="174"/>
      <c r="D76" s="131"/>
      <c r="E76" s="174"/>
    </row>
    <row r="77" spans="1:5">
      <c r="A77" s="131"/>
      <c r="B77" s="174"/>
      <c r="C77" s="174"/>
      <c r="D77" s="131"/>
      <c r="E77" s="174"/>
    </row>
    <row r="78" spans="1:5">
      <c r="A78" s="131"/>
      <c r="B78" s="174"/>
      <c r="C78" s="174"/>
      <c r="D78" s="131"/>
      <c r="E78" s="174"/>
    </row>
    <row r="79" spans="1:5">
      <c r="A79" s="131"/>
      <c r="B79" s="174"/>
      <c r="C79" s="174"/>
      <c r="D79" s="131"/>
      <c r="E79" s="174"/>
    </row>
    <row r="80" spans="1:5">
      <c r="A80" s="131"/>
      <c r="B80" s="174"/>
      <c r="C80" s="174"/>
      <c r="D80" s="131"/>
      <c r="E80" s="174"/>
    </row>
    <row r="81" spans="1:5">
      <c r="A81" s="131"/>
      <c r="B81" s="174"/>
      <c r="C81" s="174"/>
      <c r="D81" s="131"/>
      <c r="E81" s="174"/>
    </row>
    <row r="82" spans="1:5">
      <c r="A82" s="131"/>
      <c r="B82" s="174"/>
      <c r="C82" s="174"/>
      <c r="D82" s="131"/>
      <c r="E82" s="174"/>
    </row>
    <row r="83" spans="1:5">
      <c r="A83" s="131"/>
      <c r="B83" s="174"/>
      <c r="C83" s="174"/>
      <c r="D83" s="131"/>
      <c r="E83" s="174"/>
    </row>
    <row r="84" spans="1:5">
      <c r="A84" s="131"/>
      <c r="B84" s="174"/>
      <c r="C84" s="174"/>
      <c r="D84" s="131"/>
      <c r="E84" s="174"/>
    </row>
    <row r="85" spans="1:5">
      <c r="A85" s="131"/>
      <c r="B85" s="174"/>
      <c r="C85" s="174"/>
      <c r="D85" s="131"/>
      <c r="E85" s="174"/>
    </row>
    <row r="86" spans="1:5">
      <c r="A86" s="131"/>
      <c r="B86" s="174"/>
      <c r="C86" s="174"/>
      <c r="D86" s="131"/>
      <c r="E86" s="174"/>
    </row>
    <row r="87" spans="1:5">
      <c r="A87" s="131"/>
      <c r="B87" s="174"/>
      <c r="C87" s="174"/>
      <c r="D87" s="131"/>
      <c r="E87" s="174"/>
    </row>
    <row r="88" spans="1:5">
      <c r="A88" s="131"/>
      <c r="B88" s="174"/>
      <c r="C88" s="174"/>
      <c r="D88" s="131"/>
      <c r="E88" s="174"/>
    </row>
    <row r="89" spans="1:5">
      <c r="A89" s="131"/>
      <c r="B89" s="174"/>
      <c r="C89" s="174"/>
      <c r="D89" s="131"/>
      <c r="E89" s="174"/>
    </row>
    <row r="90" spans="1:5">
      <c r="A90" s="131"/>
      <c r="B90" s="174"/>
      <c r="C90" s="174"/>
      <c r="D90" s="131"/>
      <c r="E90" s="174"/>
    </row>
    <row r="91" spans="1:5">
      <c r="A91" s="131"/>
      <c r="B91" s="174"/>
      <c r="C91" s="174"/>
      <c r="D91" s="131"/>
      <c r="E91" s="174"/>
    </row>
    <row r="92" spans="1:5">
      <c r="A92" s="131"/>
      <c r="B92" s="174"/>
      <c r="C92" s="174"/>
      <c r="D92" s="131"/>
      <c r="E92" s="174"/>
    </row>
    <row r="93" spans="1:5">
      <c r="A93" s="131"/>
      <c r="B93" s="174"/>
      <c r="C93" s="174"/>
      <c r="D93" s="131"/>
      <c r="E93" s="174"/>
    </row>
    <row r="94" spans="1:5">
      <c r="A94" s="131"/>
      <c r="B94" s="174"/>
      <c r="C94" s="174"/>
      <c r="D94" s="131"/>
      <c r="E94" s="174"/>
    </row>
    <row r="95" spans="1:5">
      <c r="A95" s="131"/>
      <c r="B95" s="174"/>
      <c r="C95" s="174"/>
      <c r="D95" s="131"/>
      <c r="E95" s="174"/>
    </row>
    <row r="96" spans="1:5">
      <c r="A96" s="131"/>
      <c r="B96" s="174"/>
      <c r="C96" s="174"/>
      <c r="D96" s="131"/>
      <c r="E96" s="174"/>
    </row>
    <row r="97" spans="1:5">
      <c r="A97" s="131"/>
      <c r="B97" s="174"/>
      <c r="C97" s="174"/>
      <c r="D97" s="131"/>
      <c r="E97" s="174"/>
    </row>
    <row r="98" spans="1:5">
      <c r="A98" s="131"/>
      <c r="B98" s="174"/>
      <c r="C98" s="174"/>
      <c r="D98" s="131"/>
      <c r="E98" s="174"/>
    </row>
    <row r="99" spans="1:5">
      <c r="A99" s="131"/>
      <c r="B99" s="174"/>
      <c r="C99" s="174"/>
      <c r="D99" s="131"/>
      <c r="E99" s="174"/>
    </row>
    <row r="100" spans="1:5">
      <c r="A100" s="131"/>
      <c r="B100" s="174"/>
      <c r="C100" s="174"/>
      <c r="D100" s="131"/>
      <c r="E100" s="174"/>
    </row>
    <row r="101" spans="1:5">
      <c r="A101" s="131"/>
      <c r="B101" s="174"/>
      <c r="C101" s="174"/>
      <c r="D101" s="131"/>
      <c r="E101" s="174"/>
    </row>
    <row r="102" spans="1:5">
      <c r="A102" s="131"/>
      <c r="B102" s="174"/>
      <c r="C102" s="174"/>
      <c r="D102" s="131"/>
      <c r="E102" s="174"/>
    </row>
    <row r="103" spans="1:5">
      <c r="A103" s="131"/>
      <c r="B103" s="174"/>
      <c r="C103" s="174"/>
      <c r="D103" s="131"/>
      <c r="E103" s="174"/>
    </row>
    <row r="104" spans="1:5">
      <c r="A104" s="131"/>
      <c r="B104" s="174"/>
      <c r="C104" s="174"/>
      <c r="D104" s="131"/>
      <c r="E104" s="174"/>
    </row>
    <row r="105" spans="1:5">
      <c r="A105" s="131"/>
      <c r="B105" s="174"/>
      <c r="C105" s="174"/>
      <c r="D105" s="131"/>
      <c r="E105" s="174"/>
    </row>
    <row r="106" spans="1:5">
      <c r="A106" s="131"/>
      <c r="B106" s="174"/>
      <c r="C106" s="174"/>
      <c r="D106" s="131"/>
      <c r="E106" s="174"/>
    </row>
    <row r="107" spans="1:5">
      <c r="A107" s="131"/>
      <c r="B107" s="174"/>
      <c r="C107" s="174"/>
      <c r="D107" s="131"/>
      <c r="E107" s="174"/>
    </row>
    <row r="108" spans="1:5">
      <c r="A108" s="131"/>
      <c r="B108" s="174"/>
      <c r="C108" s="174"/>
      <c r="D108" s="131"/>
      <c r="E108" s="174"/>
    </row>
    <row r="109" spans="1:5">
      <c r="A109" s="131"/>
      <c r="B109" s="174"/>
      <c r="C109" s="174"/>
      <c r="D109" s="131"/>
      <c r="E109" s="174"/>
    </row>
    <row r="110" spans="1:5">
      <c r="A110" s="131"/>
      <c r="B110" s="174"/>
      <c r="C110" s="174"/>
      <c r="D110" s="131"/>
      <c r="E110" s="174"/>
    </row>
    <row r="111" spans="1:5">
      <c r="A111" s="131"/>
      <c r="B111" s="174"/>
      <c r="C111" s="174"/>
      <c r="D111" s="131"/>
      <c r="E111" s="174"/>
    </row>
    <row r="112" spans="1:5">
      <c r="A112" s="131"/>
      <c r="B112" s="174"/>
      <c r="C112" s="174"/>
      <c r="D112" s="131"/>
      <c r="E112" s="174"/>
    </row>
    <row r="113" spans="1:5">
      <c r="A113" s="131"/>
      <c r="B113" s="174"/>
      <c r="C113" s="174"/>
      <c r="D113" s="131"/>
      <c r="E113" s="174"/>
    </row>
    <row r="114" spans="1:5">
      <c r="A114" s="131"/>
      <c r="B114" s="174"/>
      <c r="C114" s="174"/>
      <c r="D114" s="131"/>
      <c r="E114" s="174"/>
    </row>
    <row r="115" spans="1:5">
      <c r="A115" s="131"/>
      <c r="B115" s="174"/>
      <c r="C115" s="174"/>
      <c r="D115" s="131"/>
      <c r="E115" s="174"/>
    </row>
    <row r="116" spans="1:5">
      <c r="A116" s="131"/>
      <c r="B116" s="174"/>
      <c r="C116" s="174"/>
      <c r="D116" s="131"/>
      <c r="E116" s="174"/>
    </row>
    <row r="117" spans="1:5">
      <c r="A117" s="131"/>
      <c r="B117" s="174"/>
      <c r="C117" s="174"/>
      <c r="D117" s="131"/>
      <c r="E117" s="174"/>
    </row>
    <row r="118" spans="1:5">
      <c r="A118" s="131"/>
      <c r="B118" s="174"/>
      <c r="C118" s="174"/>
      <c r="D118" s="131"/>
      <c r="E118" s="174"/>
    </row>
    <row r="119" spans="1:5">
      <c r="A119" s="131"/>
      <c r="B119" s="174"/>
      <c r="C119" s="174"/>
      <c r="D119" s="131"/>
      <c r="E119" s="174"/>
    </row>
    <row r="120" spans="1:5">
      <c r="A120" s="131"/>
      <c r="B120" s="174"/>
      <c r="C120" s="174"/>
      <c r="D120" s="131"/>
      <c r="E120" s="174"/>
    </row>
    <row r="121" spans="1:5">
      <c r="A121" s="131"/>
      <c r="B121" s="174"/>
      <c r="C121" s="174"/>
      <c r="D121" s="131"/>
      <c r="E121" s="174"/>
    </row>
    <row r="122" spans="1:5">
      <c r="A122" s="131"/>
      <c r="B122" s="174"/>
      <c r="C122" s="174"/>
      <c r="D122" s="131"/>
      <c r="E122" s="174"/>
    </row>
    <row r="123" spans="1:5">
      <c r="A123" s="131"/>
      <c r="B123" s="174"/>
      <c r="C123" s="174"/>
      <c r="D123" s="131"/>
      <c r="E123" s="174"/>
    </row>
    <row r="124" spans="1:5">
      <c r="A124" s="131"/>
      <c r="B124" s="174"/>
      <c r="C124" s="174"/>
      <c r="D124" s="131"/>
      <c r="E124" s="174"/>
    </row>
    <row r="125" spans="1:5">
      <c r="A125" s="131"/>
      <c r="B125" s="174"/>
      <c r="C125" s="174"/>
      <c r="D125" s="131"/>
      <c r="E125" s="174"/>
    </row>
    <row r="126" spans="1:5">
      <c r="A126" s="131"/>
      <c r="B126" s="174"/>
      <c r="C126" s="174"/>
      <c r="D126" s="131"/>
      <c r="E126" s="174"/>
    </row>
    <row r="127" spans="1:5">
      <c r="A127" s="131"/>
      <c r="B127" s="174"/>
      <c r="C127" s="174"/>
      <c r="D127" s="131"/>
      <c r="E127" s="174"/>
    </row>
    <row r="128" spans="1:5">
      <c r="A128" s="131"/>
      <c r="B128" s="174"/>
      <c r="C128" s="174"/>
      <c r="D128" s="131"/>
      <c r="E128" s="174"/>
    </row>
    <row r="129" spans="1:5">
      <c r="A129" s="131"/>
      <c r="B129" s="174"/>
      <c r="C129" s="174"/>
      <c r="D129" s="131"/>
      <c r="E129" s="174"/>
    </row>
    <row r="130" spans="1:5">
      <c r="A130" s="131"/>
      <c r="B130" s="174"/>
      <c r="C130" s="174"/>
      <c r="D130" s="131"/>
      <c r="E130" s="174"/>
    </row>
    <row r="131" spans="1:5">
      <c r="A131" s="131"/>
      <c r="B131" s="174"/>
      <c r="C131" s="174"/>
      <c r="D131" s="131"/>
      <c r="E131" s="174"/>
    </row>
    <row r="132" spans="1:5">
      <c r="A132" s="131"/>
      <c r="B132" s="174"/>
      <c r="C132" s="174"/>
      <c r="D132" s="131"/>
      <c r="E132" s="174"/>
    </row>
    <row r="133" spans="1:5">
      <c r="A133" s="131"/>
      <c r="B133" s="174"/>
      <c r="C133" s="174"/>
      <c r="D133" s="131"/>
      <c r="E133" s="174"/>
    </row>
    <row r="134" spans="1:5">
      <c r="A134" s="131"/>
      <c r="B134" s="174"/>
      <c r="C134" s="174"/>
      <c r="D134" s="131"/>
      <c r="E134" s="174"/>
    </row>
    <row r="135" spans="1:5">
      <c r="A135" s="131"/>
      <c r="B135" s="174"/>
      <c r="C135" s="174"/>
      <c r="D135" s="131"/>
      <c r="E135" s="174"/>
    </row>
    <row r="136" spans="1:5">
      <c r="A136" s="131"/>
      <c r="B136" s="174"/>
      <c r="C136" s="174"/>
      <c r="D136" s="131"/>
      <c r="E136" s="174"/>
    </row>
    <row r="137" spans="1:5">
      <c r="A137" s="131"/>
      <c r="B137" s="174"/>
      <c r="C137" s="174"/>
      <c r="D137" s="131"/>
      <c r="E137" s="174"/>
    </row>
    <row r="138" spans="1:5">
      <c r="A138" s="131"/>
      <c r="B138" s="174"/>
      <c r="C138" s="174"/>
      <c r="D138" s="131"/>
      <c r="E138" s="174"/>
    </row>
    <row r="139" spans="1:5">
      <c r="A139" s="131"/>
      <c r="B139" s="174"/>
      <c r="C139" s="174"/>
      <c r="D139" s="131"/>
      <c r="E139" s="174"/>
    </row>
    <row r="140" spans="1:5">
      <c r="A140" s="131"/>
      <c r="B140" s="174"/>
      <c r="C140" s="174"/>
      <c r="D140" s="131"/>
      <c r="E140" s="174"/>
    </row>
    <row r="141" spans="1:5">
      <c r="A141" s="131"/>
      <c r="B141" s="174"/>
      <c r="C141" s="174"/>
      <c r="D141" s="131"/>
      <c r="E141" s="174"/>
    </row>
    <row r="142" spans="1:5">
      <c r="A142" s="131"/>
      <c r="B142" s="174"/>
      <c r="C142" s="174"/>
      <c r="D142" s="131"/>
      <c r="E142" s="174"/>
    </row>
    <row r="143" spans="1:5">
      <c r="A143" s="131"/>
      <c r="B143" s="174"/>
      <c r="C143" s="174"/>
      <c r="D143" s="131"/>
      <c r="E143" s="174"/>
    </row>
    <row r="144" spans="1:5">
      <c r="A144" s="131"/>
      <c r="B144" s="174"/>
      <c r="C144" s="174"/>
      <c r="D144" s="131"/>
      <c r="E144" s="174"/>
    </row>
    <row r="145" spans="1:5">
      <c r="A145" s="131"/>
      <c r="B145" s="174"/>
      <c r="C145" s="174"/>
      <c r="D145" s="131"/>
      <c r="E145" s="174"/>
    </row>
    <row r="146" spans="1:5">
      <c r="A146" s="131"/>
      <c r="B146" s="174"/>
      <c r="C146" s="174"/>
      <c r="D146" s="131"/>
      <c r="E146" s="174"/>
    </row>
    <row r="147" spans="1:5">
      <c r="A147" s="131"/>
      <c r="B147" s="174"/>
      <c r="C147" s="174"/>
      <c r="D147" s="131"/>
      <c r="E147" s="174"/>
    </row>
    <row r="148" spans="1:5">
      <c r="A148" s="131"/>
      <c r="B148" s="174"/>
      <c r="C148" s="174"/>
      <c r="D148" s="131"/>
      <c r="E148" s="174"/>
    </row>
    <row r="149" spans="1:5">
      <c r="A149" s="131"/>
      <c r="B149" s="174"/>
      <c r="C149" s="174"/>
      <c r="D149" s="131"/>
      <c r="E149" s="174"/>
    </row>
    <row r="150" spans="1:5">
      <c r="A150" s="131"/>
      <c r="B150" s="174"/>
      <c r="C150" s="174"/>
      <c r="D150" s="131"/>
      <c r="E150" s="174"/>
    </row>
    <row r="151" spans="1:5">
      <c r="A151" s="131"/>
      <c r="B151" s="174"/>
      <c r="C151" s="174"/>
      <c r="D151" s="131"/>
      <c r="E151" s="174"/>
    </row>
    <row r="152" spans="1:5">
      <c r="A152" s="131"/>
      <c r="B152" s="174"/>
      <c r="C152" s="174"/>
      <c r="D152" s="131"/>
      <c r="E152" s="174"/>
    </row>
    <row r="153" spans="1:5">
      <c r="A153" s="131"/>
      <c r="B153" s="174"/>
      <c r="C153" s="174"/>
      <c r="D153" s="131"/>
      <c r="E153" s="174"/>
    </row>
    <row r="154" spans="1:5">
      <c r="A154" s="131"/>
      <c r="B154" s="174"/>
      <c r="C154" s="174"/>
      <c r="D154" s="131"/>
      <c r="E154" s="174"/>
    </row>
    <row r="155" spans="1:5">
      <c r="A155" s="131"/>
      <c r="B155" s="174"/>
      <c r="C155" s="174"/>
      <c r="D155" s="131"/>
      <c r="E155" s="174"/>
    </row>
    <row r="156" spans="1:5">
      <c r="A156" s="131"/>
      <c r="B156" s="174"/>
      <c r="C156" s="174"/>
      <c r="D156" s="131"/>
      <c r="E156" s="174"/>
    </row>
    <row r="157" spans="1:5">
      <c r="A157" s="131"/>
      <c r="B157" s="174"/>
      <c r="C157" s="174"/>
      <c r="D157" s="131"/>
      <c r="E157" s="174"/>
    </row>
    <row r="158" spans="1:5">
      <c r="A158" s="131"/>
      <c r="B158" s="174"/>
      <c r="C158" s="174"/>
      <c r="D158" s="131"/>
      <c r="E158" s="174"/>
    </row>
    <row r="159" spans="1:5">
      <c r="A159" s="131"/>
      <c r="B159" s="174"/>
      <c r="C159" s="174"/>
      <c r="D159" s="131"/>
      <c r="E159" s="174"/>
    </row>
    <row r="160" spans="1:5">
      <c r="A160" s="131"/>
      <c r="B160" s="174"/>
      <c r="C160" s="174"/>
      <c r="D160" s="131"/>
      <c r="E160" s="174"/>
    </row>
    <row r="161" spans="1:5">
      <c r="A161" s="131"/>
      <c r="B161" s="174"/>
      <c r="C161" s="174"/>
      <c r="D161" s="131"/>
      <c r="E161" s="174"/>
    </row>
    <row r="162" spans="1:5">
      <c r="A162" s="131"/>
      <c r="B162" s="174"/>
      <c r="C162" s="174"/>
      <c r="D162" s="131"/>
      <c r="E162" s="174"/>
    </row>
    <row r="163" spans="1:5">
      <c r="A163" s="131"/>
      <c r="B163" s="174"/>
      <c r="C163" s="174"/>
      <c r="D163" s="131"/>
      <c r="E163" s="174"/>
    </row>
    <row r="164" spans="1:5">
      <c r="A164" s="131"/>
      <c r="B164" s="174"/>
      <c r="C164" s="174"/>
      <c r="D164" s="131"/>
      <c r="E164" s="174"/>
    </row>
    <row r="165" spans="1:5">
      <c r="A165" s="131"/>
      <c r="B165" s="174"/>
      <c r="C165" s="174"/>
      <c r="D165" s="131"/>
      <c r="E165" s="174"/>
    </row>
    <row r="166" spans="1:5">
      <c r="A166" s="131"/>
      <c r="B166" s="174"/>
      <c r="C166" s="174"/>
      <c r="D166" s="131"/>
      <c r="E166" s="174"/>
    </row>
    <row r="167" spans="1:5">
      <c r="A167" s="131"/>
      <c r="B167" s="174"/>
      <c r="C167" s="174"/>
      <c r="D167" s="131"/>
      <c r="E167" s="174"/>
    </row>
    <row r="168" spans="1:5">
      <c r="A168" s="131"/>
      <c r="B168" s="174"/>
      <c r="C168" s="174"/>
      <c r="D168" s="131"/>
      <c r="E168" s="174"/>
    </row>
    <row r="169" spans="1:5">
      <c r="A169" s="131"/>
      <c r="B169" s="174"/>
      <c r="C169" s="174"/>
      <c r="D169" s="131"/>
      <c r="E169" s="174"/>
    </row>
    <row r="170" spans="1:5">
      <c r="A170" s="131"/>
      <c r="B170" s="174"/>
      <c r="C170" s="174"/>
      <c r="D170" s="131"/>
      <c r="E170" s="174"/>
    </row>
    <row r="171" spans="1:5">
      <c r="A171" s="131"/>
      <c r="B171" s="174"/>
      <c r="C171" s="174"/>
      <c r="D171" s="131"/>
      <c r="E171" s="174"/>
    </row>
    <row r="172" spans="1:5">
      <c r="A172" s="131"/>
      <c r="B172" s="174"/>
      <c r="C172" s="174"/>
      <c r="D172" s="131"/>
      <c r="E172" s="174"/>
    </row>
    <row r="173" spans="1:5">
      <c r="A173" s="131"/>
      <c r="B173" s="174"/>
      <c r="C173" s="174"/>
      <c r="D173" s="131"/>
      <c r="E173" s="174"/>
    </row>
    <row r="174" spans="1:5">
      <c r="A174" s="131"/>
      <c r="B174" s="174"/>
      <c r="C174" s="174"/>
      <c r="D174" s="131"/>
      <c r="E174" s="174"/>
    </row>
    <row r="175" spans="1:5">
      <c r="A175" s="131"/>
      <c r="B175" s="174"/>
      <c r="C175" s="174"/>
      <c r="D175" s="131"/>
      <c r="E175" s="174"/>
    </row>
    <row r="176" spans="1:5">
      <c r="A176" s="131"/>
      <c r="B176" s="174"/>
      <c r="C176" s="174"/>
      <c r="D176" s="131"/>
      <c r="E176" s="174"/>
    </row>
    <row r="177" spans="1:5">
      <c r="A177" s="131"/>
      <c r="B177" s="174"/>
      <c r="C177" s="174"/>
      <c r="D177" s="131"/>
      <c r="E177" s="174"/>
    </row>
    <row r="178" spans="1:5">
      <c r="A178" s="131"/>
      <c r="B178" s="174"/>
      <c r="C178" s="174"/>
      <c r="D178" s="131"/>
      <c r="E178" s="174"/>
    </row>
    <row r="179" spans="1:5">
      <c r="A179" s="131"/>
      <c r="B179" s="174"/>
      <c r="C179" s="174"/>
      <c r="D179" s="131"/>
      <c r="E179" s="174"/>
    </row>
    <row r="180" spans="1:5">
      <c r="A180" s="131"/>
      <c r="B180" s="174"/>
      <c r="C180" s="174"/>
      <c r="D180" s="131"/>
      <c r="E180" s="174"/>
    </row>
    <row r="181" spans="1:5">
      <c r="A181" s="131"/>
      <c r="B181" s="174"/>
      <c r="C181" s="174"/>
      <c r="D181" s="131"/>
      <c r="E181" s="174"/>
    </row>
    <row r="182" spans="1:5">
      <c r="A182" s="131"/>
      <c r="B182" s="174"/>
      <c r="C182" s="174"/>
      <c r="D182" s="131"/>
      <c r="E182" s="174"/>
    </row>
    <row r="183" spans="1:5">
      <c r="A183" s="131"/>
      <c r="B183" s="174"/>
      <c r="C183" s="174"/>
      <c r="D183" s="131"/>
      <c r="E183" s="174"/>
    </row>
    <row r="184" spans="1:5">
      <c r="A184" s="131"/>
      <c r="B184" s="174"/>
      <c r="C184" s="174"/>
      <c r="D184" s="131"/>
      <c r="E184" s="174"/>
    </row>
    <row r="185" spans="1:5">
      <c r="A185" s="131"/>
      <c r="B185" s="174"/>
      <c r="C185" s="174"/>
      <c r="D185" s="131"/>
      <c r="E185" s="174"/>
    </row>
    <row r="186" spans="1:5">
      <c r="A186" s="131"/>
      <c r="B186" s="174"/>
      <c r="C186" s="174"/>
      <c r="D186" s="131"/>
      <c r="E186" s="174"/>
    </row>
    <row r="187" spans="1:5">
      <c r="A187" s="131"/>
      <c r="B187" s="174"/>
      <c r="C187" s="174"/>
      <c r="D187" s="131"/>
      <c r="E187" s="174"/>
    </row>
    <row r="188" spans="1:5">
      <c r="A188" s="131"/>
      <c r="B188" s="174"/>
      <c r="C188" s="174"/>
      <c r="D188" s="131"/>
      <c r="E188" s="174"/>
    </row>
    <row r="189" spans="1:5">
      <c r="A189" s="131"/>
      <c r="B189" s="174"/>
      <c r="C189" s="174"/>
      <c r="D189" s="131"/>
      <c r="E189" s="174"/>
    </row>
    <row r="190" spans="1:5">
      <c r="A190" s="131"/>
      <c r="B190" s="174"/>
      <c r="C190" s="174"/>
      <c r="D190" s="131"/>
      <c r="E190" s="174"/>
    </row>
    <row r="191" spans="1:5">
      <c r="A191" s="131"/>
      <c r="B191" s="174"/>
      <c r="C191" s="174"/>
      <c r="D191" s="131"/>
      <c r="E191" s="174"/>
    </row>
    <row r="192" spans="1:5">
      <c r="A192" s="131"/>
      <c r="B192" s="174"/>
      <c r="C192" s="174"/>
      <c r="D192" s="131"/>
      <c r="E192" s="174"/>
    </row>
    <row r="193" spans="1:5">
      <c r="A193" s="131"/>
      <c r="B193" s="174"/>
      <c r="C193" s="174"/>
      <c r="D193" s="131"/>
      <c r="E193" s="174"/>
    </row>
    <row r="194" spans="1:5">
      <c r="A194" s="131"/>
      <c r="B194" s="174"/>
      <c r="C194" s="174"/>
      <c r="D194" s="131"/>
      <c r="E194" s="174"/>
    </row>
    <row r="195" spans="1:5">
      <c r="A195" s="131"/>
      <c r="B195" s="174"/>
      <c r="C195" s="174"/>
      <c r="D195" s="131"/>
      <c r="E195" s="174"/>
    </row>
    <row r="196" spans="1:5">
      <c r="A196" s="131"/>
      <c r="B196" s="174"/>
      <c r="C196" s="174"/>
      <c r="D196" s="131"/>
      <c r="E196" s="174"/>
    </row>
    <row r="197" spans="1:5">
      <c r="A197" s="131"/>
      <c r="B197" s="174"/>
      <c r="C197" s="174"/>
      <c r="D197" s="131"/>
      <c r="E197" s="174"/>
    </row>
    <row r="198" spans="1:5">
      <c r="A198" s="131"/>
      <c r="B198" s="174"/>
      <c r="C198" s="174"/>
      <c r="D198" s="131"/>
      <c r="E198" s="174"/>
    </row>
    <row r="199" spans="1:5">
      <c r="A199" s="131"/>
      <c r="B199" s="174"/>
      <c r="C199" s="174"/>
      <c r="D199" s="131"/>
      <c r="E199" s="174"/>
    </row>
    <row r="200" spans="1:5">
      <c r="A200" s="131"/>
      <c r="B200" s="174"/>
      <c r="C200" s="174"/>
      <c r="D200" s="131"/>
      <c r="E200" s="174"/>
    </row>
    <row r="201" spans="1:5">
      <c r="A201" s="131"/>
      <c r="B201" s="174"/>
      <c r="C201" s="174"/>
      <c r="D201" s="131"/>
      <c r="E201" s="174"/>
    </row>
    <row r="202" spans="1:5">
      <c r="A202" s="131"/>
      <c r="B202" s="174"/>
      <c r="C202" s="174"/>
      <c r="D202" s="131"/>
      <c r="E202" s="174"/>
    </row>
    <row r="203" spans="1:5">
      <c r="A203" s="131"/>
      <c r="B203" s="174"/>
      <c r="C203" s="174"/>
      <c r="D203" s="131"/>
      <c r="E203" s="174"/>
    </row>
    <row r="204" spans="1:5">
      <c r="A204" s="131"/>
      <c r="B204" s="174"/>
      <c r="C204" s="174"/>
      <c r="D204" s="131"/>
      <c r="E204" s="174"/>
    </row>
    <row r="205" spans="1:5">
      <c r="A205" s="131"/>
      <c r="B205" s="174"/>
      <c r="C205" s="174"/>
      <c r="D205" s="131"/>
      <c r="E205" s="174"/>
    </row>
    <row r="206" spans="1:5">
      <c r="A206" s="131"/>
      <c r="B206" s="174"/>
      <c r="C206" s="174"/>
      <c r="D206" s="131"/>
      <c r="E206" s="174"/>
    </row>
    <row r="207" spans="1:5">
      <c r="A207" s="131"/>
      <c r="B207" s="174"/>
      <c r="C207" s="174"/>
      <c r="D207" s="131"/>
      <c r="E207" s="174"/>
    </row>
    <row r="208" spans="1:5">
      <c r="A208" s="131"/>
      <c r="B208" s="174"/>
      <c r="C208" s="174"/>
      <c r="D208" s="131"/>
      <c r="E208" s="174"/>
    </row>
    <row r="209" spans="1:5">
      <c r="A209" s="131"/>
      <c r="B209" s="174"/>
      <c r="C209" s="174"/>
      <c r="D209" s="131"/>
      <c r="E209" s="174"/>
    </row>
    <row r="210" spans="1:5">
      <c r="A210" s="131"/>
      <c r="B210" s="174"/>
      <c r="C210" s="174"/>
      <c r="D210" s="131"/>
      <c r="E210" s="174"/>
    </row>
    <row r="211" spans="1:5">
      <c r="A211" s="131"/>
      <c r="B211" s="174"/>
      <c r="C211" s="174"/>
      <c r="D211" s="131"/>
      <c r="E211" s="174"/>
    </row>
    <row r="212" spans="1:5">
      <c r="A212" s="131"/>
      <c r="B212" s="174"/>
      <c r="C212" s="174"/>
      <c r="D212" s="131"/>
      <c r="E212" s="174"/>
    </row>
    <row r="213" spans="1:5">
      <c r="A213" s="131"/>
      <c r="B213" s="174"/>
      <c r="C213" s="174"/>
      <c r="D213" s="131"/>
      <c r="E213" s="174"/>
    </row>
    <row r="214" spans="1:5">
      <c r="A214" s="131"/>
      <c r="B214" s="174"/>
      <c r="C214" s="174"/>
      <c r="D214" s="131"/>
      <c r="E214" s="174"/>
    </row>
    <row r="215" spans="1:5">
      <c r="A215" s="131"/>
      <c r="B215" s="174"/>
      <c r="C215" s="174"/>
      <c r="D215" s="131"/>
      <c r="E215" s="174"/>
    </row>
    <row r="216" spans="1:5">
      <c r="A216" s="131"/>
      <c r="B216" s="174"/>
      <c r="C216" s="174"/>
      <c r="D216" s="131"/>
      <c r="E216" s="174"/>
    </row>
    <row r="217" spans="1:5">
      <c r="A217" s="131"/>
      <c r="B217" s="174"/>
      <c r="C217" s="174"/>
      <c r="D217" s="131"/>
      <c r="E217" s="174"/>
    </row>
    <row r="218" spans="1:5">
      <c r="A218" s="131"/>
      <c r="B218" s="174"/>
      <c r="C218" s="174"/>
      <c r="D218" s="131"/>
      <c r="E218" s="174"/>
    </row>
    <row r="219" spans="1:5">
      <c r="A219" s="131"/>
      <c r="B219" s="174"/>
      <c r="C219" s="174"/>
      <c r="D219" s="131"/>
      <c r="E219" s="174"/>
    </row>
    <row r="220" spans="1:5">
      <c r="A220" s="131"/>
      <c r="B220" s="174"/>
      <c r="C220" s="174"/>
      <c r="D220" s="131"/>
      <c r="E220" s="174"/>
    </row>
    <row r="221" spans="1:5">
      <c r="A221" s="131"/>
      <c r="B221" s="174"/>
      <c r="C221" s="174"/>
      <c r="D221" s="131"/>
      <c r="E221" s="174"/>
    </row>
    <row r="222" spans="1:5">
      <c r="A222" s="131"/>
      <c r="B222" s="174"/>
      <c r="C222" s="174"/>
      <c r="D222" s="131"/>
      <c r="E222" s="174"/>
    </row>
    <row r="223" spans="1:5">
      <c r="A223" s="131"/>
      <c r="B223" s="174"/>
      <c r="C223" s="174"/>
      <c r="D223" s="131"/>
      <c r="E223" s="174"/>
    </row>
    <row r="224" spans="1:5">
      <c r="A224" s="131"/>
      <c r="B224" s="174"/>
      <c r="C224" s="174"/>
      <c r="D224" s="131"/>
      <c r="E224" s="174"/>
    </row>
    <row r="225" spans="1:5">
      <c r="A225" s="131"/>
      <c r="B225" s="174"/>
      <c r="C225" s="174"/>
      <c r="D225" s="131"/>
      <c r="E225" s="174"/>
    </row>
    <row r="226" spans="1:5">
      <c r="A226" s="131"/>
      <c r="B226" s="174"/>
      <c r="C226" s="174"/>
      <c r="D226" s="131"/>
      <c r="E226" s="174"/>
    </row>
    <row r="227" spans="1:5">
      <c r="A227" s="131"/>
      <c r="B227" s="174"/>
      <c r="C227" s="174"/>
      <c r="D227" s="131"/>
      <c r="E227" s="174"/>
    </row>
    <row r="228" spans="1:5">
      <c r="A228" s="131"/>
      <c r="B228" s="174"/>
      <c r="C228" s="174"/>
      <c r="D228" s="131"/>
      <c r="E228" s="174"/>
    </row>
    <row r="229" spans="1:5">
      <c r="A229" s="131"/>
      <c r="B229" s="174"/>
      <c r="C229" s="174"/>
      <c r="D229" s="131"/>
      <c r="E229" s="174"/>
    </row>
    <row r="230" spans="1:5">
      <c r="A230" s="131"/>
      <c r="B230" s="174"/>
      <c r="C230" s="174"/>
      <c r="D230" s="131"/>
      <c r="E230" s="174"/>
    </row>
    <row r="231" spans="1:5">
      <c r="A231" s="131"/>
      <c r="B231" s="174"/>
      <c r="C231" s="174"/>
      <c r="D231" s="131"/>
      <c r="E231" s="174"/>
    </row>
    <row r="232" spans="1:5">
      <c r="A232" s="131"/>
      <c r="B232" s="174"/>
      <c r="C232" s="174"/>
      <c r="D232" s="131"/>
      <c r="E232" s="174"/>
    </row>
    <row r="233" spans="1:5">
      <c r="A233" s="131"/>
      <c r="B233" s="174"/>
      <c r="C233" s="174"/>
      <c r="D233" s="131"/>
      <c r="E233" s="174"/>
    </row>
    <row r="234" spans="1:5">
      <c r="A234" s="131"/>
      <c r="B234" s="174"/>
      <c r="C234" s="174"/>
      <c r="D234" s="131"/>
      <c r="E234" s="174"/>
    </row>
    <row r="235" spans="1:5">
      <c r="A235" s="131"/>
      <c r="B235" s="174"/>
      <c r="C235" s="174"/>
      <c r="D235" s="131"/>
      <c r="E235" s="174"/>
    </row>
    <row r="236" spans="1:5">
      <c r="A236" s="131"/>
      <c r="B236" s="174"/>
      <c r="C236" s="174"/>
      <c r="D236" s="131"/>
      <c r="E236" s="174"/>
    </row>
    <row r="237" spans="1:5">
      <c r="A237" s="131"/>
      <c r="B237" s="174"/>
      <c r="C237" s="174"/>
      <c r="D237" s="131"/>
      <c r="E237" s="174"/>
    </row>
    <row r="238" spans="1:5">
      <c r="A238" s="131"/>
      <c r="B238" s="174"/>
      <c r="C238" s="174"/>
      <c r="D238" s="131"/>
      <c r="E238" s="174"/>
    </row>
    <row r="239" spans="1:5">
      <c r="A239" s="131"/>
      <c r="B239" s="174"/>
      <c r="C239" s="174"/>
      <c r="D239" s="131"/>
      <c r="E239" s="174"/>
    </row>
    <row r="240" spans="1:5">
      <c r="A240" s="131"/>
      <c r="B240" s="174"/>
      <c r="C240" s="174"/>
      <c r="D240" s="131"/>
      <c r="E240" s="174"/>
    </row>
    <row r="241" spans="1:5">
      <c r="A241" s="131"/>
      <c r="B241" s="174"/>
      <c r="C241" s="174"/>
      <c r="D241" s="131"/>
      <c r="E241" s="174"/>
    </row>
    <row r="242" spans="1:5">
      <c r="A242" s="131"/>
      <c r="B242" s="174"/>
      <c r="C242" s="174"/>
      <c r="D242" s="131"/>
      <c r="E242" s="174"/>
    </row>
    <row r="243" spans="1:5">
      <c r="A243" s="131"/>
      <c r="B243" s="174"/>
      <c r="C243" s="174"/>
      <c r="D243" s="131"/>
      <c r="E243" s="174"/>
    </row>
    <row r="244" spans="1:5">
      <c r="A244" s="131"/>
      <c r="B244" s="174"/>
      <c r="C244" s="174"/>
      <c r="D244" s="131"/>
      <c r="E244" s="174"/>
    </row>
    <row r="245" spans="1:5">
      <c r="A245" s="131"/>
      <c r="B245" s="174"/>
      <c r="C245" s="174"/>
      <c r="D245" s="131"/>
      <c r="E245" s="174"/>
    </row>
    <row r="246" spans="1:5">
      <c r="A246" s="131"/>
      <c r="B246" s="174"/>
      <c r="C246" s="174"/>
      <c r="D246" s="131"/>
      <c r="E246" s="174"/>
    </row>
    <row r="247" spans="1:5">
      <c r="A247" s="131"/>
      <c r="B247" s="174"/>
      <c r="C247" s="174"/>
      <c r="D247" s="131"/>
      <c r="E247" s="174"/>
    </row>
    <row r="248" spans="1:5">
      <c r="A248" s="131"/>
      <c r="B248" s="174"/>
      <c r="C248" s="174"/>
      <c r="D248" s="131"/>
      <c r="E248" s="174"/>
    </row>
    <row r="249" spans="1:5">
      <c r="A249" s="131"/>
      <c r="B249" s="174"/>
      <c r="C249" s="174"/>
      <c r="D249" s="131"/>
      <c r="E249" s="174"/>
    </row>
    <row r="250" spans="1:5">
      <c r="A250" s="131"/>
      <c r="B250" s="174"/>
      <c r="C250" s="174"/>
      <c r="D250" s="131"/>
      <c r="E250" s="174"/>
    </row>
    <row r="251" spans="1:5">
      <c r="A251" s="131"/>
      <c r="B251" s="174"/>
      <c r="C251" s="174"/>
      <c r="D251" s="131"/>
      <c r="E251" s="174"/>
    </row>
    <row r="252" spans="1:5">
      <c r="A252" s="131"/>
      <c r="B252" s="174"/>
      <c r="C252" s="174"/>
      <c r="D252" s="131"/>
      <c r="E252" s="174"/>
    </row>
    <row r="253" spans="1:5">
      <c r="A253" s="131"/>
      <c r="B253" s="174"/>
      <c r="C253" s="174"/>
      <c r="D253" s="131"/>
      <c r="E253" s="174"/>
    </row>
    <row r="254" spans="1:5">
      <c r="A254" s="131"/>
      <c r="B254" s="174"/>
      <c r="C254" s="174"/>
      <c r="D254" s="131"/>
      <c r="E254" s="174"/>
    </row>
    <row r="255" spans="1:5">
      <c r="A255" s="131"/>
      <c r="B255" s="174"/>
      <c r="C255" s="174"/>
      <c r="D255" s="131"/>
      <c r="E255" s="174"/>
    </row>
    <row r="256" spans="1:5">
      <c r="A256" s="131"/>
      <c r="B256" s="174"/>
      <c r="C256" s="174"/>
      <c r="D256" s="131"/>
      <c r="E256" s="174"/>
    </row>
    <row r="257" spans="1:5">
      <c r="A257" s="131"/>
      <c r="B257" s="174"/>
      <c r="C257" s="174"/>
      <c r="D257" s="131"/>
      <c r="E257" s="174"/>
    </row>
    <row r="258" spans="1:5">
      <c r="A258" s="131"/>
      <c r="B258" s="174"/>
      <c r="C258" s="174"/>
      <c r="D258" s="131"/>
      <c r="E258" s="174"/>
    </row>
    <row r="259" spans="1:5">
      <c r="A259" s="131"/>
      <c r="B259" s="174"/>
      <c r="C259" s="174"/>
      <c r="D259" s="131"/>
      <c r="E259" s="174"/>
    </row>
    <row r="260" spans="1:5">
      <c r="A260" s="131"/>
      <c r="B260" s="174"/>
      <c r="C260" s="174"/>
      <c r="D260" s="131"/>
      <c r="E260" s="174"/>
    </row>
    <row r="261" spans="1:5">
      <c r="A261" s="131"/>
      <c r="B261" s="174"/>
      <c r="C261" s="174"/>
      <c r="D261" s="131"/>
      <c r="E261" s="174"/>
    </row>
    <row r="262" spans="1:5">
      <c r="A262" s="131"/>
      <c r="B262" s="174"/>
      <c r="C262" s="174"/>
      <c r="D262" s="131"/>
      <c r="E262" s="174"/>
    </row>
    <row r="263" spans="1:5">
      <c r="A263" s="131"/>
      <c r="B263" s="174"/>
      <c r="C263" s="174"/>
      <c r="D263" s="131"/>
      <c r="E263" s="174"/>
    </row>
    <row r="264" spans="1:5">
      <c r="A264" s="131"/>
      <c r="B264" s="174"/>
      <c r="C264" s="174"/>
      <c r="D264" s="131"/>
      <c r="E264" s="174"/>
    </row>
    <row r="265" spans="1:5">
      <c r="A265" s="131"/>
      <c r="B265" s="174"/>
      <c r="C265" s="174"/>
      <c r="D265" s="131"/>
      <c r="E265" s="174"/>
    </row>
    <row r="266" spans="1:5">
      <c r="A266" s="131"/>
      <c r="B266" s="174"/>
      <c r="C266" s="174"/>
      <c r="D266" s="131"/>
      <c r="E266" s="174"/>
    </row>
    <row r="267" spans="1:5">
      <c r="A267" s="131"/>
      <c r="B267" s="174"/>
      <c r="C267" s="174"/>
      <c r="D267" s="131"/>
      <c r="E267" s="174"/>
    </row>
    <row r="268" spans="1:5">
      <c r="A268" s="131"/>
      <c r="B268" s="174"/>
      <c r="C268" s="174"/>
      <c r="D268" s="131"/>
      <c r="E268" s="174"/>
    </row>
    <row r="269" spans="1:5">
      <c r="A269" s="131"/>
      <c r="B269" s="174"/>
      <c r="C269" s="174"/>
      <c r="D269" s="131"/>
      <c r="E269" s="174"/>
    </row>
    <row r="270" spans="1:5">
      <c r="A270" s="131"/>
      <c r="B270" s="174"/>
      <c r="C270" s="174"/>
      <c r="D270" s="131"/>
      <c r="E270" s="174"/>
    </row>
    <row r="271" spans="1:5">
      <c r="A271" s="131"/>
      <c r="B271" s="174"/>
      <c r="C271" s="174"/>
      <c r="D271" s="131"/>
      <c r="E271" s="174"/>
    </row>
    <row r="272" spans="1:5">
      <c r="A272" s="131"/>
      <c r="B272" s="174"/>
      <c r="C272" s="174"/>
      <c r="D272" s="131"/>
      <c r="E272" s="174"/>
    </row>
    <row r="273" spans="1:5">
      <c r="A273" s="131"/>
      <c r="B273" s="174"/>
      <c r="C273" s="174"/>
      <c r="D273" s="131"/>
      <c r="E273" s="174"/>
    </row>
    <row r="274" spans="1:5">
      <c r="A274" s="131"/>
      <c r="B274" s="174"/>
      <c r="C274" s="174"/>
      <c r="D274" s="131"/>
      <c r="E274" s="174"/>
    </row>
    <row r="275" spans="1:5">
      <c r="A275" s="131"/>
      <c r="B275" s="174"/>
      <c r="C275" s="174"/>
      <c r="D275" s="131"/>
      <c r="E275" s="174"/>
    </row>
    <row r="276" spans="1:5">
      <c r="A276" s="131"/>
      <c r="B276" s="174"/>
      <c r="C276" s="174"/>
      <c r="D276" s="131"/>
      <c r="E276" s="174"/>
    </row>
    <row r="277" spans="1:5">
      <c r="A277" s="131"/>
      <c r="B277" s="174"/>
      <c r="C277" s="174"/>
      <c r="D277" s="131"/>
      <c r="E277" s="174"/>
    </row>
    <row r="278" spans="1:5">
      <c r="A278" s="131"/>
      <c r="B278" s="174"/>
      <c r="C278" s="174"/>
      <c r="D278" s="131"/>
      <c r="E278" s="174"/>
    </row>
    <row r="279" spans="1:5">
      <c r="A279" s="131"/>
      <c r="B279" s="174"/>
      <c r="C279" s="174"/>
      <c r="D279" s="131"/>
      <c r="E279" s="174"/>
    </row>
    <row r="280" spans="1:5">
      <c r="A280" s="131"/>
      <c r="B280" s="174"/>
      <c r="C280" s="174"/>
      <c r="D280" s="131"/>
      <c r="E280" s="174"/>
    </row>
    <row r="281" spans="1:5">
      <c r="A281" s="131"/>
      <c r="B281" s="174"/>
      <c r="C281" s="174"/>
      <c r="D281" s="131"/>
      <c r="E281" s="174"/>
    </row>
    <row r="282" spans="1:5">
      <c r="A282" s="131"/>
      <c r="B282" s="174"/>
      <c r="C282" s="174"/>
      <c r="D282" s="131"/>
      <c r="E282" s="174"/>
    </row>
    <row r="283" spans="1:5">
      <c r="A283" s="131"/>
      <c r="B283" s="174"/>
      <c r="C283" s="174"/>
      <c r="D283" s="131"/>
      <c r="E283" s="174"/>
    </row>
    <row r="284" spans="1:5">
      <c r="A284" s="131"/>
      <c r="B284" s="174"/>
      <c r="C284" s="174"/>
      <c r="D284" s="131"/>
      <c r="E284" s="174"/>
    </row>
    <row r="285" spans="1:5">
      <c r="A285" s="131"/>
      <c r="B285" s="174"/>
      <c r="C285" s="174"/>
      <c r="D285" s="131"/>
      <c r="E285" s="174"/>
    </row>
    <row r="286" spans="1:5">
      <c r="A286" s="131"/>
      <c r="B286" s="174"/>
      <c r="C286" s="174"/>
      <c r="D286" s="131"/>
      <c r="E286" s="174"/>
    </row>
    <row r="287" spans="1:5">
      <c r="A287" s="131"/>
      <c r="B287" s="174"/>
      <c r="C287" s="174"/>
      <c r="D287" s="131"/>
      <c r="E287" s="174"/>
    </row>
    <row r="288" spans="1:5">
      <c r="A288" s="131"/>
      <c r="B288" s="174"/>
      <c r="C288" s="174"/>
      <c r="D288" s="131"/>
      <c r="E288" s="174"/>
    </row>
    <row r="289" spans="1:5">
      <c r="A289" s="131"/>
      <c r="B289" s="174"/>
      <c r="C289" s="174"/>
      <c r="D289" s="131"/>
      <c r="E289" s="174"/>
    </row>
    <row r="290" spans="1:5">
      <c r="A290" s="131"/>
      <c r="B290" s="174"/>
      <c r="C290" s="174"/>
      <c r="D290" s="131"/>
      <c r="E290" s="174"/>
    </row>
    <row r="291" spans="1:5">
      <c r="A291" s="131"/>
      <c r="B291" s="174"/>
      <c r="C291" s="174"/>
      <c r="D291" s="131"/>
      <c r="E291" s="174"/>
    </row>
    <row r="292" spans="1:5">
      <c r="A292" s="131"/>
      <c r="B292" s="174"/>
      <c r="C292" s="174"/>
      <c r="D292" s="131"/>
      <c r="E292" s="174"/>
    </row>
    <row r="293" spans="1:5">
      <c r="A293" s="131"/>
      <c r="B293" s="174"/>
      <c r="C293" s="174"/>
      <c r="D293" s="131"/>
      <c r="E293" s="174"/>
    </row>
    <row r="294" spans="1:5">
      <c r="A294" s="131"/>
      <c r="B294" s="174"/>
      <c r="C294" s="174"/>
      <c r="D294" s="131"/>
      <c r="E294" s="174"/>
    </row>
    <row r="295" spans="1:5">
      <c r="A295" s="131"/>
      <c r="B295" s="174"/>
      <c r="C295" s="174"/>
      <c r="D295" s="131"/>
      <c r="E295" s="174"/>
    </row>
    <row r="296" spans="1:5">
      <c r="A296" s="131"/>
      <c r="B296" s="174"/>
      <c r="C296" s="174"/>
      <c r="D296" s="131"/>
      <c r="E296" s="174"/>
    </row>
    <row r="297" spans="1:5">
      <c r="A297" s="131"/>
      <c r="B297" s="174"/>
      <c r="C297" s="174"/>
      <c r="D297" s="131"/>
      <c r="E297" s="174"/>
    </row>
    <row r="298" spans="1:5">
      <c r="A298" s="131"/>
      <c r="B298" s="174"/>
      <c r="C298" s="174"/>
      <c r="D298" s="131"/>
      <c r="E298" s="174"/>
    </row>
    <row r="299" spans="1:5">
      <c r="A299" s="131"/>
      <c r="B299" s="174"/>
      <c r="C299" s="174"/>
      <c r="D299" s="131"/>
      <c r="E299" s="174"/>
    </row>
    <row r="300" spans="1:5">
      <c r="A300" s="131"/>
      <c r="B300" s="174"/>
      <c r="C300" s="174"/>
      <c r="D300" s="131"/>
      <c r="E300" s="174"/>
    </row>
    <row r="301" spans="1:5">
      <c r="A301" s="131"/>
      <c r="B301" s="174"/>
      <c r="C301" s="174"/>
      <c r="D301" s="131"/>
      <c r="E301" s="174"/>
    </row>
    <row r="302" spans="1:5">
      <c r="A302" s="131"/>
      <c r="B302" s="174"/>
      <c r="C302" s="174"/>
      <c r="D302" s="131"/>
      <c r="E302" s="174"/>
    </row>
    <row r="303" spans="1:5">
      <c r="A303" s="131"/>
      <c r="B303" s="174"/>
      <c r="C303" s="174"/>
      <c r="D303" s="131"/>
      <c r="E303" s="174"/>
    </row>
    <row r="304" spans="1:5">
      <c r="A304" s="131"/>
      <c r="B304" s="174"/>
      <c r="C304" s="174"/>
      <c r="D304" s="131"/>
      <c r="E304" s="174"/>
    </row>
    <row r="305" spans="1:5">
      <c r="A305" s="131"/>
      <c r="B305" s="174"/>
      <c r="C305" s="174"/>
      <c r="D305" s="131"/>
      <c r="E305" s="174"/>
    </row>
    <row r="306" spans="1:5">
      <c r="A306" s="131"/>
      <c r="B306" s="174"/>
      <c r="C306" s="174"/>
      <c r="D306" s="131"/>
      <c r="E306" s="174"/>
    </row>
    <row r="307" spans="1:5">
      <c r="A307" s="131"/>
      <c r="B307" s="174"/>
      <c r="C307" s="174"/>
      <c r="D307" s="131"/>
      <c r="E307" s="174"/>
    </row>
    <row r="308" spans="1:5">
      <c r="A308" s="131"/>
      <c r="B308" s="174"/>
      <c r="C308" s="174"/>
      <c r="D308" s="131"/>
      <c r="E308" s="174"/>
    </row>
    <row r="309" spans="1:5">
      <c r="A309" s="131"/>
      <c r="B309" s="174"/>
      <c r="C309" s="174"/>
      <c r="D309" s="131"/>
      <c r="E309" s="174"/>
    </row>
    <row r="310" spans="1:5">
      <c r="A310" s="131"/>
      <c r="B310" s="174"/>
      <c r="C310" s="174"/>
      <c r="D310" s="131"/>
      <c r="E310" s="174"/>
    </row>
    <row r="311" spans="1:5">
      <c r="A311" s="131"/>
      <c r="B311" s="174"/>
      <c r="C311" s="174"/>
      <c r="D311" s="131"/>
      <c r="E311" s="174"/>
    </row>
    <row r="312" spans="1:5">
      <c r="A312" s="131"/>
      <c r="B312" s="174"/>
      <c r="C312" s="174"/>
      <c r="D312" s="131"/>
      <c r="E312" s="174"/>
    </row>
    <row r="313" spans="1:5">
      <c r="A313" s="131"/>
      <c r="B313" s="174"/>
      <c r="C313" s="174"/>
      <c r="D313" s="131"/>
      <c r="E313" s="174"/>
    </row>
    <row r="314" spans="1:5">
      <c r="A314" s="131"/>
      <c r="B314" s="174"/>
      <c r="C314" s="174"/>
      <c r="D314" s="131"/>
      <c r="E314" s="174"/>
    </row>
    <row r="315" spans="1:5">
      <c r="A315" s="131"/>
      <c r="B315" s="174"/>
      <c r="C315" s="174"/>
      <c r="D315" s="131"/>
      <c r="E315" s="174"/>
    </row>
    <row r="316" spans="1:5">
      <c r="A316" s="131"/>
      <c r="B316" s="174"/>
      <c r="C316" s="174"/>
      <c r="D316" s="131"/>
      <c r="E316" s="174"/>
    </row>
    <row r="317" spans="1:5">
      <c r="A317" s="131"/>
      <c r="B317" s="174"/>
      <c r="C317" s="174"/>
      <c r="D317" s="131"/>
      <c r="E317" s="174"/>
    </row>
    <row r="318" spans="1:5">
      <c r="A318" s="131"/>
      <c r="B318" s="174"/>
      <c r="C318" s="174"/>
      <c r="D318" s="131"/>
      <c r="E318" s="174"/>
    </row>
    <row r="319" spans="1:5">
      <c r="A319" s="131"/>
      <c r="B319" s="174"/>
      <c r="C319" s="174"/>
      <c r="D319" s="131"/>
      <c r="E319" s="174"/>
    </row>
    <row r="320" spans="1:5">
      <c r="A320" s="131"/>
      <c r="B320" s="174"/>
      <c r="C320" s="174"/>
      <c r="D320" s="131"/>
      <c r="E320" s="174"/>
    </row>
    <row r="321" spans="1:5">
      <c r="A321" s="131"/>
      <c r="B321" s="174"/>
      <c r="C321" s="174"/>
      <c r="D321" s="131"/>
      <c r="E321" s="174"/>
    </row>
    <row r="322" spans="1:5">
      <c r="A322" s="131"/>
      <c r="B322" s="174"/>
      <c r="C322" s="174"/>
      <c r="D322" s="131"/>
      <c r="E322" s="174"/>
    </row>
    <row r="323" spans="1:5">
      <c r="A323" s="131"/>
      <c r="B323" s="174"/>
      <c r="C323" s="174"/>
      <c r="D323" s="131"/>
      <c r="E323" s="174"/>
    </row>
    <row r="324" spans="1:5">
      <c r="A324" s="131"/>
      <c r="B324" s="174"/>
      <c r="C324" s="174"/>
      <c r="D324" s="131"/>
      <c r="E324" s="174"/>
    </row>
    <row r="325" spans="1:5">
      <c r="A325" s="131"/>
      <c r="B325" s="174"/>
      <c r="C325" s="174"/>
      <c r="D325" s="131"/>
      <c r="E325" s="174"/>
    </row>
    <row r="326" spans="1:5">
      <c r="A326" s="131"/>
      <c r="B326" s="174"/>
      <c r="C326" s="174"/>
      <c r="D326" s="131"/>
      <c r="E326" s="174"/>
    </row>
    <row r="327" spans="1:5">
      <c r="A327" s="131"/>
      <c r="B327" s="174"/>
      <c r="C327" s="174"/>
      <c r="D327" s="131"/>
      <c r="E327" s="174"/>
    </row>
    <row r="328" spans="1:5">
      <c r="A328" s="131"/>
      <c r="B328" s="174"/>
      <c r="C328" s="174"/>
      <c r="D328" s="131"/>
      <c r="E328" s="174"/>
    </row>
    <row r="329" spans="1:5">
      <c r="A329" s="131"/>
      <c r="B329" s="174"/>
      <c r="C329" s="174"/>
      <c r="D329" s="131"/>
      <c r="E329" s="174"/>
    </row>
    <row r="330" spans="1:5">
      <c r="A330" s="131"/>
      <c r="B330" s="174"/>
      <c r="C330" s="174"/>
      <c r="D330" s="131"/>
      <c r="E330" s="174"/>
    </row>
    <row r="331" spans="1:5">
      <c r="A331" s="131"/>
      <c r="B331" s="174"/>
      <c r="C331" s="174"/>
      <c r="D331" s="131"/>
      <c r="E331" s="174"/>
    </row>
    <row r="332" spans="1:5">
      <c r="A332" s="131"/>
      <c r="B332" s="174"/>
      <c r="C332" s="174"/>
      <c r="D332" s="131"/>
      <c r="E332" s="174"/>
    </row>
    <row r="333" spans="1:5">
      <c r="A333" s="131"/>
      <c r="B333" s="174"/>
      <c r="C333" s="174"/>
      <c r="D333" s="131"/>
      <c r="E333" s="174"/>
    </row>
    <row r="334" spans="1:5">
      <c r="A334" s="131"/>
      <c r="B334" s="174"/>
      <c r="C334" s="174"/>
      <c r="D334" s="131"/>
      <c r="E334" s="174"/>
    </row>
    <row r="335" spans="1:5">
      <c r="A335" s="131"/>
      <c r="B335" s="174"/>
      <c r="C335" s="174"/>
      <c r="D335" s="131"/>
      <c r="E335" s="174"/>
    </row>
    <row r="336" spans="1:5">
      <c r="A336" s="131"/>
      <c r="B336" s="174"/>
      <c r="C336" s="174"/>
      <c r="D336" s="131"/>
      <c r="E336" s="174"/>
    </row>
    <row r="337" spans="1:5">
      <c r="A337" s="131"/>
      <c r="B337" s="174"/>
      <c r="C337" s="174"/>
      <c r="D337" s="131"/>
      <c r="E337" s="174"/>
    </row>
    <row r="338" spans="1:5">
      <c r="A338" s="131"/>
      <c r="B338" s="174"/>
      <c r="C338" s="174"/>
      <c r="D338" s="131"/>
      <c r="E338" s="174"/>
    </row>
    <row r="339" spans="1:5">
      <c r="A339" s="131"/>
      <c r="B339" s="174"/>
      <c r="C339" s="174"/>
      <c r="D339" s="131"/>
      <c r="E339" s="174"/>
    </row>
    <row r="340" spans="1:5">
      <c r="A340" s="131"/>
      <c r="B340" s="174"/>
      <c r="C340" s="174"/>
      <c r="D340" s="131"/>
      <c r="E340" s="174"/>
    </row>
    <row r="341" spans="1:5">
      <c r="A341" s="131"/>
      <c r="B341" s="174"/>
      <c r="C341" s="174"/>
      <c r="D341" s="131"/>
      <c r="E341" s="174"/>
    </row>
    <row r="342" spans="1:5">
      <c r="A342" s="131"/>
      <c r="B342" s="174"/>
      <c r="C342" s="174"/>
      <c r="D342" s="131"/>
      <c r="E342" s="174"/>
    </row>
    <row r="343" spans="1:5">
      <c r="A343" s="131"/>
      <c r="B343" s="174"/>
      <c r="C343" s="174"/>
      <c r="D343" s="131"/>
      <c r="E343" s="174"/>
    </row>
    <row r="344" spans="1:5">
      <c r="A344" s="131"/>
      <c r="B344" s="174"/>
      <c r="C344" s="174"/>
      <c r="D344" s="131"/>
      <c r="E344" s="174"/>
    </row>
    <row r="345" spans="1:5">
      <c r="A345" s="131"/>
      <c r="B345" s="174"/>
      <c r="C345" s="174"/>
      <c r="D345" s="131"/>
      <c r="E345" s="174"/>
    </row>
    <row r="346" spans="1:5">
      <c r="A346" s="131"/>
      <c r="B346" s="174"/>
      <c r="C346" s="174"/>
      <c r="D346" s="131"/>
      <c r="E346" s="174"/>
    </row>
    <row r="347" spans="1:5">
      <c r="A347" s="131"/>
      <c r="B347" s="174"/>
      <c r="C347" s="174"/>
      <c r="D347" s="131"/>
      <c r="E347" s="174"/>
    </row>
    <row r="348" spans="1:5">
      <c r="A348" s="131"/>
      <c r="B348" s="174"/>
      <c r="C348" s="174"/>
      <c r="D348" s="131"/>
      <c r="E348" s="174"/>
    </row>
    <row r="349" spans="1:5">
      <c r="A349" s="131"/>
      <c r="B349" s="174"/>
      <c r="C349" s="174"/>
      <c r="D349" s="131"/>
      <c r="E349" s="174"/>
    </row>
    <row r="350" spans="1:5">
      <c r="A350" s="131"/>
      <c r="B350" s="174"/>
      <c r="C350" s="174"/>
      <c r="D350" s="131"/>
      <c r="E350" s="174"/>
    </row>
    <row r="351" spans="1:5">
      <c r="A351" s="131"/>
      <c r="B351" s="174"/>
      <c r="C351" s="174"/>
      <c r="D351" s="131"/>
      <c r="E351" s="174"/>
    </row>
    <row r="352" spans="1:5">
      <c r="A352" s="131"/>
      <c r="B352" s="174"/>
      <c r="C352" s="174"/>
      <c r="D352" s="131"/>
      <c r="E352" s="174"/>
    </row>
    <row r="353" spans="1:5">
      <c r="A353" s="131"/>
      <c r="B353" s="174"/>
      <c r="C353" s="174"/>
      <c r="D353" s="131"/>
      <c r="E353" s="174"/>
    </row>
    <row r="354" spans="1:5">
      <c r="A354" s="131"/>
      <c r="B354" s="174"/>
      <c r="C354" s="174"/>
      <c r="D354" s="131"/>
      <c r="E354" s="174"/>
    </row>
    <row r="355" spans="1:5">
      <c r="A355" s="131"/>
      <c r="B355" s="174"/>
      <c r="C355" s="174"/>
      <c r="D355" s="131"/>
      <c r="E355" s="174"/>
    </row>
    <row r="356" spans="1:5">
      <c r="A356" s="131"/>
      <c r="B356" s="174"/>
      <c r="C356" s="174"/>
      <c r="D356" s="131"/>
      <c r="E356" s="174"/>
    </row>
    <row r="357" spans="1:5">
      <c r="A357" s="131"/>
      <c r="B357" s="174"/>
      <c r="C357" s="174"/>
      <c r="D357" s="131"/>
      <c r="E357" s="174"/>
    </row>
    <row r="358" spans="1:5">
      <c r="A358" s="131"/>
      <c r="B358" s="174"/>
      <c r="C358" s="174"/>
      <c r="D358" s="131"/>
      <c r="E358" s="174"/>
    </row>
    <row r="359" spans="1:5">
      <c r="A359" s="131"/>
      <c r="B359" s="174"/>
      <c r="C359" s="174"/>
      <c r="D359" s="131"/>
      <c r="E359" s="174"/>
    </row>
    <row r="360" spans="1:5">
      <c r="A360" s="131"/>
      <c r="B360" s="174"/>
      <c r="C360" s="174"/>
      <c r="D360" s="131"/>
      <c r="E360" s="174"/>
    </row>
    <row r="361" spans="1:5">
      <c r="A361" s="132"/>
      <c r="B361" s="174"/>
      <c r="C361" s="174"/>
      <c r="D361" s="131"/>
      <c r="E361" s="174"/>
    </row>
    <row r="362" spans="1:5">
      <c r="A362" s="132"/>
      <c r="B362" s="174"/>
      <c r="C362" s="174"/>
      <c r="D362" s="131"/>
      <c r="E362" s="174"/>
    </row>
    <row r="363" spans="1:5">
      <c r="A363" s="132"/>
      <c r="B363" s="174"/>
      <c r="C363" s="174"/>
      <c r="D363" s="131"/>
      <c r="E363" s="174"/>
    </row>
    <row r="364" spans="1:5">
      <c r="A364" s="132"/>
      <c r="B364" s="174"/>
      <c r="C364" s="174"/>
      <c r="D364" s="131"/>
      <c r="E364" s="174"/>
    </row>
    <row r="365" spans="1:5">
      <c r="A365" s="132"/>
      <c r="B365" s="174"/>
      <c r="C365" s="174"/>
      <c r="D365" s="131"/>
      <c r="E365" s="174"/>
    </row>
    <row r="366" spans="1:5">
      <c r="A366" s="132"/>
      <c r="B366" s="174"/>
      <c r="C366" s="174"/>
      <c r="D366" s="131"/>
      <c r="E366" s="174"/>
    </row>
    <row r="367" spans="1:5">
      <c r="A367" s="132"/>
      <c r="B367" s="174"/>
      <c r="C367" s="174"/>
      <c r="D367" s="131"/>
      <c r="E367" s="174"/>
    </row>
    <row r="368" spans="1:5">
      <c r="A368" s="132"/>
      <c r="B368" s="174"/>
      <c r="C368" s="174"/>
      <c r="D368" s="131"/>
      <c r="E368" s="174"/>
    </row>
    <row r="369" spans="1:5">
      <c r="A369" s="132"/>
      <c r="B369" s="174"/>
      <c r="C369" s="174"/>
      <c r="D369" s="131"/>
      <c r="E369" s="174"/>
    </row>
    <row r="370" spans="1:5">
      <c r="A370" s="132"/>
      <c r="B370" s="174"/>
      <c r="C370" s="174"/>
      <c r="D370" s="131"/>
      <c r="E370" s="174"/>
    </row>
    <row r="371" spans="1:5">
      <c r="A371" s="132"/>
      <c r="B371" s="174"/>
      <c r="C371" s="174"/>
      <c r="D371" s="131"/>
      <c r="E371" s="174"/>
    </row>
    <row r="372" spans="1:5">
      <c r="A372" s="132"/>
      <c r="B372" s="174"/>
      <c r="C372" s="174"/>
      <c r="D372" s="131"/>
      <c r="E372" s="174"/>
    </row>
    <row r="373" spans="1:5">
      <c r="A373" s="132"/>
      <c r="B373" s="174"/>
      <c r="C373" s="174"/>
      <c r="D373" s="131"/>
      <c r="E373" s="174"/>
    </row>
    <row r="374" spans="1:5">
      <c r="A374" s="132"/>
      <c r="B374" s="174"/>
      <c r="C374" s="174"/>
      <c r="D374" s="131"/>
      <c r="E374" s="174"/>
    </row>
    <row r="375" spans="1:5">
      <c r="A375" s="132"/>
      <c r="B375" s="174"/>
      <c r="C375" s="174"/>
      <c r="D375" s="131"/>
      <c r="E375" s="174"/>
    </row>
    <row r="376" spans="1:5">
      <c r="A376" s="132"/>
      <c r="B376" s="174"/>
      <c r="C376" s="174"/>
      <c r="D376" s="131"/>
      <c r="E376" s="174"/>
    </row>
    <row r="377" spans="1:5">
      <c r="A377" s="132"/>
      <c r="B377" s="174"/>
      <c r="C377" s="174"/>
      <c r="D377" s="131"/>
      <c r="E377" s="174"/>
    </row>
    <row r="378" spans="1:5">
      <c r="A378" s="132"/>
      <c r="B378" s="174"/>
      <c r="C378" s="174"/>
      <c r="D378" s="131"/>
      <c r="E378" s="174"/>
    </row>
    <row r="379" spans="1:5">
      <c r="A379" s="132"/>
      <c r="B379" s="174"/>
      <c r="C379" s="174"/>
      <c r="D379" s="131"/>
      <c r="E379" s="174"/>
    </row>
    <row r="380" spans="1:5">
      <c r="A380" s="132"/>
      <c r="B380" s="174"/>
      <c r="C380" s="174"/>
      <c r="D380" s="131"/>
      <c r="E380" s="174"/>
    </row>
    <row r="381" spans="1:5">
      <c r="A381" s="132"/>
      <c r="B381" s="174"/>
      <c r="C381" s="174"/>
      <c r="D381" s="131"/>
      <c r="E381" s="174"/>
    </row>
    <row r="382" spans="1:5">
      <c r="A382" s="132"/>
      <c r="B382" s="174"/>
      <c r="C382" s="174"/>
      <c r="D382" s="131"/>
      <c r="E382" s="174"/>
    </row>
    <row r="383" spans="1:5">
      <c r="A383" s="132"/>
      <c r="B383" s="174"/>
      <c r="C383" s="174"/>
      <c r="D383" s="131"/>
      <c r="E383" s="174"/>
    </row>
    <row r="384" spans="1:5">
      <c r="A384" s="132"/>
      <c r="B384" s="174"/>
      <c r="C384" s="174"/>
      <c r="D384" s="131"/>
      <c r="E384" s="174"/>
    </row>
    <row r="385" spans="1:5">
      <c r="A385" s="132"/>
      <c r="B385" s="174"/>
      <c r="C385" s="174"/>
      <c r="D385" s="131"/>
      <c r="E385" s="174"/>
    </row>
    <row r="386" spans="1:5">
      <c r="A386" s="132"/>
      <c r="B386" s="174"/>
      <c r="C386" s="174"/>
      <c r="D386" s="131"/>
      <c r="E386" s="174"/>
    </row>
    <row r="387" spans="1:5">
      <c r="A387" s="132"/>
      <c r="B387" s="174"/>
      <c r="C387" s="174"/>
      <c r="D387" s="131"/>
      <c r="E387" s="174"/>
    </row>
    <row r="388" spans="1:5">
      <c r="A388" s="132"/>
      <c r="B388" s="174"/>
      <c r="C388" s="174"/>
      <c r="D388" s="131"/>
      <c r="E388" s="174"/>
    </row>
    <row r="389" spans="1:5">
      <c r="A389" s="132"/>
      <c r="B389" s="174"/>
      <c r="C389" s="174"/>
      <c r="D389" s="131"/>
      <c r="E389" s="174"/>
    </row>
    <row r="390" spans="1:5">
      <c r="A390" s="132"/>
      <c r="B390" s="174"/>
      <c r="C390" s="174"/>
      <c r="D390" s="131"/>
      <c r="E390" s="174"/>
    </row>
    <row r="391" spans="1:5">
      <c r="A391" s="132"/>
      <c r="B391" s="174"/>
      <c r="C391" s="174"/>
      <c r="D391" s="131"/>
      <c r="E391" s="174"/>
    </row>
    <row r="392" spans="1:5">
      <c r="A392" s="132"/>
      <c r="B392" s="174"/>
      <c r="C392" s="174"/>
      <c r="D392" s="131"/>
      <c r="E392" s="174"/>
    </row>
    <row r="393" spans="1:5">
      <c r="A393" s="132"/>
      <c r="B393" s="174"/>
      <c r="C393" s="174"/>
      <c r="D393" s="131"/>
      <c r="E393" s="174"/>
    </row>
    <row r="394" spans="1:5">
      <c r="A394" s="132"/>
      <c r="B394" s="174"/>
      <c r="C394" s="174"/>
      <c r="D394" s="131"/>
      <c r="E394" s="174"/>
    </row>
    <row r="395" spans="1:5">
      <c r="A395" s="132"/>
      <c r="B395" s="174"/>
      <c r="C395" s="174"/>
      <c r="D395" s="131"/>
      <c r="E395" s="174"/>
    </row>
    <row r="396" spans="1:5">
      <c r="A396" s="132"/>
      <c r="B396" s="174"/>
      <c r="C396" s="174"/>
      <c r="D396" s="131"/>
      <c r="E396" s="174"/>
    </row>
    <row r="397" spans="1:5">
      <c r="A397" s="132"/>
      <c r="B397" s="174"/>
      <c r="C397" s="174"/>
      <c r="D397" s="131"/>
      <c r="E397" s="174"/>
    </row>
    <row r="398" spans="1:5">
      <c r="A398" s="132"/>
      <c r="B398" s="174"/>
      <c r="C398" s="174"/>
      <c r="D398" s="131"/>
      <c r="E398" s="174"/>
    </row>
    <row r="399" spans="1:5">
      <c r="A399" s="132"/>
      <c r="B399" s="174"/>
      <c r="C399" s="174"/>
      <c r="D399" s="131"/>
      <c r="E399" s="174"/>
    </row>
    <row r="400" spans="1:5">
      <c r="A400" s="132"/>
      <c r="B400" s="174"/>
      <c r="C400" s="174"/>
      <c r="D400" s="131"/>
      <c r="E400" s="174"/>
    </row>
    <row r="401" spans="1:5">
      <c r="A401" s="132"/>
      <c r="B401" s="174"/>
      <c r="C401" s="174"/>
      <c r="D401" s="131"/>
      <c r="E401" s="174"/>
    </row>
    <row r="402" spans="1:5">
      <c r="A402" s="132"/>
      <c r="B402" s="174"/>
      <c r="C402" s="174"/>
      <c r="D402" s="131"/>
      <c r="E402" s="174"/>
    </row>
    <row r="403" spans="1:5">
      <c r="A403" s="132"/>
      <c r="B403" s="174"/>
      <c r="C403" s="174"/>
      <c r="D403" s="131"/>
      <c r="E403" s="174"/>
    </row>
    <row r="404" spans="1:5">
      <c r="A404" s="132"/>
      <c r="B404" s="174"/>
      <c r="C404" s="174"/>
      <c r="D404" s="131"/>
      <c r="E404" s="174"/>
    </row>
    <row r="405" spans="1:5">
      <c r="A405" s="132"/>
      <c r="B405" s="174"/>
      <c r="C405" s="174"/>
      <c r="D405" s="131"/>
      <c r="E405" s="174"/>
    </row>
    <row r="406" spans="1:5">
      <c r="A406" s="132"/>
      <c r="B406" s="174"/>
      <c r="C406" s="174"/>
      <c r="D406" s="131"/>
      <c r="E406" s="174"/>
    </row>
    <row r="407" spans="1:5">
      <c r="A407" s="132"/>
      <c r="B407" s="174"/>
      <c r="C407" s="174"/>
      <c r="D407" s="131"/>
      <c r="E407" s="174"/>
    </row>
    <row r="408" spans="1:5">
      <c r="A408" s="132"/>
      <c r="B408" s="174"/>
      <c r="C408" s="174"/>
      <c r="D408" s="131"/>
      <c r="E408" s="174"/>
    </row>
    <row r="409" spans="1:5">
      <c r="A409" s="132"/>
      <c r="B409" s="174"/>
      <c r="C409" s="174"/>
      <c r="D409" s="131"/>
      <c r="E409" s="174"/>
    </row>
    <row r="410" spans="1:5">
      <c r="A410" s="132"/>
      <c r="B410" s="174"/>
      <c r="C410" s="174"/>
      <c r="D410" s="131"/>
      <c r="E410" s="174"/>
    </row>
    <row r="411" spans="1:5">
      <c r="A411" s="132"/>
      <c r="B411" s="174"/>
      <c r="C411" s="174"/>
      <c r="D411" s="131"/>
      <c r="E411" s="174"/>
    </row>
    <row r="412" spans="1:5">
      <c r="A412" s="132"/>
      <c r="B412" s="174"/>
      <c r="C412" s="174"/>
      <c r="D412" s="131"/>
      <c r="E412" s="174"/>
    </row>
    <row r="413" spans="1:5">
      <c r="A413" s="132"/>
      <c r="B413" s="174"/>
      <c r="C413" s="174"/>
      <c r="D413" s="131"/>
      <c r="E413" s="174"/>
    </row>
    <row r="414" spans="1:5">
      <c r="A414" s="132"/>
      <c r="B414" s="174"/>
      <c r="C414" s="174"/>
      <c r="D414" s="131"/>
      <c r="E414" s="174"/>
    </row>
    <row r="415" spans="1:5">
      <c r="A415" s="132"/>
      <c r="B415" s="174"/>
      <c r="C415" s="174"/>
      <c r="D415" s="131"/>
      <c r="E415" s="174"/>
    </row>
    <row r="416" spans="1:5">
      <c r="A416" s="132"/>
      <c r="B416" s="174"/>
      <c r="C416" s="174"/>
      <c r="D416" s="131"/>
      <c r="E416" s="174"/>
    </row>
    <row r="417" spans="1:5">
      <c r="A417" s="132"/>
      <c r="B417" s="174"/>
      <c r="C417" s="174"/>
      <c r="D417" s="131"/>
      <c r="E417" s="174"/>
    </row>
    <row r="418" spans="1:5">
      <c r="A418" s="132"/>
      <c r="B418" s="174"/>
      <c r="C418" s="174"/>
      <c r="D418" s="131"/>
      <c r="E418" s="174"/>
    </row>
    <row r="419" spans="1:5">
      <c r="A419" s="132"/>
      <c r="B419" s="174"/>
      <c r="C419" s="174"/>
      <c r="D419" s="131"/>
      <c r="E419" s="174"/>
    </row>
    <row r="420" spans="1:5">
      <c r="A420" s="132"/>
      <c r="B420" s="174"/>
      <c r="C420" s="174"/>
      <c r="D420" s="131"/>
      <c r="E420" s="174"/>
    </row>
    <row r="421" spans="1:5">
      <c r="A421" s="132"/>
      <c r="B421" s="174"/>
      <c r="C421" s="174"/>
      <c r="D421" s="131"/>
      <c r="E421" s="174"/>
    </row>
    <row r="422" spans="1:5">
      <c r="A422" s="132"/>
      <c r="B422" s="174"/>
      <c r="C422" s="174"/>
      <c r="D422" s="131"/>
      <c r="E422" s="174"/>
    </row>
    <row r="423" spans="1:5">
      <c r="A423" s="132"/>
      <c r="B423" s="174"/>
      <c r="C423" s="174"/>
      <c r="D423" s="131"/>
      <c r="E423" s="174"/>
    </row>
    <row r="424" spans="1:5">
      <c r="A424" s="132"/>
      <c r="B424" s="174"/>
      <c r="C424" s="174"/>
      <c r="D424" s="131"/>
      <c r="E424" s="174"/>
    </row>
    <row r="425" spans="1:5">
      <c r="A425" s="132"/>
      <c r="B425" s="174"/>
      <c r="C425" s="174"/>
      <c r="D425" s="131"/>
      <c r="E425" s="174"/>
    </row>
    <row r="426" spans="1:5">
      <c r="A426" s="132"/>
      <c r="B426" s="174"/>
      <c r="C426" s="174"/>
      <c r="D426" s="131"/>
      <c r="E426" s="174"/>
    </row>
    <row r="427" spans="1:5">
      <c r="A427" s="132"/>
      <c r="B427" s="174"/>
      <c r="C427" s="174"/>
      <c r="D427" s="131"/>
      <c r="E427" s="174"/>
    </row>
    <row r="428" spans="1:5">
      <c r="A428" s="132"/>
      <c r="B428" s="174"/>
      <c r="C428" s="174"/>
      <c r="D428" s="131"/>
      <c r="E428" s="174"/>
    </row>
    <row r="429" spans="1:5">
      <c r="A429" s="132"/>
      <c r="B429" s="174"/>
      <c r="C429" s="174"/>
      <c r="D429" s="131"/>
      <c r="E429" s="174"/>
    </row>
    <row r="430" spans="1:5">
      <c r="A430" s="132"/>
      <c r="B430" s="174"/>
      <c r="C430" s="174"/>
      <c r="D430" s="131"/>
      <c r="E430" s="174"/>
    </row>
    <row r="431" spans="1:5">
      <c r="A431" s="132"/>
      <c r="B431" s="174"/>
      <c r="C431" s="174"/>
      <c r="D431" s="131"/>
      <c r="E431" s="174"/>
    </row>
    <row r="432" spans="1:5">
      <c r="A432" s="132"/>
      <c r="B432" s="174"/>
      <c r="C432" s="174"/>
      <c r="D432" s="131"/>
      <c r="E432" s="174"/>
    </row>
    <row r="433" spans="1:5">
      <c r="A433" s="132"/>
      <c r="B433" s="174"/>
      <c r="C433" s="174"/>
      <c r="D433" s="131"/>
      <c r="E433" s="174"/>
    </row>
    <row r="434" spans="1:5">
      <c r="A434" s="132"/>
      <c r="B434" s="174"/>
      <c r="C434" s="174"/>
      <c r="D434" s="131"/>
      <c r="E434" s="174"/>
    </row>
    <row r="435" spans="1:5">
      <c r="A435" s="132"/>
      <c r="B435" s="174"/>
      <c r="C435" s="174"/>
      <c r="D435" s="131"/>
      <c r="E435" s="174"/>
    </row>
    <row r="436" spans="1:5">
      <c r="A436" s="132"/>
      <c r="B436" s="174"/>
      <c r="C436" s="174"/>
      <c r="D436" s="131"/>
      <c r="E436" s="174"/>
    </row>
    <row r="437" spans="1:5">
      <c r="A437" s="132"/>
      <c r="B437" s="174"/>
      <c r="C437" s="174"/>
      <c r="D437" s="131"/>
      <c r="E437" s="174"/>
    </row>
    <row r="438" spans="1:5">
      <c r="A438" s="132"/>
      <c r="B438" s="174"/>
      <c r="C438" s="174"/>
      <c r="D438" s="131"/>
      <c r="E438" s="174"/>
    </row>
    <row r="439" spans="1:5">
      <c r="A439" s="132"/>
      <c r="B439" s="174"/>
      <c r="C439" s="174"/>
      <c r="D439" s="131"/>
      <c r="E439" s="174"/>
    </row>
    <row r="440" spans="1:5">
      <c r="A440" s="132"/>
      <c r="B440" s="174"/>
      <c r="C440" s="174"/>
      <c r="D440" s="131"/>
      <c r="E440" s="174"/>
    </row>
    <row r="441" spans="1:5">
      <c r="A441" s="132"/>
      <c r="B441" s="174"/>
      <c r="C441" s="174"/>
      <c r="D441" s="131"/>
      <c r="E441" s="174"/>
    </row>
    <row r="442" spans="1:5">
      <c r="A442" s="132"/>
      <c r="B442" s="174"/>
      <c r="C442" s="174"/>
      <c r="D442" s="131"/>
      <c r="E442" s="174"/>
    </row>
    <row r="443" spans="1:5">
      <c r="A443" s="132"/>
      <c r="B443" s="174"/>
      <c r="C443" s="174"/>
      <c r="D443" s="131"/>
      <c r="E443" s="174"/>
    </row>
    <row r="444" spans="1:5">
      <c r="A444" s="132"/>
      <c r="B444" s="174"/>
      <c r="C444" s="174"/>
      <c r="D444" s="131"/>
      <c r="E444" s="174"/>
    </row>
    <row r="445" spans="1:5">
      <c r="A445" s="132"/>
      <c r="B445" s="174"/>
      <c r="C445" s="174"/>
      <c r="D445" s="131"/>
      <c r="E445" s="174"/>
    </row>
    <row r="446" spans="1:5">
      <c r="A446" s="132"/>
      <c r="B446" s="174"/>
      <c r="C446" s="174"/>
      <c r="D446" s="131"/>
      <c r="E446" s="174"/>
    </row>
    <row r="447" spans="1:5">
      <c r="A447" s="132"/>
      <c r="B447" s="174"/>
      <c r="C447" s="174"/>
      <c r="D447" s="131"/>
      <c r="E447" s="174"/>
    </row>
    <row r="448" spans="1:5">
      <c r="A448" s="132"/>
      <c r="B448" s="174"/>
      <c r="C448" s="174"/>
      <c r="D448" s="131"/>
      <c r="E448" s="174"/>
    </row>
    <row r="449" spans="1:5">
      <c r="A449" s="132"/>
      <c r="B449" s="174"/>
      <c r="C449" s="174"/>
      <c r="D449" s="131"/>
      <c r="E449" s="174"/>
    </row>
    <row r="450" spans="1:5">
      <c r="A450" s="132"/>
      <c r="B450" s="174"/>
      <c r="C450" s="174"/>
      <c r="D450" s="131"/>
      <c r="E450" s="174"/>
    </row>
    <row r="451" spans="1:5">
      <c r="A451" s="132"/>
      <c r="B451" s="174"/>
      <c r="C451" s="174"/>
      <c r="D451" s="131"/>
      <c r="E451" s="174"/>
    </row>
    <row r="452" spans="1:5">
      <c r="A452" s="132"/>
      <c r="B452" s="174"/>
      <c r="C452" s="174"/>
      <c r="D452" s="131"/>
      <c r="E452" s="174"/>
    </row>
    <row r="453" spans="1:5">
      <c r="A453" s="132"/>
      <c r="B453" s="174"/>
      <c r="C453" s="174"/>
      <c r="D453" s="131"/>
      <c r="E453" s="174"/>
    </row>
    <row r="454" spans="1:5">
      <c r="A454" s="132"/>
      <c r="B454" s="174"/>
      <c r="C454" s="174"/>
      <c r="D454" s="131"/>
      <c r="E454" s="174"/>
    </row>
    <row r="455" spans="1:5">
      <c r="A455" s="132"/>
      <c r="B455" s="174"/>
      <c r="C455" s="174"/>
      <c r="D455" s="131"/>
      <c r="E455" s="174"/>
    </row>
    <row r="456" spans="1:5">
      <c r="A456" s="132"/>
      <c r="B456" s="174"/>
      <c r="C456" s="174"/>
      <c r="D456" s="131"/>
      <c r="E456" s="174"/>
    </row>
    <row r="457" spans="1:5">
      <c r="A457" s="132"/>
      <c r="B457" s="174"/>
      <c r="C457" s="174"/>
      <c r="D457" s="131"/>
      <c r="E457" s="174"/>
    </row>
    <row r="458" spans="1:5">
      <c r="A458" s="132"/>
      <c r="B458" s="174"/>
      <c r="C458" s="174"/>
      <c r="D458" s="131"/>
      <c r="E458" s="174"/>
    </row>
    <row r="459" spans="1:5">
      <c r="A459" s="132"/>
      <c r="B459" s="174"/>
      <c r="C459" s="174"/>
      <c r="D459" s="131"/>
      <c r="E459" s="174"/>
    </row>
    <row r="460" spans="1:5">
      <c r="A460" s="132"/>
      <c r="B460" s="174"/>
      <c r="C460" s="174"/>
      <c r="D460" s="131"/>
      <c r="E460" s="174"/>
    </row>
    <row r="461" spans="1:5">
      <c r="A461" s="132"/>
      <c r="B461" s="174"/>
      <c r="C461" s="174"/>
      <c r="D461" s="131"/>
      <c r="E461" s="174"/>
    </row>
    <row r="462" spans="1:5">
      <c r="A462" s="132"/>
      <c r="B462" s="174"/>
      <c r="C462" s="174"/>
      <c r="D462" s="131"/>
      <c r="E462" s="174"/>
    </row>
    <row r="463" spans="1:5">
      <c r="A463" s="132"/>
      <c r="B463" s="174"/>
      <c r="C463" s="174"/>
      <c r="D463" s="131"/>
      <c r="E463" s="174"/>
    </row>
    <row r="464" spans="1:5">
      <c r="A464" s="132"/>
      <c r="B464" s="174"/>
      <c r="C464" s="174"/>
      <c r="D464" s="131"/>
      <c r="E464" s="174"/>
    </row>
    <row r="465" spans="1:5">
      <c r="A465" s="132"/>
      <c r="B465" s="174"/>
      <c r="C465" s="174"/>
      <c r="D465" s="131"/>
      <c r="E465" s="174"/>
    </row>
    <row r="466" spans="1:5">
      <c r="A466" s="132"/>
      <c r="B466" s="174"/>
      <c r="C466" s="174"/>
      <c r="D466" s="131"/>
      <c r="E466" s="174"/>
    </row>
    <row r="467" spans="1:5">
      <c r="A467" s="132"/>
      <c r="B467" s="174"/>
      <c r="C467" s="174"/>
      <c r="D467" s="131"/>
      <c r="E467" s="174"/>
    </row>
    <row r="468" spans="1:5">
      <c r="A468" s="132"/>
      <c r="B468" s="174"/>
      <c r="C468" s="174"/>
      <c r="D468" s="131"/>
      <c r="E468" s="174"/>
    </row>
    <row r="469" spans="1:5">
      <c r="A469" s="132"/>
      <c r="B469" s="174"/>
      <c r="C469" s="174"/>
      <c r="D469" s="131"/>
      <c r="E469" s="174"/>
    </row>
    <row r="470" spans="1:5">
      <c r="A470" s="132"/>
      <c r="B470" s="174"/>
      <c r="C470" s="174"/>
      <c r="D470" s="131"/>
      <c r="E470" s="174"/>
    </row>
    <row r="471" spans="1:5">
      <c r="A471" s="132"/>
      <c r="B471" s="174"/>
      <c r="C471" s="174"/>
      <c r="D471" s="131"/>
      <c r="E471" s="174"/>
    </row>
    <row r="472" spans="1:5">
      <c r="A472" s="132"/>
      <c r="B472" s="174"/>
      <c r="C472" s="174"/>
      <c r="D472" s="131"/>
      <c r="E472" s="174"/>
    </row>
    <row r="473" spans="1:5">
      <c r="A473" s="132"/>
      <c r="B473" s="174"/>
      <c r="C473" s="174"/>
      <c r="D473" s="131"/>
      <c r="E473" s="174"/>
    </row>
    <row r="474" spans="1:5">
      <c r="A474" s="132"/>
      <c r="B474" s="174"/>
      <c r="C474" s="174"/>
      <c r="D474" s="131"/>
      <c r="E474" s="174"/>
    </row>
    <row r="475" spans="1:5">
      <c r="A475" s="132"/>
      <c r="B475" s="174"/>
      <c r="C475" s="174"/>
      <c r="D475" s="131"/>
      <c r="E475" s="174"/>
    </row>
    <row r="476" spans="1:5">
      <c r="A476" s="132"/>
      <c r="B476" s="174"/>
      <c r="C476" s="174"/>
      <c r="D476" s="131"/>
      <c r="E476" s="174"/>
    </row>
    <row r="477" spans="1:5">
      <c r="A477" s="132"/>
      <c r="B477" s="174"/>
      <c r="C477" s="174"/>
      <c r="D477" s="131"/>
      <c r="E477" s="174"/>
    </row>
    <row r="478" spans="1:5">
      <c r="A478" s="132"/>
      <c r="B478" s="174"/>
      <c r="C478" s="174"/>
      <c r="D478" s="131"/>
      <c r="E478" s="174"/>
    </row>
    <row r="479" spans="1:5">
      <c r="A479" s="132"/>
      <c r="B479" s="174"/>
      <c r="C479" s="174"/>
      <c r="D479" s="131"/>
      <c r="E479" s="174"/>
    </row>
    <row r="480" spans="1:5">
      <c r="A480" s="132"/>
      <c r="B480" s="174"/>
      <c r="C480" s="174"/>
      <c r="D480" s="131"/>
      <c r="E480" s="174"/>
    </row>
    <row r="481" spans="1:5">
      <c r="A481" s="132"/>
      <c r="B481" s="174"/>
      <c r="C481" s="174"/>
      <c r="D481" s="131"/>
      <c r="E481" s="174"/>
    </row>
    <row r="482" spans="1:5">
      <c r="A482" s="132"/>
      <c r="B482" s="174"/>
      <c r="C482" s="174"/>
      <c r="D482" s="131"/>
      <c r="E482" s="174"/>
    </row>
    <row r="483" spans="1:5">
      <c r="A483" s="132"/>
      <c r="B483" s="174"/>
      <c r="C483" s="174"/>
      <c r="D483" s="131"/>
      <c r="E483" s="174"/>
    </row>
    <row r="484" spans="1:5">
      <c r="A484" s="132"/>
      <c r="B484" s="174"/>
      <c r="C484" s="174"/>
      <c r="D484" s="131"/>
      <c r="E484" s="174"/>
    </row>
    <row r="485" spans="1:5">
      <c r="A485" s="132"/>
      <c r="B485" s="174"/>
      <c r="C485" s="174"/>
      <c r="D485" s="131"/>
      <c r="E485" s="174"/>
    </row>
    <row r="486" spans="1:5">
      <c r="A486" s="132"/>
      <c r="B486" s="174"/>
      <c r="C486" s="174"/>
      <c r="D486" s="131"/>
      <c r="E486" s="174"/>
    </row>
    <row r="487" spans="1:5">
      <c r="A487" s="132"/>
      <c r="B487" s="174"/>
      <c r="C487" s="174"/>
      <c r="D487" s="131"/>
      <c r="E487" s="174"/>
    </row>
    <row r="488" spans="1:5">
      <c r="A488" s="132"/>
      <c r="B488" s="174"/>
      <c r="C488" s="174"/>
      <c r="D488" s="131"/>
      <c r="E488" s="174"/>
    </row>
    <row r="489" spans="1:5">
      <c r="A489" s="132"/>
      <c r="B489" s="174"/>
      <c r="C489" s="174"/>
      <c r="D489" s="131"/>
      <c r="E489" s="174"/>
    </row>
    <row r="490" spans="1:5">
      <c r="A490" s="132"/>
      <c r="B490" s="174"/>
      <c r="C490" s="174"/>
      <c r="D490" s="131"/>
      <c r="E490" s="174"/>
    </row>
    <row r="491" spans="1:5">
      <c r="A491" s="132"/>
      <c r="B491" s="174"/>
      <c r="C491" s="174"/>
      <c r="D491" s="131"/>
      <c r="E491" s="174"/>
    </row>
    <row r="492" spans="1:5">
      <c r="A492" s="132"/>
      <c r="B492" s="174"/>
      <c r="C492" s="174"/>
      <c r="D492" s="131"/>
      <c r="E492" s="174"/>
    </row>
    <row r="493" spans="1:5">
      <c r="A493" s="132"/>
      <c r="B493" s="174"/>
      <c r="C493" s="174"/>
      <c r="D493" s="131"/>
      <c r="E493" s="174"/>
    </row>
    <row r="494" spans="1:5">
      <c r="A494" s="132"/>
      <c r="B494" s="174"/>
      <c r="C494" s="174"/>
      <c r="D494" s="131"/>
      <c r="E494" s="174"/>
    </row>
    <row r="495" spans="1:5">
      <c r="A495" s="132"/>
      <c r="B495" s="174"/>
      <c r="C495" s="174"/>
      <c r="D495" s="131"/>
      <c r="E495" s="174"/>
    </row>
    <row r="496" spans="1:5">
      <c r="A496" s="132"/>
      <c r="B496" s="174"/>
      <c r="C496" s="174"/>
      <c r="D496" s="131"/>
      <c r="E496" s="174"/>
    </row>
    <row r="497" spans="1:5">
      <c r="A497" s="132"/>
      <c r="B497" s="174"/>
      <c r="C497" s="174"/>
      <c r="D497" s="131"/>
      <c r="E497" s="174"/>
    </row>
    <row r="498" spans="1:5">
      <c r="A498" s="132"/>
      <c r="B498" s="174"/>
      <c r="C498" s="174"/>
      <c r="D498" s="131"/>
      <c r="E498" s="174"/>
    </row>
    <row r="499" spans="1:5">
      <c r="A499" s="132"/>
      <c r="B499" s="174"/>
      <c r="C499" s="174"/>
      <c r="D499" s="131"/>
      <c r="E499" s="174"/>
    </row>
    <row r="500" spans="1:5">
      <c r="A500" s="132"/>
      <c r="B500" s="174"/>
      <c r="C500" s="174"/>
      <c r="D500" s="131"/>
      <c r="E500" s="174"/>
    </row>
    <row r="501" spans="1:5">
      <c r="A501" s="132"/>
      <c r="B501" s="174"/>
      <c r="C501" s="174"/>
      <c r="D501" s="131"/>
      <c r="E501" s="174"/>
    </row>
    <row r="502" spans="1:5">
      <c r="A502" s="132"/>
      <c r="B502" s="174"/>
      <c r="C502" s="174"/>
      <c r="D502" s="131"/>
      <c r="E502" s="174"/>
    </row>
    <row r="503" spans="1:5">
      <c r="A503" s="132"/>
      <c r="B503" s="174"/>
      <c r="C503" s="174"/>
      <c r="D503" s="131"/>
      <c r="E503" s="174"/>
    </row>
    <row r="504" spans="1:5">
      <c r="A504" s="132"/>
      <c r="B504" s="174"/>
      <c r="C504" s="174"/>
      <c r="D504" s="131"/>
      <c r="E504" s="174"/>
    </row>
    <row r="505" spans="1:5">
      <c r="A505" s="132"/>
      <c r="B505" s="174"/>
      <c r="C505" s="174"/>
      <c r="D505" s="131"/>
      <c r="E505" s="174"/>
    </row>
    <row r="506" spans="1:5">
      <c r="A506" s="132"/>
      <c r="B506" s="174"/>
      <c r="C506" s="174"/>
      <c r="D506" s="131"/>
      <c r="E506" s="174"/>
    </row>
    <row r="507" spans="1:5">
      <c r="A507" s="132"/>
      <c r="B507" s="174"/>
      <c r="C507" s="174"/>
      <c r="D507" s="131"/>
      <c r="E507" s="174"/>
    </row>
    <row r="508" spans="1:5">
      <c r="A508" s="132"/>
      <c r="B508" s="174"/>
      <c r="C508" s="174"/>
      <c r="D508" s="131"/>
      <c r="E508" s="174"/>
    </row>
    <row r="509" spans="1:5">
      <c r="A509" s="132"/>
      <c r="B509" s="174"/>
      <c r="C509" s="174"/>
      <c r="D509" s="131"/>
      <c r="E509" s="174"/>
    </row>
    <row r="510" spans="1:5">
      <c r="A510" s="132"/>
      <c r="B510" s="174"/>
      <c r="C510" s="174"/>
      <c r="D510" s="131"/>
      <c r="E510" s="174"/>
    </row>
    <row r="511" spans="1:5">
      <c r="A511" s="132"/>
      <c r="B511" s="174"/>
      <c r="C511" s="174"/>
      <c r="D511" s="131"/>
      <c r="E511" s="174"/>
    </row>
    <row r="512" spans="1:5">
      <c r="A512" s="132"/>
      <c r="B512" s="174"/>
      <c r="C512" s="174"/>
      <c r="D512" s="131"/>
      <c r="E512" s="174"/>
    </row>
    <row r="513" spans="1:5">
      <c r="A513" s="132"/>
      <c r="B513" s="174"/>
      <c r="C513" s="174"/>
      <c r="D513" s="131"/>
      <c r="E513" s="174"/>
    </row>
    <row r="514" spans="1:5">
      <c r="A514" s="132"/>
      <c r="B514" s="174"/>
      <c r="C514" s="174"/>
      <c r="D514" s="131"/>
      <c r="E514" s="174"/>
    </row>
    <row r="515" spans="1:5">
      <c r="A515" s="132"/>
      <c r="B515" s="174"/>
      <c r="C515" s="174"/>
      <c r="D515" s="131"/>
      <c r="E515" s="174"/>
    </row>
    <row r="516" spans="1:5">
      <c r="A516" s="132"/>
      <c r="B516" s="174"/>
      <c r="C516" s="174"/>
      <c r="D516" s="131"/>
      <c r="E516" s="174"/>
    </row>
    <row r="517" spans="1:5">
      <c r="A517" s="132"/>
      <c r="B517" s="174"/>
      <c r="C517" s="174"/>
      <c r="D517" s="131"/>
      <c r="E517" s="174"/>
    </row>
    <row r="518" spans="1:5">
      <c r="A518" s="132"/>
      <c r="B518" s="174"/>
      <c r="C518" s="174"/>
      <c r="D518" s="131"/>
      <c r="E518" s="174"/>
    </row>
    <row r="519" spans="1:5">
      <c r="A519" s="132"/>
      <c r="B519" s="174"/>
      <c r="C519" s="174"/>
      <c r="D519" s="131"/>
      <c r="E519" s="174"/>
    </row>
    <row r="520" spans="1:5">
      <c r="A520" s="132"/>
      <c r="B520" s="174"/>
      <c r="C520" s="174"/>
      <c r="D520" s="131"/>
      <c r="E520" s="174"/>
    </row>
    <row r="521" spans="1:5">
      <c r="A521" s="132"/>
      <c r="B521" s="174"/>
      <c r="C521" s="174"/>
      <c r="D521" s="131"/>
      <c r="E521" s="174"/>
    </row>
    <row r="522" spans="1:5">
      <c r="A522" s="132"/>
      <c r="B522" s="174"/>
      <c r="C522" s="174"/>
      <c r="D522" s="131"/>
      <c r="E522" s="174"/>
    </row>
    <row r="523" spans="1:5">
      <c r="A523" s="132"/>
      <c r="B523" s="174"/>
      <c r="C523" s="174"/>
      <c r="D523" s="131"/>
      <c r="E523" s="174"/>
    </row>
    <row r="524" spans="1:5">
      <c r="A524" s="132"/>
      <c r="B524" s="174"/>
      <c r="C524" s="174"/>
      <c r="D524" s="131"/>
      <c r="E524" s="174"/>
    </row>
    <row r="525" spans="1:5">
      <c r="A525" s="132"/>
      <c r="B525" s="174"/>
      <c r="C525" s="174"/>
      <c r="D525" s="131"/>
      <c r="E525" s="174"/>
    </row>
    <row r="526" spans="1:5">
      <c r="A526" s="132"/>
      <c r="B526" s="174"/>
      <c r="C526" s="174"/>
      <c r="D526" s="131"/>
      <c r="E526" s="174"/>
    </row>
    <row r="527" spans="1:5">
      <c r="A527" s="132"/>
      <c r="B527" s="174"/>
      <c r="C527" s="174"/>
      <c r="D527" s="131"/>
      <c r="E527" s="174"/>
    </row>
    <row r="528" spans="1:5">
      <c r="A528" s="132"/>
      <c r="B528" s="174"/>
      <c r="C528" s="174"/>
      <c r="D528" s="131"/>
      <c r="E528" s="174"/>
    </row>
    <row r="529" spans="1:5">
      <c r="A529" s="132"/>
      <c r="B529" s="174"/>
      <c r="C529" s="174"/>
      <c r="D529" s="131"/>
      <c r="E529" s="174"/>
    </row>
    <row r="530" spans="1:5">
      <c r="A530" s="132"/>
      <c r="B530" s="174"/>
      <c r="C530" s="174"/>
      <c r="D530" s="131"/>
      <c r="E530" s="174"/>
    </row>
    <row r="531" spans="1:5">
      <c r="A531" s="132"/>
      <c r="B531" s="174"/>
      <c r="C531" s="174"/>
      <c r="D531" s="131"/>
      <c r="E531" s="174"/>
    </row>
    <row r="532" spans="1:5">
      <c r="A532" s="132"/>
      <c r="B532" s="174"/>
      <c r="C532" s="174"/>
      <c r="D532" s="131"/>
      <c r="E532" s="174"/>
    </row>
    <row r="533" spans="1:5">
      <c r="A533" s="132"/>
      <c r="B533" s="174"/>
      <c r="C533" s="174"/>
      <c r="D533" s="131"/>
      <c r="E533" s="174"/>
    </row>
    <row r="534" spans="1:5">
      <c r="A534" s="132"/>
      <c r="B534" s="174"/>
      <c r="C534" s="174"/>
      <c r="D534" s="131"/>
      <c r="E534" s="174"/>
    </row>
    <row r="535" spans="1:5">
      <c r="A535" s="132"/>
      <c r="B535" s="174"/>
      <c r="C535" s="174"/>
      <c r="D535" s="131"/>
      <c r="E535" s="174"/>
    </row>
    <row r="536" spans="1:5">
      <c r="A536" s="132"/>
      <c r="B536" s="174"/>
      <c r="C536" s="174"/>
      <c r="D536" s="131"/>
      <c r="E536" s="174"/>
    </row>
    <row r="537" spans="1:5">
      <c r="A537" s="132"/>
      <c r="B537" s="174"/>
      <c r="C537" s="174"/>
      <c r="D537" s="131"/>
      <c r="E537" s="174"/>
    </row>
    <row r="538" spans="1:5">
      <c r="A538" s="132"/>
      <c r="B538" s="174"/>
      <c r="C538" s="174"/>
      <c r="D538" s="131"/>
      <c r="E538" s="174"/>
    </row>
    <row r="539" spans="1:5">
      <c r="A539" s="132"/>
      <c r="B539" s="174"/>
      <c r="C539" s="174"/>
      <c r="D539" s="131"/>
      <c r="E539" s="174"/>
    </row>
    <row r="540" spans="1:5">
      <c r="A540" s="132"/>
      <c r="B540" s="174"/>
      <c r="C540" s="174"/>
      <c r="D540" s="131"/>
      <c r="E540" s="174"/>
    </row>
    <row r="541" spans="1:5">
      <c r="A541" s="132"/>
      <c r="B541" s="174"/>
      <c r="C541" s="174"/>
      <c r="D541" s="131"/>
      <c r="E541" s="174"/>
    </row>
    <row r="542" spans="1:5">
      <c r="A542" s="132"/>
      <c r="B542" s="174"/>
      <c r="C542" s="174"/>
      <c r="D542" s="131"/>
      <c r="E542" s="174"/>
    </row>
    <row r="543" spans="1:5">
      <c r="A543" s="132"/>
      <c r="B543" s="174"/>
      <c r="C543" s="174"/>
      <c r="D543" s="131"/>
      <c r="E543" s="174"/>
    </row>
    <row r="544" spans="1:5">
      <c r="A544" s="132"/>
      <c r="B544" s="174"/>
      <c r="C544" s="174"/>
      <c r="D544" s="131"/>
      <c r="E544" s="174"/>
    </row>
    <row r="545" spans="1:5">
      <c r="A545" s="132"/>
      <c r="B545" s="174"/>
      <c r="C545" s="174"/>
      <c r="D545" s="131"/>
      <c r="E545" s="174"/>
    </row>
    <row r="546" spans="1:5">
      <c r="A546" s="132"/>
      <c r="B546" s="174"/>
      <c r="C546" s="174"/>
      <c r="D546" s="131"/>
      <c r="E546" s="174"/>
    </row>
    <row r="547" spans="1:5">
      <c r="A547" s="132"/>
      <c r="B547" s="174"/>
      <c r="C547" s="174"/>
      <c r="D547" s="131"/>
      <c r="E547" s="174"/>
    </row>
    <row r="548" spans="1:5">
      <c r="A548" s="132"/>
      <c r="B548" s="174"/>
      <c r="C548" s="174"/>
      <c r="D548" s="131"/>
      <c r="E548" s="174"/>
    </row>
    <row r="549" spans="1:5">
      <c r="A549" s="132"/>
      <c r="B549" s="174"/>
      <c r="C549" s="174"/>
      <c r="D549" s="131"/>
      <c r="E549" s="174"/>
    </row>
    <row r="550" spans="1:5">
      <c r="A550" s="132"/>
      <c r="B550" s="174"/>
      <c r="C550" s="174"/>
      <c r="D550" s="131"/>
      <c r="E550" s="174"/>
    </row>
    <row r="551" spans="1:5">
      <c r="A551" s="132"/>
      <c r="B551" s="174"/>
      <c r="C551" s="174"/>
      <c r="D551" s="131"/>
      <c r="E551" s="174"/>
    </row>
    <row r="552" spans="1:5">
      <c r="A552" s="132"/>
      <c r="B552" s="174"/>
      <c r="C552" s="174"/>
      <c r="D552" s="131"/>
      <c r="E552" s="174"/>
    </row>
    <row r="553" spans="1:5">
      <c r="A553" s="132"/>
      <c r="B553" s="174"/>
      <c r="C553" s="174"/>
      <c r="D553" s="131"/>
      <c r="E553" s="174"/>
    </row>
    <row r="554" spans="1:5">
      <c r="A554" s="132"/>
      <c r="B554" s="174"/>
      <c r="C554" s="174"/>
      <c r="D554" s="131"/>
      <c r="E554" s="174"/>
    </row>
    <row r="555" spans="1:5">
      <c r="A555" s="132"/>
      <c r="B555" s="174"/>
      <c r="C555" s="174"/>
      <c r="D555" s="131"/>
      <c r="E555" s="174"/>
    </row>
    <row r="556" spans="1:5">
      <c r="A556" s="132"/>
      <c r="B556" s="174"/>
      <c r="C556" s="174"/>
      <c r="D556" s="131"/>
      <c r="E556" s="174"/>
    </row>
    <row r="557" spans="1:5">
      <c r="A557" s="132"/>
      <c r="B557" s="174"/>
      <c r="C557" s="174"/>
      <c r="D557" s="131"/>
      <c r="E557" s="174"/>
    </row>
    <row r="558" spans="1:5">
      <c r="A558" s="132"/>
      <c r="B558" s="174"/>
      <c r="C558" s="174"/>
      <c r="D558" s="131"/>
      <c r="E558" s="174"/>
    </row>
    <row r="559" spans="1:5">
      <c r="A559" s="132"/>
      <c r="B559" s="174"/>
      <c r="C559" s="174"/>
      <c r="D559" s="131"/>
      <c r="E559" s="174"/>
    </row>
    <row r="560" spans="1:5">
      <c r="A560" s="132"/>
      <c r="B560" s="174"/>
      <c r="C560" s="174"/>
      <c r="D560" s="131"/>
      <c r="E560" s="174"/>
    </row>
    <row r="561" spans="1:5">
      <c r="A561" s="132"/>
      <c r="B561" s="174"/>
      <c r="C561" s="174"/>
      <c r="D561" s="131"/>
      <c r="E561" s="174"/>
    </row>
    <row r="562" spans="1:5">
      <c r="A562" s="132"/>
      <c r="B562" s="174"/>
      <c r="C562" s="174"/>
      <c r="D562" s="131"/>
      <c r="E562" s="174"/>
    </row>
    <row r="563" spans="1:5">
      <c r="A563" s="132"/>
      <c r="B563" s="174"/>
      <c r="C563" s="174"/>
      <c r="D563" s="131"/>
      <c r="E563" s="174"/>
    </row>
    <row r="564" spans="1:5">
      <c r="A564" s="132"/>
      <c r="B564" s="174"/>
      <c r="C564" s="174"/>
      <c r="D564" s="131"/>
      <c r="E564" s="174"/>
    </row>
    <row r="565" spans="1:5">
      <c r="A565" s="132"/>
      <c r="B565" s="174"/>
      <c r="C565" s="174"/>
      <c r="D565" s="131"/>
      <c r="E565" s="174"/>
    </row>
    <row r="566" spans="1:5">
      <c r="A566" s="132"/>
      <c r="B566" s="174"/>
      <c r="C566" s="174"/>
      <c r="D566" s="131"/>
      <c r="E566" s="174"/>
    </row>
    <row r="567" spans="1:5">
      <c r="A567" s="132"/>
      <c r="B567" s="174"/>
      <c r="C567" s="174"/>
      <c r="D567" s="131"/>
      <c r="E567" s="174"/>
    </row>
    <row r="568" spans="1:5">
      <c r="A568" s="132"/>
      <c r="B568" s="174"/>
      <c r="C568" s="174"/>
      <c r="D568" s="131"/>
      <c r="E568" s="174"/>
    </row>
    <row r="569" spans="1:5">
      <c r="A569" s="132"/>
      <c r="B569" s="174"/>
      <c r="C569" s="174"/>
      <c r="D569" s="131"/>
      <c r="E569" s="174"/>
    </row>
    <row r="570" spans="1:5">
      <c r="A570" s="132"/>
      <c r="B570" s="174"/>
      <c r="C570" s="174"/>
      <c r="D570" s="131"/>
      <c r="E570" s="174"/>
    </row>
    <row r="571" spans="1:5">
      <c r="A571" s="132"/>
      <c r="B571" s="174"/>
      <c r="C571" s="174"/>
      <c r="D571" s="131"/>
      <c r="E571" s="174"/>
    </row>
    <row r="572" spans="1:5">
      <c r="A572" s="132"/>
      <c r="B572" s="174"/>
      <c r="C572" s="174"/>
      <c r="D572" s="131"/>
      <c r="E572" s="174"/>
    </row>
    <row r="573" spans="1:5">
      <c r="A573" s="132"/>
      <c r="B573" s="174"/>
      <c r="C573" s="174"/>
      <c r="D573" s="131"/>
      <c r="E573" s="174"/>
    </row>
    <row r="574" spans="1:5">
      <c r="A574" s="132"/>
      <c r="B574" s="174"/>
      <c r="C574" s="174"/>
      <c r="D574" s="131"/>
      <c r="E574" s="174"/>
    </row>
    <row r="575" spans="1:5">
      <c r="A575" s="132"/>
      <c r="B575" s="174"/>
      <c r="C575" s="174"/>
      <c r="D575" s="131"/>
      <c r="E575" s="174"/>
    </row>
    <row r="576" spans="1:5">
      <c r="A576" s="132"/>
      <c r="B576" s="174"/>
      <c r="C576" s="174"/>
      <c r="D576" s="131"/>
      <c r="E576" s="174"/>
    </row>
    <row r="577" spans="1:5">
      <c r="A577" s="132"/>
      <c r="B577" s="174"/>
      <c r="C577" s="174"/>
      <c r="D577" s="131"/>
      <c r="E577" s="174"/>
    </row>
    <row r="578" spans="1:5">
      <c r="A578" s="132"/>
      <c r="B578" s="174"/>
      <c r="C578" s="174"/>
      <c r="D578" s="131"/>
      <c r="E578" s="174"/>
    </row>
    <row r="579" spans="1:5">
      <c r="A579" s="132"/>
      <c r="B579" s="174"/>
      <c r="C579" s="174"/>
      <c r="D579" s="131"/>
      <c r="E579" s="174"/>
    </row>
    <row r="580" spans="1:5">
      <c r="A580" s="132"/>
      <c r="B580" s="174"/>
      <c r="C580" s="174"/>
      <c r="D580" s="131"/>
      <c r="E580" s="174"/>
    </row>
    <row r="581" spans="1:5">
      <c r="A581" s="132"/>
      <c r="B581" s="174"/>
      <c r="C581" s="174"/>
      <c r="D581" s="131"/>
      <c r="E581" s="174"/>
    </row>
    <row r="582" spans="1:5">
      <c r="A582" s="132"/>
      <c r="B582" s="174"/>
      <c r="C582" s="174"/>
      <c r="D582" s="131"/>
      <c r="E582" s="174"/>
    </row>
    <row r="583" spans="1:5">
      <c r="A583" s="132"/>
      <c r="B583" s="174"/>
      <c r="C583" s="174"/>
      <c r="D583" s="131"/>
      <c r="E583" s="174"/>
    </row>
    <row r="584" spans="1:5">
      <c r="A584" s="132"/>
      <c r="B584" s="174"/>
      <c r="C584" s="174"/>
      <c r="D584" s="131"/>
      <c r="E584" s="174"/>
    </row>
    <row r="585" spans="1:5">
      <c r="A585" s="132"/>
      <c r="B585" s="174"/>
      <c r="C585" s="174"/>
      <c r="D585" s="131"/>
      <c r="E585" s="174"/>
    </row>
    <row r="586" spans="1:5">
      <c r="A586" s="132"/>
      <c r="B586" s="174"/>
      <c r="C586" s="174"/>
      <c r="D586" s="131"/>
      <c r="E586" s="174"/>
    </row>
    <row r="587" spans="1:5">
      <c r="A587" s="132"/>
      <c r="B587" s="174"/>
      <c r="C587" s="174"/>
      <c r="D587" s="131"/>
      <c r="E587" s="174"/>
    </row>
    <row r="588" spans="1:5">
      <c r="A588" s="132"/>
      <c r="B588" s="174"/>
      <c r="C588" s="174"/>
      <c r="D588" s="131"/>
      <c r="E588" s="174"/>
    </row>
    <row r="589" spans="1:5">
      <c r="A589" s="132"/>
      <c r="B589" s="174"/>
      <c r="C589" s="174"/>
      <c r="D589" s="131"/>
      <c r="E589" s="174"/>
    </row>
    <row r="590" spans="1:5">
      <c r="A590" s="132"/>
      <c r="B590" s="174"/>
      <c r="C590" s="174"/>
      <c r="D590" s="131"/>
      <c r="E590" s="174"/>
    </row>
    <row r="591" spans="1:5">
      <c r="A591" s="132"/>
      <c r="B591" s="174"/>
      <c r="C591" s="174"/>
      <c r="D591" s="131"/>
      <c r="E591" s="174"/>
    </row>
    <row r="592" spans="1:5">
      <c r="A592" s="132"/>
      <c r="B592" s="174"/>
      <c r="C592" s="174"/>
      <c r="D592" s="131"/>
      <c r="E592" s="174"/>
    </row>
    <row r="593" spans="1:5">
      <c r="A593" s="132"/>
      <c r="B593" s="174"/>
      <c r="C593" s="174"/>
      <c r="D593" s="131"/>
      <c r="E593" s="174"/>
    </row>
    <row r="594" spans="1:5">
      <c r="A594" s="132"/>
      <c r="B594" s="174"/>
      <c r="C594" s="174"/>
      <c r="D594" s="131"/>
      <c r="E594" s="174"/>
    </row>
    <row r="595" spans="1:5">
      <c r="A595" s="132"/>
      <c r="B595" s="174"/>
      <c r="C595" s="174"/>
      <c r="D595" s="131"/>
      <c r="E595" s="174"/>
    </row>
    <row r="596" spans="1:5">
      <c r="A596" s="132"/>
      <c r="B596" s="174"/>
      <c r="C596" s="174"/>
      <c r="D596" s="131"/>
      <c r="E596" s="174"/>
    </row>
    <row r="597" spans="1:5">
      <c r="A597" s="132"/>
      <c r="B597" s="174"/>
      <c r="C597" s="174"/>
      <c r="D597" s="131"/>
      <c r="E597" s="174"/>
    </row>
    <row r="598" spans="1:5">
      <c r="A598" s="132"/>
      <c r="B598" s="174"/>
      <c r="C598" s="174"/>
      <c r="D598" s="131"/>
      <c r="E598" s="174"/>
    </row>
    <row r="599" spans="1:5">
      <c r="A599" s="132"/>
      <c r="B599" s="174"/>
      <c r="C599" s="174"/>
      <c r="D599" s="131"/>
      <c r="E599" s="174"/>
    </row>
    <row r="600" spans="1:5">
      <c r="A600" s="132"/>
      <c r="B600" s="174"/>
      <c r="C600" s="174"/>
      <c r="D600" s="131"/>
      <c r="E600" s="174"/>
    </row>
    <row r="601" spans="1:5">
      <c r="A601" s="132"/>
      <c r="B601" s="174"/>
      <c r="C601" s="174"/>
      <c r="D601" s="131"/>
      <c r="E601" s="174"/>
    </row>
    <row r="602" spans="1:5">
      <c r="A602" s="132"/>
      <c r="B602" s="174"/>
      <c r="C602" s="174"/>
      <c r="D602" s="131"/>
      <c r="E602" s="174"/>
    </row>
    <row r="603" spans="1:5">
      <c r="A603" s="132"/>
      <c r="B603" s="174"/>
      <c r="C603" s="174"/>
      <c r="D603" s="131"/>
      <c r="E603" s="174"/>
    </row>
    <row r="604" spans="1:5">
      <c r="A604" s="132"/>
      <c r="B604" s="174"/>
      <c r="C604" s="174"/>
      <c r="D604" s="131"/>
      <c r="E604" s="174"/>
    </row>
    <row r="605" spans="1:5">
      <c r="A605" s="132"/>
      <c r="B605" s="174"/>
      <c r="C605" s="174"/>
      <c r="D605" s="131"/>
      <c r="E605" s="174"/>
    </row>
    <row r="606" spans="1:5">
      <c r="A606" s="132"/>
      <c r="B606" s="174"/>
      <c r="C606" s="174"/>
      <c r="D606" s="131"/>
      <c r="E606" s="174"/>
    </row>
    <row r="607" spans="1:5">
      <c r="A607" s="132"/>
      <c r="B607" s="174"/>
      <c r="C607" s="174"/>
      <c r="D607" s="131"/>
      <c r="E607" s="174"/>
    </row>
    <row r="608" spans="1:5">
      <c r="A608" s="132"/>
      <c r="B608" s="174"/>
      <c r="C608" s="174"/>
      <c r="D608" s="131"/>
      <c r="E608" s="174"/>
    </row>
    <row r="609" spans="1:5">
      <c r="A609" s="132"/>
      <c r="B609" s="174"/>
      <c r="C609" s="174"/>
      <c r="D609" s="131"/>
      <c r="E609" s="174"/>
    </row>
    <row r="610" spans="1:5">
      <c r="A610" s="132"/>
      <c r="B610" s="174"/>
      <c r="C610" s="174"/>
      <c r="D610" s="131"/>
      <c r="E610" s="174"/>
    </row>
    <row r="611" spans="1:5">
      <c r="A611" s="132"/>
      <c r="B611" s="174"/>
      <c r="C611" s="174"/>
      <c r="D611" s="131"/>
      <c r="E611" s="174"/>
    </row>
    <row r="612" spans="1:5">
      <c r="A612" s="132"/>
      <c r="B612" s="174"/>
      <c r="C612" s="174"/>
      <c r="D612" s="131"/>
      <c r="E612" s="174"/>
    </row>
    <row r="613" spans="1:5">
      <c r="A613" s="132"/>
      <c r="B613" s="174"/>
      <c r="C613" s="174"/>
      <c r="D613" s="131"/>
      <c r="E613" s="174"/>
    </row>
    <row r="614" spans="1:5">
      <c r="A614" s="132"/>
      <c r="B614" s="174"/>
      <c r="C614" s="174"/>
      <c r="D614" s="131"/>
      <c r="E614" s="174"/>
    </row>
    <row r="615" spans="1:5">
      <c r="A615" s="132"/>
      <c r="B615" s="174"/>
      <c r="C615" s="174"/>
      <c r="D615" s="131"/>
      <c r="E615" s="174"/>
    </row>
    <row r="616" spans="1:5">
      <c r="A616" s="132"/>
      <c r="B616" s="174"/>
      <c r="C616" s="174"/>
      <c r="D616" s="131"/>
      <c r="E616" s="174"/>
    </row>
    <row r="617" spans="1:5">
      <c r="A617" s="132"/>
      <c r="B617" s="174"/>
      <c r="C617" s="174"/>
      <c r="D617" s="131"/>
      <c r="E617" s="174"/>
    </row>
    <row r="618" spans="1:5">
      <c r="A618" s="132"/>
      <c r="B618" s="174"/>
      <c r="C618" s="174"/>
      <c r="D618" s="131"/>
      <c r="E618" s="174"/>
    </row>
    <row r="619" spans="1:5">
      <c r="A619" s="132"/>
      <c r="B619" s="174"/>
      <c r="C619" s="174"/>
      <c r="D619" s="131"/>
      <c r="E619" s="174"/>
    </row>
    <row r="620" spans="1:5">
      <c r="A620" s="132"/>
      <c r="B620" s="174"/>
      <c r="C620" s="174"/>
      <c r="D620" s="131"/>
      <c r="E620" s="174"/>
    </row>
    <row r="621" spans="1:5">
      <c r="A621" s="132"/>
      <c r="B621" s="174"/>
      <c r="C621" s="174"/>
      <c r="D621" s="131"/>
      <c r="E621" s="174"/>
    </row>
    <row r="622" spans="1:5">
      <c r="A622" s="132"/>
      <c r="B622" s="174"/>
      <c r="C622" s="174"/>
      <c r="D622" s="131"/>
      <c r="E622" s="174"/>
    </row>
    <row r="623" spans="1:5">
      <c r="A623" s="132"/>
      <c r="B623" s="174"/>
      <c r="C623" s="174"/>
      <c r="D623" s="131"/>
      <c r="E623" s="174"/>
    </row>
    <row r="624" spans="1:5">
      <c r="A624" s="132"/>
      <c r="B624" s="174"/>
      <c r="C624" s="174"/>
      <c r="D624" s="131"/>
      <c r="E624" s="174"/>
    </row>
    <row r="625" spans="1:5">
      <c r="A625" s="132"/>
      <c r="B625" s="174"/>
      <c r="C625" s="174"/>
      <c r="D625" s="131"/>
      <c r="E625" s="174"/>
    </row>
    <row r="626" spans="1:5">
      <c r="A626" s="132"/>
      <c r="B626" s="174"/>
      <c r="C626" s="174"/>
      <c r="D626" s="131"/>
      <c r="E626" s="174"/>
    </row>
    <row r="627" spans="1:5">
      <c r="A627" s="132"/>
      <c r="B627" s="174"/>
      <c r="C627" s="174"/>
      <c r="D627" s="131"/>
      <c r="E627" s="174"/>
    </row>
    <row r="628" spans="1:5">
      <c r="A628" s="132"/>
      <c r="B628" s="174"/>
      <c r="C628" s="174"/>
      <c r="D628" s="131"/>
      <c r="E628" s="174"/>
    </row>
    <row r="629" spans="1:5">
      <c r="A629" s="132"/>
      <c r="B629" s="174"/>
      <c r="C629" s="174"/>
      <c r="D629" s="131"/>
      <c r="E629" s="174"/>
    </row>
    <row r="630" spans="1:5">
      <c r="A630" s="132"/>
      <c r="B630" s="174"/>
      <c r="C630" s="174"/>
      <c r="D630" s="131"/>
      <c r="E630" s="174"/>
    </row>
    <row r="631" spans="1:5">
      <c r="A631" s="132"/>
      <c r="B631" s="174"/>
      <c r="C631" s="174"/>
      <c r="D631" s="131"/>
      <c r="E631" s="174"/>
    </row>
    <row r="632" spans="1:5">
      <c r="A632" s="132"/>
      <c r="B632" s="174"/>
      <c r="C632" s="174"/>
      <c r="D632" s="131"/>
      <c r="E632" s="174"/>
    </row>
    <row r="633" spans="1:5">
      <c r="A633" s="132"/>
      <c r="B633" s="174"/>
      <c r="C633" s="174"/>
      <c r="D633" s="131"/>
      <c r="E633" s="174"/>
    </row>
    <row r="634" spans="1:5">
      <c r="A634" s="132"/>
      <c r="B634" s="174"/>
      <c r="C634" s="174"/>
      <c r="D634" s="131"/>
      <c r="E634" s="174"/>
    </row>
    <row r="635" spans="1:5">
      <c r="A635" s="132"/>
      <c r="B635" s="174"/>
      <c r="C635" s="174"/>
      <c r="D635" s="131"/>
      <c r="E635" s="174"/>
    </row>
    <row r="636" spans="1:5">
      <c r="A636" s="132"/>
      <c r="B636" s="174"/>
      <c r="C636" s="174"/>
      <c r="D636" s="131"/>
      <c r="E636" s="174"/>
    </row>
    <row r="637" spans="1:5">
      <c r="A637" s="132"/>
      <c r="B637" s="174"/>
      <c r="C637" s="174"/>
      <c r="D637" s="131"/>
      <c r="E637" s="174"/>
    </row>
    <row r="638" spans="1:5">
      <c r="A638" s="132"/>
      <c r="B638" s="174"/>
      <c r="C638" s="174"/>
      <c r="D638" s="131"/>
      <c r="E638" s="174"/>
    </row>
    <row r="639" spans="1:5">
      <c r="A639" s="132"/>
      <c r="B639" s="174"/>
      <c r="C639" s="174"/>
      <c r="D639" s="131"/>
      <c r="E639" s="174"/>
    </row>
    <row r="640" spans="1:5">
      <c r="A640" s="132"/>
      <c r="B640" s="174"/>
      <c r="C640" s="174"/>
      <c r="D640" s="131"/>
      <c r="E640" s="174"/>
    </row>
    <row r="641" spans="1:5">
      <c r="A641" s="132"/>
      <c r="B641" s="174"/>
      <c r="C641" s="174"/>
      <c r="D641" s="131"/>
      <c r="E641" s="174"/>
    </row>
    <row r="642" spans="1:5">
      <c r="A642" s="132"/>
      <c r="B642" s="174"/>
      <c r="C642" s="174"/>
      <c r="D642" s="131"/>
      <c r="E642" s="174"/>
    </row>
    <row r="643" spans="1:5">
      <c r="A643" s="132"/>
      <c r="B643" s="174"/>
      <c r="C643" s="174"/>
      <c r="D643" s="131"/>
      <c r="E643" s="174"/>
    </row>
    <row r="644" spans="1:5">
      <c r="A644" s="132"/>
      <c r="B644" s="174"/>
      <c r="C644" s="174"/>
      <c r="D644" s="131"/>
      <c r="E644" s="174"/>
    </row>
    <row r="645" spans="1:5">
      <c r="A645" s="132"/>
      <c r="B645" s="174"/>
      <c r="C645" s="174"/>
      <c r="D645" s="131"/>
      <c r="E645" s="174"/>
    </row>
    <row r="646" spans="1:5">
      <c r="A646" s="132"/>
      <c r="B646" s="174"/>
      <c r="C646" s="174"/>
      <c r="D646" s="131"/>
      <c r="E646" s="174"/>
    </row>
    <row r="647" spans="1:5">
      <c r="A647" s="132"/>
      <c r="B647" s="174"/>
      <c r="C647" s="174"/>
      <c r="D647" s="131"/>
      <c r="E647" s="174"/>
    </row>
    <row r="648" spans="1:5">
      <c r="A648" s="132"/>
      <c r="B648" s="174"/>
      <c r="C648" s="174"/>
      <c r="D648" s="131"/>
      <c r="E648" s="174"/>
    </row>
    <row r="649" spans="1:5">
      <c r="A649" s="132"/>
      <c r="B649" s="174"/>
      <c r="C649" s="174"/>
      <c r="D649" s="131"/>
      <c r="E649" s="174"/>
    </row>
    <row r="650" spans="1:5">
      <c r="A650" s="132"/>
      <c r="B650" s="174"/>
      <c r="C650" s="174"/>
      <c r="D650" s="131"/>
      <c r="E650" s="174"/>
    </row>
    <row r="651" spans="1:5">
      <c r="A651" s="132"/>
      <c r="B651" s="174"/>
      <c r="C651" s="174"/>
      <c r="D651" s="131"/>
      <c r="E651" s="174"/>
    </row>
    <row r="652" spans="1:5">
      <c r="A652" s="132"/>
      <c r="B652" s="174"/>
      <c r="C652" s="174"/>
      <c r="D652" s="131"/>
      <c r="E652" s="174"/>
    </row>
    <row r="653" spans="1:5">
      <c r="A653" s="132"/>
      <c r="B653" s="174"/>
      <c r="C653" s="174"/>
      <c r="D653" s="131"/>
      <c r="E653" s="174"/>
    </row>
    <row r="654" spans="1:5">
      <c r="A654" s="132"/>
      <c r="B654" s="174"/>
      <c r="C654" s="174"/>
      <c r="D654" s="131"/>
      <c r="E654" s="174"/>
    </row>
    <row r="655" spans="1:5">
      <c r="A655" s="132"/>
      <c r="B655" s="174"/>
      <c r="C655" s="174"/>
      <c r="D655" s="131"/>
      <c r="E655" s="174"/>
    </row>
    <row r="656" spans="1:5">
      <c r="A656" s="132"/>
      <c r="B656" s="174"/>
      <c r="C656" s="174"/>
      <c r="D656" s="131"/>
      <c r="E656" s="174"/>
    </row>
    <row r="657" spans="1:5">
      <c r="A657" s="132"/>
      <c r="B657" s="174"/>
      <c r="C657" s="174"/>
      <c r="D657" s="131"/>
      <c r="E657" s="174"/>
    </row>
    <row r="658" spans="1:5">
      <c r="A658" s="132"/>
      <c r="B658" s="174"/>
      <c r="C658" s="174"/>
      <c r="D658" s="131"/>
      <c r="E658" s="174"/>
    </row>
    <row r="659" spans="1:5">
      <c r="A659" s="132"/>
      <c r="B659" s="174"/>
      <c r="C659" s="174"/>
      <c r="D659" s="131"/>
      <c r="E659" s="174"/>
    </row>
    <row r="660" spans="1:5">
      <c r="A660" s="132"/>
      <c r="B660" s="174"/>
      <c r="C660" s="174"/>
      <c r="D660" s="131"/>
      <c r="E660" s="174"/>
    </row>
    <row r="661" spans="1:5">
      <c r="A661" s="132"/>
      <c r="B661" s="174"/>
      <c r="C661" s="174"/>
      <c r="D661" s="131"/>
      <c r="E661" s="174"/>
    </row>
    <row r="662" spans="1:5">
      <c r="A662" s="132"/>
      <c r="B662" s="174"/>
      <c r="C662" s="174"/>
      <c r="D662" s="131"/>
      <c r="E662" s="174"/>
    </row>
    <row r="663" spans="1:5">
      <c r="A663" s="132"/>
      <c r="B663" s="174"/>
      <c r="C663" s="174"/>
      <c r="D663" s="131"/>
      <c r="E663" s="174"/>
    </row>
    <row r="664" spans="1:5">
      <c r="A664" s="132"/>
      <c r="B664" s="174"/>
      <c r="C664" s="174"/>
      <c r="D664" s="131"/>
      <c r="E664" s="174"/>
    </row>
    <row r="665" spans="1:5">
      <c r="A665" s="132"/>
      <c r="B665" s="174"/>
      <c r="C665" s="174"/>
      <c r="D665" s="131"/>
      <c r="E665" s="174"/>
    </row>
    <row r="666" spans="1:5">
      <c r="A666" s="132"/>
      <c r="B666" s="174"/>
      <c r="C666" s="174"/>
      <c r="D666" s="131"/>
      <c r="E666" s="174"/>
    </row>
    <row r="667" spans="1:5">
      <c r="A667" s="132"/>
      <c r="B667" s="174"/>
      <c r="C667" s="174"/>
      <c r="D667" s="131"/>
      <c r="E667" s="174"/>
    </row>
    <row r="668" spans="1:5">
      <c r="A668" s="132"/>
      <c r="B668" s="174"/>
      <c r="C668" s="174"/>
      <c r="D668" s="131"/>
      <c r="E668" s="174"/>
    </row>
    <row r="669" spans="1:5">
      <c r="A669" s="132"/>
      <c r="B669" s="174"/>
      <c r="C669" s="174"/>
      <c r="D669" s="131"/>
      <c r="E669" s="174"/>
    </row>
    <row r="670" spans="1:5">
      <c r="A670" s="132"/>
      <c r="B670" s="174"/>
      <c r="C670" s="174"/>
      <c r="D670" s="131"/>
      <c r="E670" s="174"/>
    </row>
    <row r="671" spans="1:5">
      <c r="A671" s="132"/>
      <c r="B671" s="174"/>
      <c r="C671" s="174"/>
      <c r="D671" s="131"/>
      <c r="E671" s="174"/>
    </row>
    <row r="672" spans="1:5">
      <c r="A672" s="132"/>
      <c r="B672" s="174"/>
      <c r="C672" s="174"/>
      <c r="D672" s="131"/>
      <c r="E672" s="174"/>
    </row>
    <row r="673" spans="1:5">
      <c r="A673" s="132"/>
      <c r="B673" s="174"/>
      <c r="C673" s="174"/>
      <c r="D673" s="131"/>
      <c r="E673" s="174"/>
    </row>
    <row r="674" spans="1:5">
      <c r="A674" s="132"/>
      <c r="B674" s="174"/>
      <c r="C674" s="174"/>
      <c r="D674" s="131"/>
      <c r="E674" s="174"/>
    </row>
    <row r="675" spans="1:5">
      <c r="A675" s="132"/>
      <c r="B675" s="174"/>
      <c r="C675" s="174"/>
      <c r="D675" s="131"/>
      <c r="E675" s="174"/>
    </row>
    <row r="676" spans="1:5">
      <c r="A676" s="132"/>
      <c r="B676" s="174"/>
      <c r="C676" s="174"/>
      <c r="D676" s="131"/>
      <c r="E676" s="174"/>
    </row>
    <row r="677" spans="1:5">
      <c r="A677" s="132"/>
      <c r="B677" s="174"/>
      <c r="C677" s="174"/>
      <c r="D677" s="131"/>
      <c r="E677" s="174"/>
    </row>
    <row r="678" spans="1:5">
      <c r="A678" s="132"/>
      <c r="B678" s="174"/>
      <c r="C678" s="174"/>
      <c r="D678" s="131"/>
      <c r="E678" s="174"/>
    </row>
    <row r="679" spans="1:5">
      <c r="A679" s="132"/>
      <c r="B679" s="174"/>
      <c r="C679" s="174"/>
      <c r="D679" s="131"/>
      <c r="E679" s="174"/>
    </row>
    <row r="680" spans="1:5">
      <c r="A680" s="132"/>
      <c r="B680" s="174"/>
      <c r="C680" s="174"/>
      <c r="D680" s="131"/>
      <c r="E680" s="174"/>
    </row>
    <row r="681" spans="1:5">
      <c r="A681" s="132"/>
      <c r="B681" s="174"/>
      <c r="C681" s="174"/>
      <c r="D681" s="131"/>
      <c r="E681" s="174"/>
    </row>
    <row r="682" spans="1:5">
      <c r="A682" s="132"/>
      <c r="B682" s="174"/>
      <c r="C682" s="174"/>
      <c r="D682" s="131"/>
      <c r="E682" s="174"/>
    </row>
    <row r="683" spans="1:5">
      <c r="A683" s="132"/>
      <c r="B683" s="174"/>
      <c r="C683" s="174"/>
      <c r="D683" s="131"/>
      <c r="E683" s="174"/>
    </row>
    <row r="684" spans="1:5">
      <c r="A684" s="132"/>
      <c r="B684" s="174"/>
      <c r="C684" s="174"/>
      <c r="D684" s="131"/>
      <c r="E684" s="174"/>
    </row>
    <row r="685" spans="1:5">
      <c r="A685" s="132"/>
      <c r="B685" s="174"/>
      <c r="C685" s="174"/>
      <c r="D685" s="131"/>
      <c r="E685" s="174"/>
    </row>
    <row r="686" spans="1:5">
      <c r="A686" s="132"/>
      <c r="B686" s="174"/>
      <c r="C686" s="174"/>
      <c r="D686" s="131"/>
      <c r="E686" s="174"/>
    </row>
    <row r="687" spans="1:5">
      <c r="A687" s="132"/>
      <c r="B687" s="174"/>
      <c r="C687" s="174"/>
      <c r="D687" s="131"/>
      <c r="E687" s="174"/>
    </row>
    <row r="688" spans="1:5">
      <c r="A688" s="132"/>
      <c r="B688" s="174"/>
      <c r="C688" s="174"/>
      <c r="D688" s="131"/>
      <c r="E688" s="174"/>
    </row>
    <row r="689" spans="1:5">
      <c r="A689" s="132"/>
      <c r="B689" s="174"/>
      <c r="C689" s="174"/>
      <c r="D689" s="131"/>
      <c r="E689" s="174"/>
    </row>
    <row r="690" spans="1:5">
      <c r="A690" s="132"/>
      <c r="B690" s="174"/>
      <c r="C690" s="174"/>
      <c r="D690" s="131"/>
      <c r="E690" s="174"/>
    </row>
    <row r="691" spans="1:5">
      <c r="A691" s="132"/>
      <c r="B691" s="174"/>
      <c r="C691" s="174"/>
      <c r="D691" s="131"/>
      <c r="E691" s="174"/>
    </row>
    <row r="692" spans="1:5">
      <c r="A692" s="132"/>
      <c r="B692" s="174"/>
      <c r="C692" s="174"/>
      <c r="D692" s="131"/>
      <c r="E692" s="174"/>
    </row>
    <row r="693" spans="1:5">
      <c r="A693" s="132"/>
      <c r="B693" s="174"/>
      <c r="C693" s="174"/>
      <c r="D693" s="131"/>
      <c r="E693" s="174"/>
    </row>
    <row r="694" spans="1:5">
      <c r="A694" s="132"/>
      <c r="B694" s="174"/>
      <c r="C694" s="174"/>
      <c r="D694" s="131"/>
      <c r="E694" s="174"/>
    </row>
    <row r="695" spans="1:5">
      <c r="A695" s="132"/>
      <c r="B695" s="174"/>
      <c r="C695" s="174"/>
      <c r="D695" s="131"/>
      <c r="E695" s="174"/>
    </row>
    <row r="696" spans="1:5">
      <c r="A696" s="132"/>
      <c r="B696" s="174"/>
      <c r="C696" s="174"/>
      <c r="D696" s="131"/>
      <c r="E696" s="174"/>
    </row>
    <row r="697" spans="1:5">
      <c r="A697" s="132"/>
      <c r="B697" s="174"/>
      <c r="C697" s="174"/>
      <c r="D697" s="131"/>
      <c r="E697" s="174"/>
    </row>
    <row r="698" spans="1:5">
      <c r="A698" s="132"/>
      <c r="B698" s="174"/>
      <c r="C698" s="174"/>
      <c r="D698" s="131"/>
      <c r="E698" s="174"/>
    </row>
    <row r="699" spans="1:5">
      <c r="A699" s="132"/>
      <c r="B699" s="174"/>
      <c r="C699" s="174"/>
      <c r="D699" s="131"/>
      <c r="E699" s="174"/>
    </row>
    <row r="700" spans="1:5">
      <c r="A700" s="132"/>
      <c r="B700" s="174"/>
      <c r="C700" s="174"/>
      <c r="D700" s="131"/>
      <c r="E700" s="174"/>
    </row>
    <row r="701" spans="1:5">
      <c r="A701" s="132"/>
      <c r="B701" s="174"/>
      <c r="C701" s="174"/>
      <c r="D701" s="131"/>
      <c r="E701" s="174"/>
    </row>
    <row r="702" spans="1:5">
      <c r="A702" s="132"/>
      <c r="B702" s="174"/>
      <c r="C702" s="174"/>
      <c r="D702" s="131"/>
      <c r="E702" s="174"/>
    </row>
    <row r="703" spans="1:5">
      <c r="A703" s="132"/>
      <c r="B703" s="174"/>
      <c r="C703" s="174"/>
      <c r="D703" s="131"/>
      <c r="E703" s="174"/>
    </row>
    <row r="704" spans="1:5">
      <c r="A704" s="132"/>
      <c r="B704" s="174"/>
      <c r="C704" s="174"/>
      <c r="D704" s="131"/>
      <c r="E704" s="174"/>
    </row>
    <row r="705" spans="1:5">
      <c r="A705" s="132"/>
      <c r="B705" s="174"/>
      <c r="C705" s="174"/>
      <c r="D705" s="131"/>
      <c r="E705" s="174"/>
    </row>
    <row r="706" spans="1:5">
      <c r="A706" s="132"/>
      <c r="B706" s="174"/>
      <c r="C706" s="174"/>
      <c r="D706" s="131"/>
      <c r="E706" s="174"/>
    </row>
    <row r="707" spans="1:5">
      <c r="A707" s="132"/>
      <c r="B707" s="174"/>
      <c r="C707" s="174"/>
      <c r="D707" s="131"/>
      <c r="E707" s="174"/>
    </row>
    <row r="708" spans="1:5">
      <c r="A708" s="132"/>
      <c r="B708" s="174"/>
      <c r="C708" s="174"/>
      <c r="D708" s="131"/>
      <c r="E708" s="174"/>
    </row>
    <row r="709" spans="1:5">
      <c r="A709" s="132"/>
      <c r="B709" s="174"/>
      <c r="C709" s="174"/>
      <c r="D709" s="131"/>
      <c r="E709" s="174"/>
    </row>
    <row r="710" spans="1:5">
      <c r="A710" s="132"/>
      <c r="B710" s="174"/>
      <c r="C710" s="174"/>
      <c r="D710" s="131"/>
      <c r="E710" s="174"/>
    </row>
    <row r="711" spans="1:5">
      <c r="A711" s="132"/>
      <c r="B711" s="174"/>
      <c r="C711" s="174"/>
      <c r="D711" s="131"/>
      <c r="E711" s="174"/>
    </row>
    <row r="712" spans="1:5">
      <c r="A712" s="132"/>
      <c r="B712" s="174"/>
      <c r="C712" s="174"/>
      <c r="D712" s="131"/>
      <c r="E712" s="174"/>
    </row>
    <row r="713" spans="1:5">
      <c r="A713" s="132"/>
      <c r="B713" s="174"/>
      <c r="C713" s="174"/>
      <c r="D713" s="131"/>
      <c r="E713" s="174"/>
    </row>
    <row r="714" spans="1:5">
      <c r="A714" s="132"/>
      <c r="B714" s="174"/>
      <c r="C714" s="174"/>
      <c r="D714" s="131"/>
      <c r="E714" s="174"/>
    </row>
    <row r="715" spans="1:5">
      <c r="A715" s="132"/>
      <c r="B715" s="174"/>
      <c r="C715" s="174"/>
      <c r="D715" s="131"/>
      <c r="E715" s="174"/>
    </row>
    <row r="716" spans="1:5">
      <c r="A716" s="132"/>
      <c r="B716" s="174"/>
      <c r="C716" s="174"/>
      <c r="D716" s="131"/>
      <c r="E716" s="174"/>
    </row>
    <row r="717" spans="1:5">
      <c r="A717" s="132"/>
      <c r="B717" s="174"/>
      <c r="C717" s="174"/>
      <c r="D717" s="131"/>
      <c r="E717" s="174"/>
    </row>
    <row r="718" spans="1:5">
      <c r="A718" s="132"/>
      <c r="B718" s="174"/>
      <c r="C718" s="174"/>
      <c r="D718" s="131"/>
      <c r="E718" s="174"/>
    </row>
    <row r="719" spans="1:5">
      <c r="A719" s="132"/>
      <c r="B719" s="174"/>
      <c r="C719" s="174"/>
      <c r="D719" s="131"/>
      <c r="E719" s="174"/>
    </row>
    <row r="720" spans="1:5">
      <c r="A720" s="132"/>
      <c r="B720" s="174"/>
      <c r="C720" s="174"/>
      <c r="D720" s="131"/>
      <c r="E720" s="174"/>
    </row>
    <row r="721" spans="1:5">
      <c r="A721" s="132"/>
      <c r="B721" s="174"/>
      <c r="C721" s="174"/>
      <c r="D721" s="131"/>
      <c r="E721" s="174"/>
    </row>
    <row r="722" spans="1:5">
      <c r="A722" s="132"/>
      <c r="B722" s="174"/>
      <c r="C722" s="174"/>
      <c r="D722" s="131"/>
      <c r="E722" s="174"/>
    </row>
    <row r="723" spans="1:5">
      <c r="A723" s="132"/>
      <c r="B723" s="174"/>
      <c r="C723" s="174"/>
      <c r="D723" s="131"/>
      <c r="E723" s="174"/>
    </row>
    <row r="724" spans="1:5">
      <c r="A724" s="132"/>
      <c r="B724" s="174"/>
      <c r="C724" s="174"/>
      <c r="D724" s="131"/>
      <c r="E724" s="174"/>
    </row>
    <row r="725" spans="1:5">
      <c r="A725" s="132"/>
      <c r="B725" s="174"/>
      <c r="C725" s="174"/>
      <c r="D725" s="131"/>
      <c r="E725" s="174"/>
    </row>
    <row r="726" spans="1:5">
      <c r="A726" s="132"/>
      <c r="B726" s="174"/>
      <c r="C726" s="174"/>
      <c r="D726" s="131"/>
      <c r="E726" s="174"/>
    </row>
    <row r="727" spans="1:5">
      <c r="A727" s="132"/>
      <c r="B727" s="174"/>
      <c r="C727" s="174"/>
      <c r="D727" s="131"/>
      <c r="E727" s="174"/>
    </row>
    <row r="728" spans="1:5">
      <c r="A728" s="132"/>
      <c r="B728" s="174"/>
      <c r="C728" s="174"/>
      <c r="D728" s="131"/>
      <c r="E728" s="174"/>
    </row>
    <row r="729" spans="1:5">
      <c r="A729" s="132"/>
      <c r="B729" s="174"/>
      <c r="C729" s="174"/>
      <c r="D729" s="131"/>
      <c r="E729" s="174"/>
    </row>
    <row r="730" spans="1:5">
      <c r="A730" s="132"/>
      <c r="B730" s="174"/>
      <c r="C730" s="174"/>
      <c r="D730" s="131"/>
      <c r="E730" s="174"/>
    </row>
    <row r="731" spans="1:5">
      <c r="A731" s="132"/>
      <c r="B731" s="174"/>
      <c r="C731" s="174"/>
      <c r="D731" s="131"/>
      <c r="E731" s="174"/>
    </row>
    <row r="732" spans="1:5">
      <c r="A732" s="132"/>
      <c r="B732" s="174"/>
      <c r="C732" s="174"/>
      <c r="D732" s="131"/>
      <c r="E732" s="174"/>
    </row>
    <row r="733" spans="1:5">
      <c r="A733" s="132"/>
      <c r="B733" s="174"/>
      <c r="C733" s="174"/>
      <c r="D733" s="131"/>
      <c r="E733" s="174"/>
    </row>
    <row r="734" spans="1:5">
      <c r="A734" s="132"/>
      <c r="B734" s="174"/>
      <c r="C734" s="174"/>
      <c r="D734" s="131"/>
      <c r="E734" s="174"/>
    </row>
    <row r="735" spans="1:5">
      <c r="A735" s="132"/>
      <c r="B735" s="174"/>
      <c r="C735" s="174"/>
      <c r="D735" s="131"/>
      <c r="E735" s="174"/>
    </row>
    <row r="736" spans="1:5">
      <c r="A736" s="132"/>
      <c r="B736" s="174"/>
      <c r="C736" s="174"/>
      <c r="D736" s="131"/>
      <c r="E736" s="174"/>
    </row>
    <row r="737" spans="1:5">
      <c r="A737" s="132"/>
      <c r="B737" s="174"/>
      <c r="C737" s="174"/>
      <c r="D737" s="131"/>
      <c r="E737" s="174"/>
    </row>
    <row r="738" spans="1:5">
      <c r="A738" s="132"/>
      <c r="B738" s="174"/>
      <c r="C738" s="174"/>
      <c r="D738" s="131"/>
      <c r="E738" s="174"/>
    </row>
    <row r="739" spans="1:5">
      <c r="A739" s="132"/>
      <c r="B739" s="174"/>
      <c r="C739" s="174"/>
      <c r="D739" s="131"/>
      <c r="E739" s="174"/>
    </row>
    <row r="740" spans="1:5">
      <c r="A740" s="132"/>
      <c r="B740" s="174"/>
      <c r="C740" s="174"/>
      <c r="D740" s="131"/>
      <c r="E740" s="174"/>
    </row>
    <row r="741" spans="1:5">
      <c r="A741" s="132"/>
      <c r="B741" s="174"/>
      <c r="C741" s="174"/>
      <c r="D741" s="131"/>
      <c r="E741" s="174"/>
    </row>
    <row r="742" spans="1:5">
      <c r="A742" s="132"/>
      <c r="B742" s="174"/>
      <c r="C742" s="174"/>
      <c r="D742" s="131"/>
      <c r="E742" s="174"/>
    </row>
    <row r="743" spans="1:5">
      <c r="A743" s="132"/>
      <c r="B743" s="174"/>
      <c r="C743" s="174"/>
      <c r="D743" s="131"/>
      <c r="E743" s="174"/>
    </row>
    <row r="744" spans="1:5">
      <c r="A744" s="132"/>
      <c r="B744" s="174"/>
      <c r="C744" s="174"/>
      <c r="D744" s="131"/>
      <c r="E744" s="174"/>
    </row>
    <row r="745" spans="1:5">
      <c r="A745" s="132"/>
      <c r="B745" s="174"/>
      <c r="C745" s="174"/>
      <c r="D745" s="131"/>
      <c r="E745" s="174"/>
    </row>
    <row r="746" spans="1:5">
      <c r="A746" s="132"/>
      <c r="B746" s="174"/>
      <c r="C746" s="174"/>
      <c r="D746" s="131"/>
      <c r="E746" s="174"/>
    </row>
    <row r="747" spans="1:5">
      <c r="A747" s="132"/>
      <c r="B747" s="174"/>
      <c r="C747" s="174"/>
      <c r="D747" s="131"/>
      <c r="E747" s="174"/>
    </row>
    <row r="748" spans="1:5">
      <c r="A748" s="132"/>
      <c r="B748" s="174"/>
      <c r="C748" s="174"/>
      <c r="D748" s="131"/>
      <c r="E748" s="174"/>
    </row>
    <row r="749" spans="1:5">
      <c r="A749" s="132"/>
      <c r="B749" s="174"/>
      <c r="C749" s="174"/>
      <c r="D749" s="131"/>
      <c r="E749" s="174"/>
    </row>
    <row r="750" spans="1:5">
      <c r="A750" s="132"/>
      <c r="B750" s="174"/>
      <c r="C750" s="174"/>
      <c r="D750" s="131"/>
      <c r="E750" s="174"/>
    </row>
    <row r="751" spans="1:5">
      <c r="A751" s="132"/>
      <c r="B751" s="174"/>
      <c r="C751" s="174"/>
      <c r="D751" s="131"/>
      <c r="E751" s="174"/>
    </row>
    <row r="752" spans="1:5">
      <c r="A752" s="132"/>
      <c r="B752" s="174"/>
      <c r="C752" s="174"/>
      <c r="D752" s="131"/>
      <c r="E752" s="174"/>
    </row>
    <row r="753" spans="1:5">
      <c r="A753" s="132"/>
      <c r="B753" s="174"/>
      <c r="C753" s="174"/>
      <c r="D753" s="131"/>
      <c r="E753" s="174"/>
    </row>
    <row r="754" spans="1:5">
      <c r="A754" s="132"/>
      <c r="B754" s="174"/>
      <c r="C754" s="174"/>
      <c r="D754" s="131"/>
      <c r="E754" s="174"/>
    </row>
    <row r="755" spans="1:5">
      <c r="A755" s="132"/>
      <c r="B755" s="174"/>
      <c r="C755" s="174"/>
      <c r="D755" s="131"/>
      <c r="E755" s="174"/>
    </row>
    <row r="756" spans="1:5">
      <c r="A756" s="132"/>
      <c r="B756" s="174"/>
      <c r="C756" s="174"/>
      <c r="D756" s="131"/>
      <c r="E756" s="174"/>
    </row>
    <row r="757" spans="1:5">
      <c r="A757" s="132"/>
      <c r="B757" s="174"/>
      <c r="C757" s="174"/>
      <c r="D757" s="131"/>
      <c r="E757" s="174"/>
    </row>
    <row r="758" spans="1:5">
      <c r="A758" s="132"/>
      <c r="B758" s="174"/>
      <c r="C758" s="174"/>
      <c r="D758" s="131"/>
      <c r="E758" s="174"/>
    </row>
    <row r="759" spans="1:5">
      <c r="A759" s="132"/>
      <c r="B759" s="174"/>
      <c r="C759" s="174"/>
      <c r="D759" s="131"/>
      <c r="E759" s="174"/>
    </row>
    <row r="760" spans="1:5">
      <c r="A760" s="132"/>
      <c r="B760" s="174"/>
      <c r="C760" s="174"/>
      <c r="D760" s="131"/>
      <c r="E760" s="174"/>
    </row>
    <row r="761" spans="1:5">
      <c r="A761" s="132"/>
      <c r="B761" s="174"/>
      <c r="C761" s="174"/>
      <c r="D761" s="131"/>
      <c r="E761" s="174"/>
    </row>
    <row r="762" spans="1:5">
      <c r="A762" s="132"/>
      <c r="B762" s="174"/>
      <c r="C762" s="174"/>
      <c r="D762" s="131"/>
      <c r="E762" s="174"/>
    </row>
    <row r="763" spans="1:5">
      <c r="A763" s="132"/>
      <c r="B763" s="174"/>
      <c r="C763" s="174"/>
      <c r="D763" s="131"/>
      <c r="E763" s="174"/>
    </row>
    <row r="764" spans="1:5">
      <c r="A764" s="132"/>
      <c r="B764" s="174"/>
      <c r="C764" s="174"/>
      <c r="D764" s="131"/>
      <c r="E764" s="174"/>
    </row>
    <row r="765" spans="1:5">
      <c r="A765" s="132"/>
      <c r="B765" s="174"/>
      <c r="C765" s="174"/>
      <c r="D765" s="131"/>
      <c r="E765" s="174"/>
    </row>
    <row r="766" spans="1:5">
      <c r="A766" s="132"/>
      <c r="B766" s="174"/>
      <c r="C766" s="174"/>
      <c r="D766" s="131"/>
      <c r="E766" s="174"/>
    </row>
    <row r="767" spans="1:5">
      <c r="A767" s="132"/>
      <c r="B767" s="174"/>
      <c r="C767" s="174"/>
      <c r="D767" s="131"/>
      <c r="E767" s="174"/>
    </row>
    <row r="768" spans="1:5">
      <c r="A768" s="132"/>
      <c r="B768" s="174"/>
      <c r="C768" s="174"/>
      <c r="D768" s="131"/>
      <c r="E768" s="174"/>
    </row>
    <row r="769" spans="1:5">
      <c r="A769" s="132"/>
      <c r="B769" s="174"/>
      <c r="C769" s="174"/>
      <c r="D769" s="131"/>
      <c r="E769" s="174"/>
    </row>
    <row r="770" spans="1:5">
      <c r="A770" s="132"/>
      <c r="B770" s="174"/>
      <c r="C770" s="174"/>
      <c r="D770" s="131"/>
      <c r="E770" s="174"/>
    </row>
    <row r="771" spans="1:5">
      <c r="A771" s="132"/>
      <c r="B771" s="174"/>
      <c r="C771" s="174"/>
      <c r="D771" s="131"/>
      <c r="E771" s="174"/>
    </row>
    <row r="772" spans="1:5">
      <c r="A772" s="132"/>
      <c r="B772" s="174"/>
      <c r="C772" s="174"/>
      <c r="D772" s="131"/>
      <c r="E772" s="174"/>
    </row>
    <row r="773" spans="1:5">
      <c r="A773" s="132"/>
      <c r="B773" s="174"/>
      <c r="C773" s="174"/>
      <c r="D773" s="131"/>
      <c r="E773" s="174"/>
    </row>
    <row r="774" spans="1:5">
      <c r="A774" s="132"/>
      <c r="B774" s="174"/>
      <c r="C774" s="174"/>
      <c r="D774" s="131"/>
      <c r="E774" s="174"/>
    </row>
    <row r="775" spans="1:5">
      <c r="A775" s="132"/>
      <c r="B775" s="174"/>
      <c r="C775" s="174"/>
      <c r="D775" s="131"/>
      <c r="E775" s="174"/>
    </row>
    <row r="776" spans="1:5">
      <c r="A776" s="132"/>
      <c r="B776" s="174"/>
      <c r="C776" s="174"/>
      <c r="D776" s="131"/>
      <c r="E776" s="174"/>
    </row>
    <row r="777" spans="1:5">
      <c r="A777" s="132"/>
      <c r="B777" s="174"/>
      <c r="C777" s="174"/>
      <c r="D777" s="131"/>
      <c r="E777" s="174"/>
    </row>
    <row r="778" spans="1:5">
      <c r="A778" s="132"/>
      <c r="B778" s="174"/>
      <c r="C778" s="174"/>
      <c r="D778" s="131"/>
      <c r="E778" s="174"/>
    </row>
    <row r="779" spans="1:5">
      <c r="A779" s="132"/>
      <c r="B779" s="174"/>
      <c r="C779" s="174"/>
      <c r="D779" s="131"/>
      <c r="E779" s="174"/>
    </row>
    <row r="780" spans="1:5">
      <c r="A780" s="132"/>
      <c r="B780" s="174"/>
      <c r="C780" s="174"/>
      <c r="D780" s="131"/>
      <c r="E780" s="174"/>
    </row>
    <row r="781" spans="1:5">
      <c r="A781" s="132"/>
      <c r="B781" s="174"/>
      <c r="C781" s="174"/>
      <c r="D781" s="131"/>
      <c r="E781" s="174"/>
    </row>
    <row r="782" spans="1:5">
      <c r="A782" s="132"/>
      <c r="B782" s="174"/>
      <c r="C782" s="174"/>
      <c r="D782" s="131"/>
      <c r="E782" s="174"/>
    </row>
    <row r="783" spans="1:5">
      <c r="A783" s="132"/>
      <c r="B783" s="174"/>
      <c r="C783" s="174"/>
      <c r="D783" s="131"/>
      <c r="E783" s="174"/>
    </row>
    <row r="784" spans="1:5">
      <c r="A784" s="132"/>
      <c r="B784" s="174"/>
      <c r="C784" s="174"/>
      <c r="D784" s="131"/>
      <c r="E784" s="174"/>
    </row>
    <row r="785" spans="1:5">
      <c r="A785" s="132"/>
      <c r="B785" s="174"/>
      <c r="C785" s="174"/>
      <c r="D785" s="131"/>
      <c r="E785" s="174"/>
    </row>
    <row r="786" spans="1:5">
      <c r="A786" s="132"/>
      <c r="B786" s="174"/>
      <c r="C786" s="174"/>
      <c r="D786" s="131"/>
      <c r="E786" s="174"/>
    </row>
    <row r="787" spans="1:5">
      <c r="A787" s="132"/>
      <c r="B787" s="174"/>
      <c r="C787" s="174"/>
      <c r="D787" s="131"/>
      <c r="E787" s="174"/>
    </row>
    <row r="788" spans="1:5">
      <c r="A788" s="132"/>
      <c r="B788" s="174"/>
      <c r="C788" s="174"/>
      <c r="D788" s="131"/>
      <c r="E788" s="174"/>
    </row>
    <row r="789" spans="1:5">
      <c r="A789" s="132"/>
      <c r="B789" s="174"/>
      <c r="C789" s="174"/>
      <c r="D789" s="131"/>
      <c r="E789" s="174"/>
    </row>
    <row r="790" spans="1:5">
      <c r="A790" s="132"/>
      <c r="B790" s="174"/>
      <c r="C790" s="174"/>
      <c r="D790" s="131"/>
      <c r="E790" s="174"/>
    </row>
    <row r="791" spans="1:5">
      <c r="A791" s="132"/>
      <c r="B791" s="174"/>
      <c r="C791" s="174"/>
      <c r="D791" s="131"/>
      <c r="E791" s="174"/>
    </row>
    <row r="792" spans="1:5">
      <c r="A792" s="132"/>
      <c r="B792" s="174"/>
      <c r="C792" s="174"/>
      <c r="D792" s="131"/>
      <c r="E792" s="174"/>
    </row>
    <row r="793" spans="1:5">
      <c r="A793" s="132"/>
      <c r="B793" s="174"/>
      <c r="C793" s="174"/>
      <c r="D793" s="131"/>
      <c r="E793" s="174"/>
    </row>
    <row r="794" spans="1:5">
      <c r="A794" s="132"/>
      <c r="B794" s="174"/>
      <c r="C794" s="174"/>
      <c r="D794" s="131"/>
      <c r="E794" s="174"/>
    </row>
    <row r="795" spans="1:5">
      <c r="A795" s="132"/>
      <c r="B795" s="174"/>
      <c r="C795" s="174"/>
      <c r="D795" s="131"/>
      <c r="E795" s="174"/>
    </row>
    <row r="796" spans="1:5">
      <c r="A796" s="132"/>
      <c r="B796" s="174"/>
      <c r="C796" s="174"/>
      <c r="D796" s="131"/>
      <c r="E796" s="174"/>
    </row>
    <row r="797" spans="1:5">
      <c r="A797" s="132"/>
      <c r="B797" s="174"/>
      <c r="C797" s="174"/>
      <c r="D797" s="131"/>
      <c r="E797" s="174"/>
    </row>
    <row r="798" spans="1:5">
      <c r="A798" s="132"/>
      <c r="B798" s="174"/>
      <c r="C798" s="174"/>
      <c r="D798" s="131"/>
      <c r="E798" s="174"/>
    </row>
    <row r="799" spans="1:5">
      <c r="A799" s="132"/>
      <c r="B799" s="174"/>
      <c r="C799" s="174"/>
      <c r="D799" s="131"/>
      <c r="E799" s="174"/>
    </row>
    <row r="800" spans="1:5">
      <c r="A800" s="132"/>
      <c r="B800" s="174"/>
      <c r="C800" s="174"/>
      <c r="D800" s="131"/>
      <c r="E800" s="174"/>
    </row>
    <row r="801" spans="1:5">
      <c r="A801" s="132"/>
      <c r="B801" s="174"/>
      <c r="C801" s="174"/>
      <c r="D801" s="131"/>
      <c r="E801" s="174"/>
    </row>
    <row r="802" spans="1:5">
      <c r="A802" s="132"/>
      <c r="B802" s="174"/>
      <c r="C802" s="174"/>
      <c r="D802" s="131"/>
      <c r="E802" s="174"/>
    </row>
    <row r="803" spans="1:5">
      <c r="A803" s="132"/>
      <c r="B803" s="174"/>
      <c r="C803" s="174"/>
      <c r="D803" s="131"/>
      <c r="E803" s="174"/>
    </row>
    <row r="804" spans="1:5">
      <c r="A804" s="132"/>
      <c r="B804" s="174"/>
      <c r="C804" s="174"/>
      <c r="D804" s="131"/>
      <c r="E804" s="174"/>
    </row>
    <row r="805" spans="1:5">
      <c r="A805" s="132"/>
      <c r="B805" s="174"/>
      <c r="C805" s="174"/>
      <c r="D805" s="131"/>
      <c r="E805" s="174"/>
    </row>
    <row r="806" spans="1:5">
      <c r="A806" s="132"/>
      <c r="B806" s="174"/>
      <c r="C806" s="174"/>
      <c r="D806" s="131"/>
      <c r="E806" s="174"/>
    </row>
    <row r="807" spans="1:5">
      <c r="A807" s="132"/>
      <c r="B807" s="174"/>
      <c r="C807" s="174"/>
      <c r="D807" s="131"/>
      <c r="E807" s="174"/>
    </row>
    <row r="808" spans="1:5">
      <c r="A808" s="132"/>
      <c r="B808" s="174"/>
      <c r="C808" s="174"/>
      <c r="D808" s="131"/>
      <c r="E808" s="174"/>
    </row>
    <row r="809" spans="1:5">
      <c r="A809" s="132"/>
      <c r="B809" s="174"/>
      <c r="C809" s="174"/>
      <c r="D809" s="131"/>
      <c r="E809" s="174"/>
    </row>
    <row r="810" spans="1:5">
      <c r="A810" s="132"/>
      <c r="B810" s="174"/>
      <c r="C810" s="174"/>
      <c r="D810" s="131"/>
      <c r="E810" s="174"/>
    </row>
    <row r="811" spans="1:5">
      <c r="A811" s="132"/>
      <c r="B811" s="174"/>
      <c r="C811" s="174"/>
      <c r="D811" s="131"/>
      <c r="E811" s="174"/>
    </row>
    <row r="812" spans="1:5">
      <c r="A812" s="132"/>
      <c r="B812" s="174"/>
      <c r="C812" s="174"/>
      <c r="D812" s="131"/>
      <c r="E812" s="174"/>
    </row>
    <row r="813" spans="1:5">
      <c r="A813" s="132"/>
      <c r="B813" s="174"/>
      <c r="C813" s="174"/>
      <c r="D813" s="131"/>
      <c r="E813" s="174"/>
    </row>
    <row r="814" spans="1:5">
      <c r="A814" s="132"/>
      <c r="B814" s="174"/>
      <c r="C814" s="174"/>
      <c r="D814" s="131"/>
      <c r="E814" s="174"/>
    </row>
    <row r="815" spans="1:5">
      <c r="A815" s="132"/>
      <c r="B815" s="174"/>
      <c r="C815" s="174"/>
      <c r="D815" s="131"/>
      <c r="E815" s="174"/>
    </row>
    <row r="816" spans="1:5">
      <c r="A816" s="132"/>
      <c r="B816" s="174"/>
      <c r="C816" s="174"/>
      <c r="D816" s="131"/>
      <c r="E816" s="174"/>
    </row>
    <row r="817" spans="1:5">
      <c r="A817" s="132"/>
      <c r="B817" s="174"/>
      <c r="C817" s="174"/>
      <c r="D817" s="131"/>
      <c r="E817" s="174"/>
    </row>
    <row r="818" spans="1:5">
      <c r="A818" s="132"/>
      <c r="B818" s="174"/>
      <c r="C818" s="174"/>
      <c r="D818" s="131"/>
      <c r="E818" s="174"/>
    </row>
    <row r="819" spans="1:5">
      <c r="A819" s="132"/>
      <c r="B819" s="174"/>
      <c r="C819" s="174"/>
      <c r="D819" s="131"/>
      <c r="E819" s="174"/>
    </row>
    <row r="820" spans="1:5">
      <c r="A820" s="132"/>
      <c r="B820" s="174"/>
      <c r="C820" s="174"/>
      <c r="D820" s="131"/>
      <c r="E820" s="174"/>
    </row>
    <row r="821" spans="1:5">
      <c r="A821" s="132"/>
      <c r="B821" s="174"/>
      <c r="C821" s="174"/>
      <c r="D821" s="131"/>
      <c r="E821" s="174"/>
    </row>
    <row r="822" spans="1:5">
      <c r="A822" s="132"/>
      <c r="B822" s="174"/>
      <c r="C822" s="174"/>
      <c r="D822" s="131"/>
      <c r="E822" s="174"/>
    </row>
    <row r="823" spans="1:5">
      <c r="A823" s="132"/>
      <c r="B823" s="174"/>
      <c r="C823" s="174"/>
      <c r="D823" s="131"/>
      <c r="E823" s="174"/>
    </row>
    <row r="824" spans="1:5">
      <c r="A824" s="132"/>
      <c r="B824" s="174"/>
      <c r="C824" s="174"/>
      <c r="D824" s="131"/>
      <c r="E824" s="174"/>
    </row>
    <row r="825" spans="1:5">
      <c r="A825" s="132"/>
      <c r="B825" s="174"/>
      <c r="C825" s="174"/>
      <c r="D825" s="131"/>
      <c r="E825" s="174"/>
    </row>
    <row r="826" spans="1:5">
      <c r="A826" s="132"/>
      <c r="B826" s="174"/>
      <c r="C826" s="174"/>
      <c r="D826" s="131"/>
      <c r="E826" s="174"/>
    </row>
    <row r="827" spans="1:5">
      <c r="A827" s="132"/>
      <c r="B827" s="174"/>
      <c r="C827" s="174"/>
      <c r="D827" s="131"/>
      <c r="E827" s="174"/>
    </row>
    <row r="828" spans="1:5">
      <c r="A828" s="132"/>
      <c r="B828" s="174"/>
      <c r="C828" s="174"/>
      <c r="D828" s="131"/>
      <c r="E828" s="174"/>
    </row>
    <row r="829" spans="1:5">
      <c r="A829" s="132"/>
      <c r="B829" s="174"/>
      <c r="C829" s="174"/>
      <c r="D829" s="131"/>
      <c r="E829" s="174"/>
    </row>
    <row r="830" spans="1:5">
      <c r="A830" s="132"/>
      <c r="B830" s="174"/>
      <c r="C830" s="174"/>
      <c r="D830" s="131"/>
      <c r="E830" s="174"/>
    </row>
    <row r="831" spans="1:5">
      <c r="A831" s="132"/>
      <c r="B831" s="174"/>
      <c r="C831" s="174"/>
      <c r="D831" s="131"/>
      <c r="E831" s="174"/>
    </row>
    <row r="832" spans="1:5">
      <c r="A832" s="132"/>
      <c r="B832" s="174"/>
      <c r="C832" s="174"/>
      <c r="D832" s="131"/>
      <c r="E832" s="174"/>
    </row>
    <row r="833" spans="1:5">
      <c r="A833" s="132"/>
      <c r="B833" s="174"/>
      <c r="C833" s="174"/>
      <c r="D833" s="131"/>
      <c r="E833" s="174"/>
    </row>
    <row r="834" spans="1:5">
      <c r="A834" s="132"/>
      <c r="B834" s="174"/>
      <c r="C834" s="174"/>
      <c r="D834" s="131"/>
      <c r="E834" s="174"/>
    </row>
    <row r="835" spans="1:5">
      <c r="A835" s="132"/>
      <c r="B835" s="174"/>
      <c r="C835" s="174"/>
      <c r="D835" s="131"/>
      <c r="E835" s="174"/>
    </row>
    <row r="836" spans="1:5">
      <c r="A836" s="132"/>
      <c r="B836" s="174"/>
      <c r="C836" s="174"/>
      <c r="D836" s="131"/>
      <c r="E836" s="174"/>
    </row>
    <row r="837" spans="1:5">
      <c r="A837" s="132"/>
      <c r="B837" s="174"/>
      <c r="C837" s="174"/>
      <c r="D837" s="131"/>
      <c r="E837" s="174"/>
    </row>
    <row r="838" spans="1:5">
      <c r="A838" s="132"/>
      <c r="B838" s="174"/>
      <c r="C838" s="174"/>
      <c r="D838" s="131"/>
      <c r="E838" s="174"/>
    </row>
    <row r="839" spans="1:5">
      <c r="A839" s="132"/>
      <c r="B839" s="174"/>
      <c r="C839" s="174"/>
      <c r="D839" s="131"/>
      <c r="E839" s="174"/>
    </row>
    <row r="840" spans="1:5">
      <c r="A840" s="132"/>
      <c r="B840" s="174"/>
      <c r="C840" s="174"/>
      <c r="D840" s="131"/>
      <c r="E840" s="174"/>
    </row>
    <row r="841" spans="1:5">
      <c r="A841" s="132"/>
      <c r="B841" s="174"/>
      <c r="C841" s="174"/>
      <c r="D841" s="131"/>
      <c r="E841" s="174"/>
    </row>
    <row r="842" spans="1:5">
      <c r="A842" s="132"/>
      <c r="B842" s="174"/>
      <c r="C842" s="174"/>
      <c r="D842" s="131"/>
      <c r="E842" s="174"/>
    </row>
    <row r="843" spans="1:5">
      <c r="A843" s="132"/>
      <c r="B843" s="174"/>
      <c r="C843" s="174"/>
      <c r="D843" s="131"/>
      <c r="E843" s="174"/>
    </row>
    <row r="844" spans="1:5">
      <c r="A844" s="132"/>
      <c r="B844" s="174"/>
      <c r="C844" s="174"/>
      <c r="D844" s="131"/>
      <c r="E844" s="174"/>
    </row>
    <row r="845" spans="1:5">
      <c r="A845" s="132"/>
      <c r="B845" s="174"/>
      <c r="C845" s="174"/>
      <c r="D845" s="131"/>
      <c r="E845" s="174"/>
    </row>
    <row r="846" spans="1:5">
      <c r="A846" s="132"/>
      <c r="B846" s="174"/>
      <c r="C846" s="174"/>
      <c r="D846" s="131"/>
      <c r="E846" s="174"/>
    </row>
    <row r="847" spans="1:5">
      <c r="A847" s="132"/>
      <c r="B847" s="174"/>
      <c r="C847" s="174"/>
      <c r="D847" s="131"/>
      <c r="E847" s="174"/>
    </row>
    <row r="848" spans="1:5">
      <c r="A848" s="132"/>
      <c r="B848" s="174"/>
      <c r="C848" s="174"/>
      <c r="D848" s="131"/>
      <c r="E848" s="174"/>
    </row>
    <row r="849" spans="1:5">
      <c r="A849" s="132"/>
      <c r="B849" s="174"/>
      <c r="C849" s="174"/>
      <c r="D849" s="131"/>
      <c r="E849" s="174"/>
    </row>
    <row r="850" spans="1:5">
      <c r="A850" s="132"/>
      <c r="B850" s="174"/>
      <c r="C850" s="174"/>
      <c r="D850" s="131"/>
      <c r="E850" s="174"/>
    </row>
    <row r="851" spans="1:5">
      <c r="A851" s="132"/>
      <c r="B851" s="174"/>
      <c r="C851" s="174"/>
      <c r="D851" s="131"/>
      <c r="E851" s="174"/>
    </row>
    <row r="852" spans="1:5">
      <c r="A852" s="132"/>
      <c r="B852" s="174"/>
      <c r="C852" s="174"/>
      <c r="D852" s="131"/>
      <c r="E852" s="174"/>
    </row>
    <row r="853" spans="1:5">
      <c r="A853" s="132"/>
      <c r="B853" s="174"/>
      <c r="C853" s="174"/>
      <c r="D853" s="131"/>
      <c r="E853" s="174"/>
    </row>
    <row r="854" spans="1:5">
      <c r="A854" s="132"/>
      <c r="B854" s="174"/>
      <c r="C854" s="174"/>
      <c r="D854" s="131"/>
      <c r="E854" s="174"/>
    </row>
    <row r="855" spans="1:5">
      <c r="A855" s="132"/>
      <c r="B855" s="174"/>
      <c r="C855" s="174"/>
      <c r="D855" s="131"/>
      <c r="E855" s="174"/>
    </row>
    <row r="856" spans="1:5">
      <c r="A856" s="132"/>
      <c r="B856" s="174"/>
      <c r="C856" s="174"/>
      <c r="D856" s="131"/>
      <c r="E856" s="174"/>
    </row>
    <row r="857" spans="1:5">
      <c r="A857" s="132"/>
      <c r="B857" s="174"/>
      <c r="C857" s="174"/>
      <c r="D857" s="131"/>
      <c r="E857" s="174"/>
    </row>
    <row r="858" spans="1:5">
      <c r="A858" s="132"/>
      <c r="B858" s="174"/>
      <c r="C858" s="174"/>
      <c r="D858" s="131"/>
      <c r="E858" s="174"/>
    </row>
    <row r="859" spans="1:5">
      <c r="A859" s="132"/>
      <c r="B859" s="174"/>
      <c r="C859" s="174"/>
      <c r="D859" s="131"/>
      <c r="E859" s="174"/>
    </row>
    <row r="860" spans="1:5">
      <c r="A860" s="132"/>
      <c r="B860" s="174"/>
      <c r="C860" s="174"/>
      <c r="D860" s="131"/>
      <c r="E860" s="174"/>
    </row>
    <row r="861" spans="1:5">
      <c r="A861" s="132"/>
      <c r="B861" s="174"/>
      <c r="C861" s="174"/>
      <c r="D861" s="131"/>
      <c r="E861" s="174"/>
    </row>
    <row r="862" spans="1:5">
      <c r="A862" s="132"/>
      <c r="B862" s="174"/>
      <c r="C862" s="174"/>
      <c r="D862" s="131"/>
      <c r="E862" s="174"/>
    </row>
    <row r="863" spans="1:5">
      <c r="A863" s="132"/>
      <c r="B863" s="174"/>
      <c r="C863" s="174"/>
      <c r="D863" s="131"/>
      <c r="E863" s="174"/>
    </row>
    <row r="864" spans="1:5">
      <c r="A864" s="132"/>
      <c r="B864" s="174"/>
      <c r="C864" s="174"/>
      <c r="D864" s="131"/>
      <c r="E864" s="174"/>
    </row>
    <row r="865" spans="1:5">
      <c r="A865" s="132"/>
      <c r="B865" s="174"/>
      <c r="C865" s="174"/>
      <c r="D865" s="131"/>
      <c r="E865" s="174"/>
    </row>
    <row r="866" spans="1:5">
      <c r="A866" s="132"/>
      <c r="B866" s="174"/>
      <c r="C866" s="174"/>
      <c r="D866" s="131"/>
      <c r="E866" s="174"/>
    </row>
    <row r="867" spans="1:5">
      <c r="A867" s="132"/>
      <c r="B867" s="174"/>
      <c r="C867" s="174"/>
      <c r="D867" s="131"/>
      <c r="E867" s="174"/>
    </row>
    <row r="868" spans="1:5">
      <c r="A868" s="132"/>
      <c r="B868" s="174"/>
      <c r="C868" s="174"/>
      <c r="D868" s="131"/>
      <c r="E868" s="174"/>
    </row>
    <row r="869" spans="1:5">
      <c r="A869" s="132"/>
      <c r="B869" s="174"/>
      <c r="C869" s="174"/>
      <c r="D869" s="131"/>
      <c r="E869" s="174"/>
    </row>
    <row r="870" spans="1:5">
      <c r="A870" s="132"/>
      <c r="B870" s="174"/>
      <c r="C870" s="174"/>
      <c r="D870" s="131"/>
      <c r="E870" s="174"/>
    </row>
    <row r="871" spans="1:5">
      <c r="A871" s="132"/>
      <c r="B871" s="174"/>
      <c r="C871" s="174"/>
      <c r="D871" s="131"/>
      <c r="E871" s="174"/>
    </row>
    <row r="872" spans="1:5">
      <c r="A872" s="132"/>
      <c r="B872" s="174"/>
      <c r="C872" s="174"/>
      <c r="D872" s="131"/>
      <c r="E872" s="174"/>
    </row>
    <row r="873" spans="1:5">
      <c r="A873" s="132"/>
      <c r="B873" s="174"/>
      <c r="C873" s="174"/>
      <c r="D873" s="131"/>
      <c r="E873" s="174"/>
    </row>
    <row r="874" spans="1:5">
      <c r="A874" s="132"/>
      <c r="B874" s="174"/>
      <c r="C874" s="174"/>
      <c r="D874" s="131"/>
      <c r="E874" s="174"/>
    </row>
    <row r="875" spans="1:5">
      <c r="A875" s="132"/>
      <c r="B875" s="174"/>
      <c r="C875" s="174"/>
      <c r="D875" s="131"/>
      <c r="E875" s="174"/>
    </row>
    <row r="876" spans="1:5">
      <c r="A876" s="132"/>
      <c r="B876" s="174"/>
      <c r="C876" s="174"/>
      <c r="D876" s="131"/>
      <c r="E876" s="174"/>
    </row>
    <row r="877" spans="1:5">
      <c r="A877" s="132"/>
      <c r="B877" s="174"/>
      <c r="C877" s="174"/>
      <c r="D877" s="131"/>
      <c r="E877" s="174"/>
    </row>
    <row r="878" spans="1:5">
      <c r="A878" s="132"/>
      <c r="B878" s="174"/>
      <c r="C878" s="174"/>
      <c r="D878" s="131"/>
      <c r="E878" s="174"/>
    </row>
    <row r="879" spans="1:5">
      <c r="A879" s="132"/>
      <c r="B879" s="174"/>
      <c r="C879" s="174"/>
      <c r="D879" s="131"/>
      <c r="E879" s="174"/>
    </row>
    <row r="880" spans="1:5">
      <c r="A880" s="132"/>
      <c r="B880" s="174"/>
      <c r="C880" s="174"/>
      <c r="D880" s="131"/>
      <c r="E880" s="174"/>
    </row>
    <row r="881" spans="1:5">
      <c r="A881" s="132"/>
      <c r="B881" s="174"/>
      <c r="C881" s="174"/>
      <c r="D881" s="131"/>
      <c r="E881" s="174"/>
    </row>
    <row r="882" spans="1:5">
      <c r="A882" s="132"/>
      <c r="B882" s="174"/>
      <c r="C882" s="174"/>
      <c r="D882" s="131"/>
      <c r="E882" s="174"/>
    </row>
    <row r="883" spans="1:5">
      <c r="A883" s="132"/>
      <c r="B883" s="174"/>
      <c r="C883" s="174"/>
      <c r="D883" s="131"/>
      <c r="E883" s="174"/>
    </row>
    <row r="884" spans="1:5">
      <c r="A884" s="132"/>
      <c r="B884" s="174"/>
      <c r="C884" s="174"/>
      <c r="D884" s="131"/>
      <c r="E884" s="174"/>
    </row>
    <row r="885" spans="1:5">
      <c r="A885" s="132"/>
      <c r="B885" s="174"/>
      <c r="C885" s="174"/>
      <c r="D885" s="131"/>
      <c r="E885" s="174"/>
    </row>
    <row r="886" spans="1:5">
      <c r="A886" s="132"/>
      <c r="B886" s="174"/>
      <c r="C886" s="174"/>
      <c r="D886" s="131"/>
      <c r="E886" s="174"/>
    </row>
    <row r="887" spans="1:5">
      <c r="A887" s="132"/>
      <c r="B887" s="174"/>
      <c r="C887" s="174"/>
      <c r="D887" s="131"/>
      <c r="E887" s="174"/>
    </row>
    <row r="888" spans="1:5">
      <c r="A888" s="132"/>
      <c r="B888" s="174"/>
      <c r="C888" s="174"/>
      <c r="D888" s="131"/>
      <c r="E888" s="174"/>
    </row>
    <row r="889" spans="1:5">
      <c r="A889" s="132"/>
      <c r="B889" s="174"/>
      <c r="C889" s="174"/>
      <c r="D889" s="131"/>
      <c r="E889" s="174"/>
    </row>
    <row r="890" spans="1:5">
      <c r="A890" s="132"/>
      <c r="B890" s="174"/>
      <c r="C890" s="174"/>
      <c r="D890" s="131"/>
      <c r="E890" s="174"/>
    </row>
    <row r="891" spans="1:5">
      <c r="A891" s="132"/>
      <c r="B891" s="174"/>
      <c r="C891" s="174"/>
      <c r="D891" s="131"/>
      <c r="E891" s="174"/>
    </row>
    <row r="892" spans="1:5">
      <c r="A892" s="132"/>
      <c r="B892" s="174"/>
      <c r="C892" s="174"/>
      <c r="D892" s="131"/>
      <c r="E892" s="174"/>
    </row>
    <row r="893" spans="1:5">
      <c r="A893" s="132"/>
      <c r="B893" s="174"/>
      <c r="C893" s="174"/>
      <c r="D893" s="131"/>
      <c r="E893" s="174"/>
    </row>
    <row r="894" spans="1:5">
      <c r="A894" s="132"/>
      <c r="B894" s="174"/>
      <c r="C894" s="174"/>
      <c r="D894" s="131"/>
      <c r="E894" s="174"/>
    </row>
    <row r="895" spans="1:5">
      <c r="A895" s="132"/>
      <c r="B895" s="174"/>
      <c r="C895" s="174"/>
      <c r="D895" s="131"/>
      <c r="E895" s="174"/>
    </row>
    <row r="896" spans="1:5">
      <c r="A896" s="132"/>
      <c r="B896" s="174"/>
      <c r="C896" s="174"/>
      <c r="D896" s="131"/>
      <c r="E896" s="174"/>
    </row>
    <row r="897" spans="1:5">
      <c r="A897" s="132"/>
      <c r="B897" s="174"/>
      <c r="C897" s="174"/>
      <c r="D897" s="131"/>
      <c r="E897" s="174"/>
    </row>
    <row r="898" spans="1:5">
      <c r="A898" s="132"/>
      <c r="B898" s="174"/>
      <c r="C898" s="174"/>
      <c r="D898" s="131"/>
      <c r="E898" s="174"/>
    </row>
    <row r="899" spans="1:5">
      <c r="A899" s="132"/>
      <c r="B899" s="174"/>
      <c r="C899" s="174"/>
      <c r="D899" s="131"/>
      <c r="E899" s="174"/>
    </row>
    <row r="900" spans="1:5">
      <c r="A900" s="132"/>
      <c r="B900" s="174"/>
      <c r="C900" s="174"/>
      <c r="D900" s="131"/>
      <c r="E900" s="174"/>
    </row>
    <row r="901" spans="1:5">
      <c r="A901" s="132"/>
      <c r="B901" s="174"/>
      <c r="C901" s="174"/>
      <c r="D901" s="131"/>
      <c r="E901" s="174"/>
    </row>
    <row r="902" spans="1:5">
      <c r="A902" s="132"/>
      <c r="B902" s="174"/>
      <c r="C902" s="174"/>
      <c r="D902" s="131"/>
      <c r="E902" s="174"/>
    </row>
    <row r="903" spans="1:5">
      <c r="A903" s="132"/>
      <c r="B903" s="174"/>
      <c r="C903" s="174"/>
      <c r="D903" s="131"/>
      <c r="E903" s="174"/>
    </row>
    <row r="904" spans="1:5">
      <c r="A904" s="132"/>
      <c r="B904" s="174"/>
      <c r="C904" s="174"/>
      <c r="D904" s="131"/>
      <c r="E904" s="174"/>
    </row>
    <row r="905" spans="1:5">
      <c r="A905" s="132"/>
      <c r="B905" s="174"/>
      <c r="C905" s="174"/>
      <c r="D905" s="131"/>
      <c r="E905" s="174"/>
    </row>
    <row r="906" spans="1:5">
      <c r="A906" s="132"/>
      <c r="B906" s="174"/>
      <c r="C906" s="174"/>
      <c r="D906" s="131"/>
      <c r="E906" s="174"/>
    </row>
    <row r="907" spans="1:5">
      <c r="A907" s="132"/>
      <c r="B907" s="174"/>
      <c r="C907" s="174"/>
      <c r="D907" s="131"/>
      <c r="E907" s="174"/>
    </row>
    <row r="908" spans="1:5">
      <c r="A908" s="132"/>
      <c r="B908" s="174"/>
      <c r="C908" s="174"/>
      <c r="D908" s="131"/>
      <c r="E908" s="174"/>
    </row>
    <row r="909" spans="1:5">
      <c r="A909" s="132"/>
      <c r="B909" s="174"/>
      <c r="C909" s="174"/>
      <c r="D909" s="131"/>
      <c r="E909" s="174"/>
    </row>
    <row r="910" spans="1:5">
      <c r="A910" s="132"/>
      <c r="B910" s="174"/>
      <c r="C910" s="174"/>
      <c r="D910" s="131"/>
      <c r="E910" s="174"/>
    </row>
    <row r="911" spans="1:5">
      <c r="A911" s="132"/>
      <c r="B911" s="174"/>
      <c r="C911" s="174"/>
      <c r="D911" s="131"/>
      <c r="E911" s="174"/>
    </row>
    <row r="912" spans="1:5">
      <c r="A912" s="132"/>
      <c r="B912" s="174"/>
      <c r="C912" s="174"/>
      <c r="D912" s="131"/>
      <c r="E912" s="174"/>
    </row>
    <row r="913" spans="1:5">
      <c r="A913" s="132"/>
      <c r="B913" s="174"/>
      <c r="C913" s="174"/>
      <c r="D913" s="131"/>
      <c r="E913" s="174"/>
    </row>
    <row r="914" spans="1:5">
      <c r="A914" s="132"/>
      <c r="B914" s="174"/>
      <c r="C914" s="174"/>
      <c r="D914" s="131"/>
      <c r="E914" s="174"/>
    </row>
    <row r="915" spans="1:5">
      <c r="A915" s="132"/>
      <c r="B915" s="174"/>
      <c r="C915" s="174"/>
      <c r="D915" s="131"/>
      <c r="E915" s="174"/>
    </row>
    <row r="916" spans="1:5">
      <c r="A916" s="132"/>
      <c r="B916" s="174"/>
      <c r="C916" s="174"/>
      <c r="D916" s="131"/>
      <c r="E916" s="174"/>
    </row>
    <row r="917" spans="1:5">
      <c r="A917" s="132"/>
      <c r="B917" s="174"/>
      <c r="C917" s="174"/>
      <c r="D917" s="131"/>
      <c r="E917" s="174"/>
    </row>
    <row r="918" spans="1:5">
      <c r="A918" s="132"/>
      <c r="B918" s="174"/>
      <c r="C918" s="174"/>
      <c r="D918" s="131"/>
      <c r="E918" s="174"/>
    </row>
    <row r="919" spans="1:5">
      <c r="A919" s="132"/>
      <c r="B919" s="174"/>
      <c r="C919" s="174"/>
      <c r="D919" s="131"/>
      <c r="E919" s="174"/>
    </row>
    <row r="920" spans="1:5">
      <c r="A920" s="132"/>
      <c r="B920" s="174"/>
      <c r="C920" s="174"/>
      <c r="D920" s="131"/>
      <c r="E920" s="174"/>
    </row>
    <row r="921" spans="1:5">
      <c r="A921" s="132"/>
      <c r="B921" s="174"/>
      <c r="C921" s="174"/>
      <c r="D921" s="131"/>
      <c r="E921" s="174"/>
    </row>
    <row r="922" spans="1:5">
      <c r="A922" s="132"/>
      <c r="B922" s="174"/>
      <c r="C922" s="174"/>
      <c r="D922" s="131"/>
      <c r="E922" s="174"/>
    </row>
    <row r="923" spans="1:5">
      <c r="A923" s="132"/>
      <c r="B923" s="174"/>
      <c r="C923" s="174"/>
      <c r="D923" s="131"/>
      <c r="E923" s="174"/>
    </row>
    <row r="924" spans="1:5">
      <c r="A924" s="132"/>
      <c r="B924" s="174"/>
      <c r="C924" s="174"/>
      <c r="D924" s="131"/>
      <c r="E924" s="174"/>
    </row>
    <row r="925" spans="1:5">
      <c r="A925" s="132"/>
      <c r="B925" s="174"/>
      <c r="C925" s="174"/>
      <c r="D925" s="131"/>
      <c r="E925" s="174"/>
    </row>
    <row r="926" spans="1:5">
      <c r="A926" s="132"/>
      <c r="B926" s="174"/>
      <c r="C926" s="174"/>
      <c r="D926" s="131"/>
      <c r="E926" s="174"/>
    </row>
    <row r="927" spans="1:5">
      <c r="A927" s="132"/>
      <c r="B927" s="174"/>
      <c r="C927" s="174"/>
      <c r="D927" s="131"/>
      <c r="E927" s="174"/>
    </row>
    <row r="928" spans="1:5">
      <c r="A928" s="132"/>
      <c r="B928" s="174"/>
      <c r="C928" s="174"/>
      <c r="D928" s="131"/>
      <c r="E928" s="174"/>
    </row>
    <row r="929" spans="1:5">
      <c r="A929" s="132"/>
      <c r="B929" s="174"/>
      <c r="C929" s="174"/>
      <c r="D929" s="131"/>
      <c r="E929" s="174"/>
    </row>
    <row r="930" spans="1:5">
      <c r="A930" s="132"/>
      <c r="B930" s="174"/>
      <c r="C930" s="174"/>
      <c r="D930" s="131"/>
      <c r="E930" s="174"/>
    </row>
    <row r="931" spans="1:5">
      <c r="A931" s="132"/>
      <c r="B931" s="174"/>
      <c r="C931" s="174"/>
      <c r="D931" s="131"/>
      <c r="E931" s="174"/>
    </row>
    <row r="932" spans="1:5">
      <c r="A932" s="132"/>
      <c r="B932" s="174"/>
      <c r="C932" s="174"/>
      <c r="D932" s="131"/>
      <c r="E932" s="174"/>
    </row>
    <row r="933" spans="1:5">
      <c r="A933" s="132"/>
      <c r="B933" s="174"/>
      <c r="C933" s="174"/>
      <c r="D933" s="131"/>
      <c r="E933" s="174"/>
    </row>
    <row r="934" spans="1:5">
      <c r="A934" s="132"/>
      <c r="B934" s="174"/>
      <c r="C934" s="174"/>
      <c r="D934" s="131"/>
      <c r="E934" s="174"/>
    </row>
    <row r="935" spans="1:5">
      <c r="A935" s="132"/>
      <c r="B935" s="174"/>
      <c r="C935" s="174"/>
      <c r="D935" s="131"/>
      <c r="E935" s="174"/>
    </row>
    <row r="936" spans="1:5">
      <c r="A936" s="132"/>
      <c r="B936" s="174"/>
      <c r="C936" s="174"/>
      <c r="D936" s="131"/>
      <c r="E936" s="174"/>
    </row>
    <row r="937" spans="1:5">
      <c r="A937" s="132"/>
      <c r="B937" s="174"/>
      <c r="C937" s="174"/>
      <c r="D937" s="131"/>
      <c r="E937" s="174"/>
    </row>
    <row r="938" spans="1:5">
      <c r="A938" s="132"/>
      <c r="B938" s="174"/>
      <c r="C938" s="174"/>
      <c r="D938" s="131"/>
      <c r="E938" s="174"/>
    </row>
    <row r="939" spans="1:5">
      <c r="A939" s="132"/>
      <c r="B939" s="174"/>
      <c r="C939" s="174"/>
      <c r="D939" s="131"/>
      <c r="E939" s="174"/>
    </row>
    <row r="940" spans="1:5">
      <c r="A940" s="132"/>
      <c r="B940" s="174"/>
      <c r="C940" s="174"/>
      <c r="D940" s="131"/>
      <c r="E940" s="174"/>
    </row>
    <row r="941" spans="1:5">
      <c r="A941" s="132"/>
      <c r="B941" s="174"/>
      <c r="C941" s="174"/>
      <c r="D941" s="131"/>
      <c r="E941" s="174"/>
    </row>
    <row r="942" spans="1:5">
      <c r="A942" s="132"/>
      <c r="B942" s="174"/>
      <c r="C942" s="174"/>
      <c r="D942" s="131"/>
      <c r="E942" s="174"/>
    </row>
    <row r="943" spans="1:5">
      <c r="A943" s="132"/>
      <c r="B943" s="174"/>
      <c r="C943" s="174"/>
      <c r="D943" s="131"/>
      <c r="E943" s="174"/>
    </row>
    <row r="944" spans="1:5">
      <c r="A944" s="132"/>
      <c r="B944" s="174"/>
      <c r="C944" s="174"/>
      <c r="D944" s="131"/>
      <c r="E944" s="174"/>
    </row>
    <row r="945" spans="1:5">
      <c r="A945" s="132"/>
      <c r="B945" s="174"/>
      <c r="C945" s="174"/>
      <c r="D945" s="131"/>
      <c r="E945" s="174"/>
    </row>
    <row r="946" spans="1:5">
      <c r="A946" s="132"/>
      <c r="B946" s="174"/>
      <c r="C946" s="174"/>
      <c r="D946" s="131"/>
      <c r="E946" s="174"/>
    </row>
    <row r="947" spans="1:5">
      <c r="A947" s="132"/>
      <c r="B947" s="174"/>
      <c r="C947" s="174"/>
      <c r="D947" s="131"/>
      <c r="E947" s="174"/>
    </row>
    <row r="948" spans="1:5">
      <c r="A948" s="132"/>
      <c r="B948" s="174"/>
      <c r="C948" s="174"/>
      <c r="D948" s="131"/>
      <c r="E948" s="174"/>
    </row>
    <row r="949" spans="1:5">
      <c r="A949" s="132"/>
      <c r="B949" s="174"/>
      <c r="C949" s="174"/>
      <c r="D949" s="131"/>
      <c r="E949" s="174"/>
    </row>
    <row r="950" spans="1:5">
      <c r="A950" s="132"/>
      <c r="B950" s="174"/>
      <c r="C950" s="174"/>
      <c r="D950" s="131"/>
      <c r="E950" s="174"/>
    </row>
    <row r="951" spans="1:5">
      <c r="A951" s="132"/>
      <c r="B951" s="174"/>
      <c r="C951" s="174"/>
      <c r="D951" s="131"/>
      <c r="E951" s="174"/>
    </row>
    <row r="952" spans="1:5">
      <c r="A952" s="132"/>
      <c r="B952" s="174"/>
      <c r="C952" s="174"/>
      <c r="D952" s="131"/>
      <c r="E952" s="174"/>
    </row>
    <row r="953" spans="1:5">
      <c r="A953" s="132"/>
      <c r="B953" s="174"/>
      <c r="C953" s="174"/>
      <c r="D953" s="131"/>
      <c r="E953" s="174"/>
    </row>
    <row r="954" spans="1:5">
      <c r="A954" s="132"/>
      <c r="B954" s="174"/>
      <c r="C954" s="174"/>
      <c r="D954" s="131"/>
      <c r="E954" s="174"/>
    </row>
    <row r="955" spans="1:5">
      <c r="A955" s="132"/>
      <c r="B955" s="174"/>
      <c r="C955" s="174"/>
      <c r="D955" s="131"/>
      <c r="E955" s="174"/>
    </row>
    <row r="956" spans="1:5">
      <c r="A956" s="132"/>
      <c r="B956" s="174"/>
      <c r="C956" s="174"/>
      <c r="D956" s="131"/>
      <c r="E956" s="174"/>
    </row>
    <row r="957" spans="1:5">
      <c r="A957" s="132"/>
      <c r="B957" s="174"/>
      <c r="C957" s="174"/>
      <c r="D957" s="131"/>
      <c r="E957" s="174"/>
    </row>
    <row r="958" spans="1:5">
      <c r="A958" s="132"/>
      <c r="B958" s="174"/>
      <c r="C958" s="174"/>
      <c r="D958" s="131"/>
      <c r="E958" s="174"/>
    </row>
    <row r="959" spans="1:5">
      <c r="A959" s="132"/>
      <c r="B959" s="174"/>
      <c r="C959" s="174"/>
      <c r="D959" s="131"/>
      <c r="E959" s="174"/>
    </row>
    <row r="960" spans="1:5">
      <c r="A960" s="132"/>
      <c r="B960" s="174"/>
      <c r="C960" s="174"/>
      <c r="D960" s="131"/>
      <c r="E960" s="174"/>
    </row>
    <row r="961" spans="1:5">
      <c r="A961" s="132"/>
      <c r="B961" s="174"/>
      <c r="C961" s="174"/>
      <c r="D961" s="131"/>
      <c r="E961" s="174"/>
    </row>
    <row r="962" spans="1:5">
      <c r="A962" s="132"/>
      <c r="B962" s="174"/>
      <c r="C962" s="174"/>
      <c r="D962" s="131"/>
      <c r="E962" s="174"/>
    </row>
    <row r="963" spans="1:5">
      <c r="A963" s="132"/>
      <c r="B963" s="174"/>
      <c r="C963" s="174"/>
      <c r="D963" s="131"/>
      <c r="E963" s="174"/>
    </row>
    <row r="964" spans="1:5">
      <c r="A964" s="132"/>
      <c r="B964" s="174"/>
      <c r="C964" s="174"/>
      <c r="D964" s="131"/>
      <c r="E964" s="174"/>
    </row>
    <row r="965" spans="1:5">
      <c r="A965" s="132"/>
      <c r="B965" s="174"/>
      <c r="C965" s="174"/>
      <c r="D965" s="131"/>
      <c r="E965" s="174"/>
    </row>
    <row r="966" spans="1:5">
      <c r="A966" s="132"/>
      <c r="B966" s="174"/>
      <c r="C966" s="174"/>
      <c r="D966" s="131"/>
      <c r="E966" s="174"/>
    </row>
    <row r="967" spans="1:5">
      <c r="A967" s="132"/>
      <c r="B967" s="174"/>
      <c r="C967" s="174"/>
      <c r="D967" s="131"/>
      <c r="E967" s="174"/>
    </row>
    <row r="968" spans="1:5">
      <c r="A968" s="132"/>
      <c r="B968" s="174"/>
      <c r="C968" s="174"/>
      <c r="D968" s="131"/>
      <c r="E968" s="174"/>
    </row>
    <row r="969" spans="1:5">
      <c r="A969" s="132"/>
      <c r="B969" s="174"/>
      <c r="C969" s="174"/>
      <c r="D969" s="131"/>
      <c r="E969" s="174"/>
    </row>
    <row r="970" spans="1:5">
      <c r="A970" s="132"/>
      <c r="B970" s="174"/>
      <c r="C970" s="174"/>
      <c r="D970" s="131"/>
      <c r="E970" s="174"/>
    </row>
    <row r="971" spans="1:5">
      <c r="A971" s="132"/>
      <c r="B971" s="174"/>
      <c r="C971" s="174"/>
      <c r="D971" s="131"/>
      <c r="E971" s="174"/>
    </row>
    <row r="972" spans="1:5">
      <c r="A972" s="132"/>
      <c r="B972" s="174"/>
      <c r="C972" s="174"/>
      <c r="D972" s="131"/>
      <c r="E972" s="174"/>
    </row>
    <row r="973" spans="1:5">
      <c r="A973" s="132"/>
      <c r="B973" s="174"/>
      <c r="C973" s="174"/>
      <c r="D973" s="131"/>
      <c r="E973" s="174"/>
    </row>
    <row r="974" spans="1:5">
      <c r="A974" s="132"/>
      <c r="B974" s="174"/>
      <c r="C974" s="174"/>
      <c r="D974" s="131"/>
      <c r="E974" s="174"/>
    </row>
    <row r="975" spans="1:5">
      <c r="A975" s="132"/>
      <c r="B975" s="174"/>
      <c r="C975" s="174"/>
      <c r="D975" s="131"/>
      <c r="E975" s="174"/>
    </row>
    <row r="976" spans="1:5">
      <c r="A976" s="132"/>
      <c r="B976" s="174"/>
      <c r="C976" s="174"/>
      <c r="D976" s="131"/>
      <c r="E976" s="174"/>
    </row>
    <row r="977" spans="1:5">
      <c r="A977" s="132"/>
      <c r="B977" s="174"/>
      <c r="C977" s="174"/>
      <c r="D977" s="131"/>
      <c r="E977" s="174"/>
    </row>
    <row r="978" spans="1:5">
      <c r="A978" s="132"/>
      <c r="B978" s="174"/>
      <c r="C978" s="174"/>
      <c r="D978" s="131"/>
      <c r="E978" s="174"/>
    </row>
    <row r="979" spans="1:5">
      <c r="A979" s="132"/>
      <c r="B979" s="174"/>
      <c r="C979" s="174"/>
      <c r="D979" s="131"/>
      <c r="E979" s="174"/>
    </row>
    <row r="980" spans="1:5">
      <c r="A980" s="132"/>
      <c r="B980" s="174"/>
      <c r="C980" s="174"/>
      <c r="D980" s="131"/>
      <c r="E980" s="174"/>
    </row>
    <row r="981" spans="1:5">
      <c r="A981" s="132"/>
      <c r="B981" s="174"/>
      <c r="C981" s="174"/>
      <c r="D981" s="131"/>
      <c r="E981" s="174"/>
    </row>
    <row r="982" spans="1:5">
      <c r="A982" s="132"/>
      <c r="B982" s="174"/>
      <c r="C982" s="174"/>
      <c r="D982" s="131"/>
      <c r="E982" s="174"/>
    </row>
    <row r="983" spans="1:5">
      <c r="A983" s="132"/>
      <c r="B983" s="174"/>
      <c r="C983" s="174"/>
      <c r="D983" s="131"/>
      <c r="E983" s="174"/>
    </row>
    <row r="984" spans="1:5">
      <c r="A984" s="132"/>
      <c r="B984" s="174"/>
      <c r="C984" s="174"/>
      <c r="D984" s="131"/>
      <c r="E984" s="174"/>
    </row>
    <row r="985" spans="1:5">
      <c r="A985" s="132"/>
      <c r="B985" s="174"/>
      <c r="C985" s="174"/>
      <c r="D985" s="131"/>
      <c r="E985" s="174"/>
    </row>
    <row r="986" spans="1:5">
      <c r="A986" s="132"/>
      <c r="B986" s="174"/>
      <c r="C986" s="174"/>
      <c r="D986" s="131"/>
      <c r="E986" s="174"/>
    </row>
    <row r="987" spans="1:5">
      <c r="A987" s="132"/>
      <c r="B987" s="174"/>
      <c r="C987" s="174"/>
      <c r="D987" s="131"/>
      <c r="E987" s="174"/>
    </row>
    <row r="988" spans="1:5">
      <c r="A988" s="132"/>
      <c r="B988" s="174"/>
      <c r="C988" s="174"/>
      <c r="D988" s="131"/>
      <c r="E988" s="174"/>
    </row>
    <row r="989" spans="1:5">
      <c r="A989" s="132"/>
      <c r="B989" s="174"/>
      <c r="C989" s="174"/>
      <c r="D989" s="131"/>
      <c r="E989" s="174"/>
    </row>
    <row r="990" spans="1:5">
      <c r="A990" s="132"/>
      <c r="B990" s="174"/>
      <c r="C990" s="174"/>
      <c r="D990" s="131"/>
      <c r="E990" s="174"/>
    </row>
    <row r="991" spans="1:5">
      <c r="A991" s="132"/>
      <c r="B991" s="174"/>
      <c r="C991" s="174"/>
      <c r="D991" s="131"/>
      <c r="E991" s="174"/>
    </row>
    <row r="992" spans="1:5">
      <c r="A992" s="132"/>
      <c r="B992" s="174"/>
      <c r="C992" s="174"/>
      <c r="D992" s="131"/>
      <c r="E992" s="174"/>
    </row>
    <row r="993" spans="1:5">
      <c r="A993" s="132"/>
      <c r="B993" s="174"/>
      <c r="C993" s="174"/>
      <c r="D993" s="131"/>
      <c r="E993" s="174"/>
    </row>
    <row r="994" spans="1:5">
      <c r="A994" s="132"/>
      <c r="B994" s="174"/>
      <c r="C994" s="174"/>
      <c r="D994" s="131"/>
      <c r="E994" s="174"/>
    </row>
    <row r="995" spans="1:5">
      <c r="A995" s="132"/>
      <c r="B995" s="174"/>
      <c r="C995" s="174"/>
      <c r="D995" s="131"/>
      <c r="E995" s="174"/>
    </row>
    <row r="996" spans="1:5">
      <c r="A996" s="132"/>
      <c r="B996" s="174"/>
      <c r="C996" s="174"/>
      <c r="D996" s="131"/>
      <c r="E996" s="174"/>
    </row>
    <row r="997" spans="1:5">
      <c r="A997" s="132"/>
      <c r="B997" s="174"/>
      <c r="C997" s="174"/>
      <c r="D997" s="131"/>
      <c r="E997" s="174"/>
    </row>
    <row r="998" spans="1:5">
      <c r="A998" s="132"/>
      <c r="B998" s="174"/>
      <c r="C998" s="174"/>
      <c r="D998" s="131"/>
      <c r="E998" s="174"/>
    </row>
    <row r="999" spans="1:5">
      <c r="A999" s="132"/>
      <c r="B999" s="174"/>
      <c r="C999" s="174"/>
      <c r="D999" s="131"/>
      <c r="E999" s="174"/>
    </row>
    <row r="1000" spans="1:5">
      <c r="A1000" s="132"/>
      <c r="B1000" s="174"/>
      <c r="C1000" s="174"/>
      <c r="D1000" s="131"/>
      <c r="E1000" s="174"/>
    </row>
    <row r="1001" spans="1:5">
      <c r="A1001" s="132"/>
      <c r="B1001" s="174"/>
      <c r="C1001" s="174"/>
      <c r="D1001" s="131"/>
      <c r="E1001" s="174"/>
    </row>
    <row r="1002" spans="1:5">
      <c r="A1002" s="132"/>
      <c r="B1002" s="174"/>
      <c r="C1002" s="174"/>
      <c r="D1002" s="131"/>
      <c r="E1002" s="174"/>
    </row>
    <row r="1003" spans="1:5">
      <c r="A1003" s="132"/>
      <c r="B1003" s="174"/>
      <c r="C1003" s="174"/>
      <c r="D1003" s="131"/>
      <c r="E1003" s="174"/>
    </row>
    <row r="1004" spans="1:5">
      <c r="A1004" s="132"/>
      <c r="B1004" s="174"/>
      <c r="C1004" s="174"/>
      <c r="D1004" s="131"/>
      <c r="E1004" s="174"/>
    </row>
    <row r="1005" spans="1:5">
      <c r="A1005" s="132"/>
      <c r="B1005" s="174"/>
      <c r="C1005" s="174"/>
      <c r="D1005" s="131"/>
      <c r="E1005" s="174"/>
    </row>
    <row r="1006" spans="1:5">
      <c r="A1006" s="132"/>
      <c r="B1006" s="174"/>
      <c r="C1006" s="174"/>
      <c r="D1006" s="131"/>
      <c r="E1006" s="174"/>
    </row>
    <row r="1007" spans="1:5">
      <c r="A1007" s="132"/>
      <c r="B1007" s="174"/>
      <c r="C1007" s="174"/>
      <c r="D1007" s="131"/>
      <c r="E1007" s="174"/>
    </row>
    <row r="1008" spans="1:5">
      <c r="A1008" s="132"/>
      <c r="B1008" s="174"/>
      <c r="C1008" s="174"/>
      <c r="D1008" s="131"/>
      <c r="E1008" s="174"/>
    </row>
    <row r="1009" spans="1:5">
      <c r="A1009" s="132"/>
      <c r="B1009" s="174"/>
      <c r="C1009" s="174"/>
      <c r="D1009" s="131"/>
      <c r="E1009" s="174"/>
    </row>
    <row r="1010" spans="1:5">
      <c r="A1010" s="132"/>
      <c r="B1010" s="174"/>
      <c r="C1010" s="174"/>
      <c r="D1010" s="131"/>
      <c r="E1010" s="174"/>
    </row>
    <row r="1011" spans="1:5">
      <c r="A1011" s="132"/>
      <c r="B1011" s="174"/>
      <c r="C1011" s="174"/>
      <c r="D1011" s="131"/>
      <c r="E1011" s="174"/>
    </row>
    <row r="1012" spans="1:5">
      <c r="A1012" s="132"/>
      <c r="B1012" s="174"/>
      <c r="C1012" s="174"/>
      <c r="D1012" s="131"/>
      <c r="E1012" s="174"/>
    </row>
    <row r="1013" spans="1:5">
      <c r="A1013" s="132"/>
      <c r="B1013" s="174"/>
      <c r="C1013" s="174"/>
      <c r="D1013" s="131"/>
      <c r="E1013" s="174"/>
    </row>
    <row r="1014" spans="1:5">
      <c r="A1014" s="132"/>
      <c r="B1014" s="174"/>
      <c r="C1014" s="174"/>
      <c r="D1014" s="131"/>
      <c r="E1014" s="174"/>
    </row>
    <row r="1015" spans="1:5">
      <c r="A1015" s="132"/>
      <c r="B1015" s="174"/>
      <c r="C1015" s="174"/>
      <c r="D1015" s="131"/>
      <c r="E1015" s="174"/>
    </row>
    <row r="1016" spans="1:5">
      <c r="A1016" s="132"/>
      <c r="B1016" s="174"/>
      <c r="C1016" s="174"/>
      <c r="D1016" s="131"/>
      <c r="E1016" s="174"/>
    </row>
    <row r="1017" spans="1:5">
      <c r="A1017" s="132"/>
      <c r="B1017" s="174"/>
      <c r="C1017" s="174"/>
      <c r="D1017" s="131"/>
      <c r="E1017" s="174"/>
    </row>
    <row r="1018" spans="1:5">
      <c r="A1018" s="132"/>
      <c r="B1018" s="174"/>
      <c r="C1018" s="174"/>
      <c r="D1018" s="131"/>
      <c r="E1018" s="174"/>
    </row>
    <row r="1019" spans="1:5">
      <c r="A1019" s="132"/>
      <c r="B1019" s="174"/>
      <c r="C1019" s="174"/>
      <c r="D1019" s="131"/>
      <c r="E1019" s="174"/>
    </row>
    <row r="1020" spans="1:5">
      <c r="A1020" s="132"/>
      <c r="B1020" s="174"/>
      <c r="C1020" s="174"/>
      <c r="D1020" s="131"/>
      <c r="E1020" s="174"/>
    </row>
    <row r="1021" spans="1:5">
      <c r="A1021" s="132"/>
      <c r="B1021" s="174"/>
      <c r="C1021" s="174"/>
      <c r="D1021" s="131"/>
      <c r="E1021" s="174"/>
    </row>
    <row r="1022" spans="1:5">
      <c r="A1022" s="132"/>
      <c r="B1022" s="174"/>
      <c r="C1022" s="174"/>
      <c r="D1022" s="131"/>
      <c r="E1022" s="174"/>
    </row>
    <row r="1023" spans="1:5">
      <c r="A1023" s="132"/>
      <c r="B1023" s="174"/>
      <c r="C1023" s="174"/>
      <c r="D1023" s="131"/>
      <c r="E1023" s="174"/>
    </row>
    <row r="1024" spans="1:5">
      <c r="A1024" s="132"/>
      <c r="B1024" s="174"/>
      <c r="C1024" s="174"/>
      <c r="D1024" s="131"/>
      <c r="E1024" s="174"/>
    </row>
    <row r="1025" spans="1:5">
      <c r="A1025" s="132"/>
      <c r="B1025" s="174"/>
      <c r="C1025" s="174"/>
      <c r="D1025" s="131"/>
      <c r="E1025" s="174"/>
    </row>
    <row r="1026" spans="1:5">
      <c r="A1026" s="132"/>
      <c r="B1026" s="174"/>
      <c r="C1026" s="174"/>
      <c r="D1026" s="131"/>
      <c r="E1026" s="174"/>
    </row>
    <row r="1027" spans="1:5">
      <c r="A1027" s="132"/>
      <c r="B1027" s="174"/>
      <c r="C1027" s="174"/>
      <c r="D1027" s="131"/>
      <c r="E1027" s="174"/>
    </row>
    <row r="1028" spans="1:5">
      <c r="A1028" s="132"/>
      <c r="B1028" s="174"/>
      <c r="C1028" s="174"/>
      <c r="D1028" s="131"/>
      <c r="E1028" s="174"/>
    </row>
    <row r="1029" spans="1:5">
      <c r="A1029" s="132"/>
      <c r="B1029" s="174"/>
      <c r="C1029" s="174"/>
      <c r="D1029" s="131"/>
      <c r="E1029" s="174"/>
    </row>
    <row r="1030" spans="1:5">
      <c r="A1030" s="132"/>
      <c r="B1030" s="174"/>
      <c r="C1030" s="174"/>
      <c r="D1030" s="131"/>
      <c r="E1030" s="174"/>
    </row>
    <row r="1031" spans="1:5">
      <c r="A1031" s="132"/>
      <c r="B1031" s="174"/>
      <c r="C1031" s="174"/>
      <c r="D1031" s="131"/>
      <c r="E1031" s="174"/>
    </row>
    <row r="1032" spans="1:5">
      <c r="A1032" s="132"/>
      <c r="B1032" s="174"/>
      <c r="C1032" s="174"/>
      <c r="D1032" s="131"/>
      <c r="E1032" s="174"/>
    </row>
    <row r="1033" spans="1:5">
      <c r="A1033" s="132"/>
      <c r="B1033" s="174"/>
      <c r="C1033" s="174"/>
      <c r="D1033" s="131"/>
      <c r="E1033" s="174"/>
    </row>
    <row r="1034" spans="1:5">
      <c r="A1034" s="132"/>
      <c r="B1034" s="174"/>
      <c r="C1034" s="174"/>
      <c r="D1034" s="131"/>
      <c r="E1034" s="174"/>
    </row>
    <row r="1035" spans="1:5">
      <c r="A1035" s="132"/>
      <c r="B1035" s="174"/>
      <c r="C1035" s="174"/>
      <c r="D1035" s="131"/>
      <c r="E1035" s="174"/>
    </row>
    <row r="1036" spans="1:5">
      <c r="A1036" s="132"/>
      <c r="B1036" s="174"/>
      <c r="C1036" s="174"/>
      <c r="D1036" s="131"/>
      <c r="E1036" s="174"/>
    </row>
    <row r="1037" spans="1:5">
      <c r="A1037" s="132"/>
      <c r="B1037" s="174"/>
      <c r="C1037" s="174"/>
      <c r="D1037" s="131"/>
      <c r="E1037" s="174"/>
    </row>
    <row r="1038" spans="1:5">
      <c r="A1038" s="132"/>
      <c r="B1038" s="174"/>
      <c r="C1038" s="174"/>
      <c r="D1038" s="131"/>
      <c r="E1038" s="174"/>
    </row>
    <row r="1039" spans="1:5">
      <c r="A1039" s="132"/>
      <c r="B1039" s="174"/>
      <c r="C1039" s="174"/>
      <c r="D1039" s="131"/>
      <c r="E1039" s="174"/>
    </row>
    <row r="1040" spans="1:5">
      <c r="A1040" s="132"/>
      <c r="B1040" s="174"/>
      <c r="C1040" s="174"/>
      <c r="D1040" s="131"/>
      <c r="E1040" s="174"/>
    </row>
    <row r="1041" spans="1:5">
      <c r="A1041" s="132"/>
      <c r="B1041" s="174"/>
      <c r="C1041" s="174"/>
      <c r="D1041" s="131"/>
      <c r="E1041" s="174"/>
    </row>
    <row r="1042" spans="1:5">
      <c r="A1042" s="132"/>
      <c r="B1042" s="174"/>
      <c r="C1042" s="174"/>
      <c r="D1042" s="131"/>
      <c r="E1042" s="174"/>
    </row>
    <row r="1043" spans="1:5">
      <c r="A1043" s="132"/>
      <c r="B1043" s="174"/>
      <c r="C1043" s="174"/>
      <c r="D1043" s="131"/>
      <c r="E1043" s="174"/>
    </row>
    <row r="1044" spans="1:5">
      <c r="A1044" s="132"/>
      <c r="B1044" s="174"/>
      <c r="C1044" s="174"/>
      <c r="D1044" s="131"/>
      <c r="E1044" s="174"/>
    </row>
    <row r="1045" spans="1:5">
      <c r="A1045" s="132"/>
      <c r="B1045" s="174"/>
      <c r="C1045" s="174"/>
      <c r="D1045" s="131"/>
      <c r="E1045" s="174"/>
    </row>
    <row r="1046" spans="1:5">
      <c r="A1046" s="132"/>
      <c r="B1046" s="174"/>
      <c r="C1046" s="174"/>
      <c r="D1046" s="131"/>
      <c r="E1046" s="174"/>
    </row>
    <row r="1047" spans="1:5">
      <c r="A1047" s="132"/>
      <c r="B1047" s="174"/>
      <c r="C1047" s="174"/>
      <c r="D1047" s="131"/>
      <c r="E1047" s="174"/>
    </row>
    <row r="1048" spans="1:5">
      <c r="A1048" s="132"/>
      <c r="B1048" s="174"/>
      <c r="C1048" s="174"/>
      <c r="D1048" s="131"/>
      <c r="E1048" s="174"/>
    </row>
    <row r="1049" spans="1:5">
      <c r="A1049" s="132"/>
      <c r="B1049" s="174"/>
      <c r="C1049" s="174"/>
      <c r="D1049" s="131"/>
      <c r="E1049" s="174"/>
    </row>
    <row r="1050" spans="1:5">
      <c r="A1050" s="132"/>
      <c r="B1050" s="174"/>
      <c r="C1050" s="174"/>
      <c r="D1050" s="131"/>
      <c r="E1050" s="174"/>
    </row>
    <row r="1051" spans="1:5">
      <c r="A1051" s="132"/>
      <c r="B1051" s="174"/>
      <c r="C1051" s="174"/>
      <c r="D1051" s="131"/>
      <c r="E1051" s="174"/>
    </row>
    <row r="1052" spans="1:5">
      <c r="A1052" s="132"/>
      <c r="B1052" s="174"/>
      <c r="C1052" s="174"/>
      <c r="D1052" s="131"/>
      <c r="E1052" s="174"/>
    </row>
    <row r="1053" spans="1:5">
      <c r="A1053" s="132"/>
      <c r="B1053" s="174"/>
      <c r="C1053" s="174"/>
      <c r="D1053" s="131"/>
      <c r="E1053" s="174"/>
    </row>
    <row r="1054" spans="1:5">
      <c r="A1054" s="132"/>
      <c r="B1054" s="174"/>
      <c r="C1054" s="174"/>
      <c r="D1054" s="131"/>
      <c r="E1054" s="174"/>
    </row>
    <row r="1055" spans="1:5">
      <c r="A1055" s="132"/>
      <c r="B1055" s="174"/>
      <c r="C1055" s="174"/>
      <c r="D1055" s="131"/>
      <c r="E1055" s="174"/>
    </row>
    <row r="1056" spans="1:5">
      <c r="A1056" s="132"/>
      <c r="B1056" s="174"/>
      <c r="C1056" s="174"/>
      <c r="D1056" s="131"/>
      <c r="E1056" s="174"/>
    </row>
    <row r="1057" spans="1:5">
      <c r="A1057" s="132"/>
      <c r="B1057" s="174"/>
      <c r="C1057" s="174"/>
      <c r="D1057" s="131"/>
      <c r="E1057" s="174"/>
    </row>
    <row r="1058" spans="1:5">
      <c r="A1058" s="132"/>
      <c r="B1058" s="174"/>
      <c r="C1058" s="174"/>
      <c r="D1058" s="131"/>
      <c r="E1058" s="174"/>
    </row>
    <row r="1059" spans="1:5">
      <c r="A1059" s="132"/>
      <c r="B1059" s="174"/>
      <c r="C1059" s="174"/>
      <c r="D1059" s="131"/>
      <c r="E1059" s="174"/>
    </row>
    <row r="1060" spans="1:5">
      <c r="A1060" s="132"/>
      <c r="B1060" s="174"/>
      <c r="C1060" s="174"/>
      <c r="D1060" s="131"/>
      <c r="E1060" s="174"/>
    </row>
    <row r="1061" spans="1:5">
      <c r="A1061" s="132"/>
      <c r="B1061" s="174"/>
      <c r="C1061" s="174"/>
      <c r="D1061" s="131"/>
      <c r="E1061" s="174"/>
    </row>
    <row r="1062" spans="1:5">
      <c r="A1062" s="132"/>
      <c r="B1062" s="174"/>
      <c r="C1062" s="174"/>
      <c r="D1062" s="131"/>
      <c r="E1062" s="174"/>
    </row>
    <row r="1063" spans="1:5">
      <c r="A1063" s="132"/>
      <c r="B1063" s="174"/>
      <c r="C1063" s="174"/>
      <c r="D1063" s="131"/>
      <c r="E1063" s="174"/>
    </row>
    <row r="1064" spans="1:5">
      <c r="A1064" s="132"/>
      <c r="B1064" s="174"/>
      <c r="C1064" s="174"/>
      <c r="D1064" s="131"/>
      <c r="E1064" s="174"/>
    </row>
    <row r="1065" spans="1:5">
      <c r="A1065" s="132"/>
      <c r="B1065" s="174"/>
      <c r="C1065" s="174"/>
      <c r="D1065" s="131"/>
      <c r="E1065" s="174"/>
    </row>
    <row r="1066" spans="1:5">
      <c r="A1066" s="132"/>
      <c r="B1066" s="174"/>
      <c r="C1066" s="174"/>
      <c r="D1066" s="131"/>
      <c r="E1066" s="174"/>
    </row>
    <row r="1067" spans="1:5">
      <c r="A1067" s="132"/>
      <c r="B1067" s="174"/>
      <c r="C1067" s="174"/>
      <c r="D1067" s="131"/>
      <c r="E1067" s="174"/>
    </row>
    <row r="1068" spans="1:5">
      <c r="A1068" s="132"/>
      <c r="B1068" s="174"/>
      <c r="C1068" s="174"/>
      <c r="D1068" s="131"/>
      <c r="E1068" s="174"/>
    </row>
    <row r="1069" spans="1:5">
      <c r="A1069" s="132"/>
      <c r="B1069" s="174"/>
      <c r="C1069" s="174"/>
      <c r="D1069" s="131"/>
      <c r="E1069" s="174"/>
    </row>
    <row r="1070" spans="1:5">
      <c r="A1070" s="132"/>
      <c r="B1070" s="174"/>
      <c r="C1070" s="174"/>
      <c r="D1070" s="131"/>
      <c r="E1070" s="174"/>
    </row>
    <row r="1071" spans="1:5">
      <c r="A1071" s="132"/>
      <c r="B1071" s="174"/>
      <c r="C1071" s="174"/>
      <c r="D1071" s="131"/>
      <c r="E1071" s="174"/>
    </row>
    <row r="1072" spans="1:5">
      <c r="A1072" s="132"/>
      <c r="B1072" s="174"/>
      <c r="C1072" s="174"/>
      <c r="D1072" s="131"/>
      <c r="E1072" s="174"/>
    </row>
    <row r="1073" spans="1:5">
      <c r="A1073" s="132"/>
      <c r="B1073" s="174"/>
      <c r="C1073" s="174"/>
      <c r="D1073" s="131"/>
      <c r="E1073" s="174"/>
    </row>
    <row r="1074" spans="1:5">
      <c r="A1074" s="132"/>
      <c r="B1074" s="174"/>
      <c r="C1074" s="174"/>
      <c r="D1074" s="131"/>
      <c r="E1074" s="174"/>
    </row>
    <row r="1075" spans="1:5">
      <c r="A1075" s="132"/>
      <c r="B1075" s="174"/>
      <c r="C1075" s="174"/>
      <c r="D1075" s="131"/>
      <c r="E1075" s="174"/>
    </row>
    <row r="1076" spans="1:5">
      <c r="A1076" s="132"/>
      <c r="B1076" s="174"/>
      <c r="C1076" s="174"/>
      <c r="D1076" s="131"/>
      <c r="E1076" s="174"/>
    </row>
    <row r="1077" spans="1:5">
      <c r="A1077" s="132"/>
      <c r="B1077" s="174"/>
      <c r="C1077" s="174"/>
      <c r="D1077" s="131"/>
      <c r="E1077" s="174"/>
    </row>
    <row r="1078" spans="1:5">
      <c r="A1078" s="132"/>
      <c r="B1078" s="174"/>
      <c r="C1078" s="174"/>
      <c r="D1078" s="131"/>
      <c r="E1078" s="174"/>
    </row>
    <row r="1079" spans="1:5">
      <c r="A1079" s="132"/>
      <c r="B1079" s="174"/>
      <c r="C1079" s="174"/>
      <c r="D1079" s="131"/>
      <c r="E1079" s="174"/>
    </row>
    <row r="1080" spans="1:5">
      <c r="A1080" s="132"/>
      <c r="B1080" s="174"/>
      <c r="C1080" s="174"/>
      <c r="D1080" s="131"/>
      <c r="E1080" s="174"/>
    </row>
    <row r="1081" spans="1:5">
      <c r="A1081" s="132"/>
      <c r="B1081" s="174"/>
      <c r="C1081" s="174"/>
      <c r="D1081" s="131"/>
      <c r="E1081" s="174"/>
    </row>
    <row r="1082" spans="1:5">
      <c r="A1082" s="132"/>
      <c r="B1082" s="174"/>
      <c r="C1082" s="174"/>
      <c r="D1082" s="131"/>
      <c r="E1082" s="174"/>
    </row>
    <row r="1083" spans="1:5">
      <c r="A1083" s="132"/>
      <c r="B1083" s="174"/>
      <c r="C1083" s="174"/>
      <c r="D1083" s="131"/>
      <c r="E1083" s="174"/>
    </row>
    <row r="1084" spans="1:5">
      <c r="A1084" s="132"/>
      <c r="B1084" s="174"/>
      <c r="C1084" s="174"/>
      <c r="D1084" s="131"/>
      <c r="E1084" s="174"/>
    </row>
    <row r="1085" spans="1:5">
      <c r="A1085" s="132"/>
      <c r="B1085" s="174"/>
      <c r="C1085" s="174"/>
      <c r="D1085" s="131"/>
      <c r="E1085" s="174"/>
    </row>
    <row r="1086" spans="1:5">
      <c r="A1086" s="132"/>
      <c r="B1086" s="174"/>
      <c r="C1086" s="174"/>
      <c r="D1086" s="131"/>
      <c r="E1086" s="174"/>
    </row>
    <row r="1087" spans="1:5">
      <c r="A1087" s="132"/>
      <c r="B1087" s="174"/>
      <c r="C1087" s="174"/>
      <c r="D1087" s="131"/>
      <c r="E1087" s="174"/>
    </row>
    <row r="1088" spans="1:5">
      <c r="A1088" s="132"/>
      <c r="B1088" s="174"/>
      <c r="C1088" s="174"/>
      <c r="D1088" s="131"/>
      <c r="E1088" s="174"/>
    </row>
    <row r="1089" spans="1:5">
      <c r="A1089" s="132"/>
      <c r="B1089" s="174"/>
      <c r="C1089" s="174"/>
      <c r="D1089" s="131"/>
      <c r="E1089" s="174"/>
    </row>
    <row r="1090" spans="1:5">
      <c r="A1090" s="132"/>
      <c r="B1090" s="174"/>
      <c r="C1090" s="174"/>
      <c r="D1090" s="131"/>
      <c r="E1090" s="174"/>
    </row>
    <row r="1091" spans="1:5">
      <c r="A1091" s="132"/>
      <c r="B1091" s="174"/>
      <c r="C1091" s="174"/>
      <c r="D1091" s="131"/>
      <c r="E1091" s="174"/>
    </row>
    <row r="1092" spans="1:5">
      <c r="A1092" s="132"/>
      <c r="B1092" s="174"/>
      <c r="C1092" s="174"/>
      <c r="D1092" s="131"/>
      <c r="E1092" s="174"/>
    </row>
    <row r="1093" spans="1:5">
      <c r="A1093" s="132"/>
      <c r="B1093" s="174"/>
      <c r="C1093" s="174"/>
      <c r="D1093" s="131"/>
      <c r="E1093" s="174"/>
    </row>
    <row r="1094" spans="1:5">
      <c r="A1094" s="132"/>
      <c r="B1094" s="174"/>
      <c r="C1094" s="174"/>
      <c r="D1094" s="131"/>
      <c r="E1094" s="174"/>
    </row>
    <row r="1095" spans="1:5">
      <c r="A1095" s="132"/>
      <c r="B1095" s="174"/>
      <c r="C1095" s="174"/>
      <c r="D1095" s="131"/>
      <c r="E1095" s="174"/>
    </row>
    <row r="1096" spans="1:5">
      <c r="A1096" s="132"/>
      <c r="B1096" s="174"/>
      <c r="C1096" s="174"/>
      <c r="D1096" s="131"/>
      <c r="E1096" s="174"/>
    </row>
    <row r="1097" spans="1:5">
      <c r="A1097" s="132"/>
      <c r="B1097" s="174"/>
      <c r="C1097" s="174"/>
      <c r="D1097" s="131"/>
      <c r="E1097" s="174"/>
    </row>
    <row r="1098" spans="1:5">
      <c r="A1098" s="132"/>
      <c r="B1098" s="174"/>
      <c r="C1098" s="174"/>
      <c r="D1098" s="131"/>
      <c r="E1098" s="174"/>
    </row>
    <row r="1099" spans="1:5">
      <c r="A1099" s="132"/>
      <c r="B1099" s="174"/>
      <c r="C1099" s="174"/>
      <c r="D1099" s="131"/>
      <c r="E1099" s="174"/>
    </row>
    <row r="1100" spans="1:5">
      <c r="A1100" s="132"/>
      <c r="B1100" s="174"/>
      <c r="C1100" s="174"/>
      <c r="D1100" s="131"/>
      <c r="E1100" s="174"/>
    </row>
    <row r="1101" spans="1:5">
      <c r="A1101" s="132"/>
      <c r="B1101" s="174"/>
      <c r="C1101" s="174"/>
      <c r="D1101" s="131"/>
      <c r="E1101" s="174"/>
    </row>
    <row r="1102" spans="1:5">
      <c r="A1102" s="132"/>
      <c r="B1102" s="174"/>
      <c r="C1102" s="174"/>
      <c r="D1102" s="131"/>
      <c r="E1102" s="174"/>
    </row>
    <row r="1103" spans="1:5">
      <c r="A1103" s="132"/>
      <c r="B1103" s="174"/>
      <c r="C1103" s="174"/>
      <c r="D1103" s="131"/>
      <c r="E1103" s="174"/>
    </row>
    <row r="1104" spans="1:5">
      <c r="A1104" s="132"/>
      <c r="B1104" s="174"/>
      <c r="C1104" s="174"/>
      <c r="D1104" s="131"/>
      <c r="E1104" s="174"/>
    </row>
    <row r="1105" spans="1:5">
      <c r="A1105" s="132"/>
      <c r="B1105" s="174"/>
      <c r="C1105" s="174"/>
      <c r="D1105" s="131"/>
      <c r="E1105" s="174"/>
    </row>
    <row r="1106" spans="1:5">
      <c r="A1106" s="132"/>
      <c r="B1106" s="174"/>
      <c r="C1106" s="174"/>
      <c r="D1106" s="131"/>
      <c r="E1106" s="174"/>
    </row>
    <row r="1107" spans="1:5">
      <c r="A1107" s="132"/>
      <c r="B1107" s="174"/>
      <c r="C1107" s="174"/>
      <c r="D1107" s="131"/>
      <c r="E1107" s="174"/>
    </row>
    <row r="1108" spans="1:5">
      <c r="A1108" s="132"/>
      <c r="B1108" s="174"/>
      <c r="C1108" s="174"/>
      <c r="D1108" s="131"/>
      <c r="E1108" s="174"/>
    </row>
    <row r="1109" spans="1:5">
      <c r="A1109" s="132"/>
      <c r="B1109" s="174"/>
      <c r="C1109" s="174"/>
      <c r="D1109" s="131"/>
      <c r="E1109" s="174"/>
    </row>
    <row r="1110" spans="1:5">
      <c r="A1110" s="132"/>
      <c r="B1110" s="174"/>
      <c r="C1110" s="174"/>
      <c r="D1110" s="131"/>
      <c r="E1110" s="174"/>
    </row>
    <row r="1111" spans="1:5">
      <c r="A1111" s="132"/>
      <c r="B1111" s="174"/>
      <c r="C1111" s="174"/>
      <c r="D1111" s="131"/>
      <c r="E1111" s="174"/>
    </row>
    <row r="1112" spans="1:5">
      <c r="A1112" s="132"/>
      <c r="B1112" s="174"/>
      <c r="C1112" s="174"/>
      <c r="D1112" s="131"/>
      <c r="E1112" s="174"/>
    </row>
    <row r="1113" spans="1:5">
      <c r="A1113" s="132"/>
      <c r="B1113" s="174"/>
      <c r="C1113" s="174"/>
      <c r="D1113" s="131"/>
      <c r="E1113" s="174"/>
    </row>
    <row r="1114" spans="1:5">
      <c r="A1114" s="132"/>
      <c r="B1114" s="174"/>
      <c r="C1114" s="174"/>
      <c r="D1114" s="131"/>
      <c r="E1114" s="174"/>
    </row>
    <row r="1115" spans="1:5">
      <c r="A1115" s="132"/>
      <c r="B1115" s="174"/>
      <c r="C1115" s="174"/>
      <c r="D1115" s="131"/>
      <c r="E1115" s="174"/>
    </row>
    <row r="1116" spans="1:5">
      <c r="A1116" s="132"/>
      <c r="B1116" s="174"/>
      <c r="C1116" s="174"/>
      <c r="D1116" s="131"/>
      <c r="E1116" s="174"/>
    </row>
    <row r="1117" spans="1:5">
      <c r="A1117" s="132"/>
      <c r="B1117" s="174"/>
      <c r="C1117" s="174"/>
      <c r="D1117" s="131"/>
      <c r="E1117" s="174"/>
    </row>
    <row r="1118" spans="1:5">
      <c r="A1118" s="132"/>
      <c r="B1118" s="174"/>
      <c r="C1118" s="174"/>
      <c r="D1118" s="131"/>
      <c r="E1118" s="174"/>
    </row>
    <row r="1119" spans="1:5">
      <c r="A1119" s="132"/>
      <c r="B1119" s="174"/>
      <c r="C1119" s="174"/>
      <c r="D1119" s="131"/>
      <c r="E1119" s="174"/>
    </row>
    <row r="1120" spans="1:5">
      <c r="A1120" s="132"/>
      <c r="B1120" s="174"/>
      <c r="C1120" s="174"/>
      <c r="D1120" s="131"/>
      <c r="E1120" s="174"/>
    </row>
    <row r="1121" spans="1:5">
      <c r="A1121" s="132"/>
      <c r="B1121" s="174"/>
      <c r="C1121" s="174"/>
      <c r="D1121" s="131"/>
      <c r="E1121" s="174"/>
    </row>
    <row r="1122" spans="1:5">
      <c r="A1122" s="132"/>
      <c r="B1122" s="174"/>
      <c r="C1122" s="174"/>
      <c r="D1122" s="131"/>
      <c r="E1122" s="174"/>
    </row>
    <row r="1123" spans="1:5">
      <c r="A1123" s="132"/>
      <c r="B1123" s="174"/>
      <c r="C1123" s="174"/>
      <c r="D1123" s="131"/>
      <c r="E1123" s="174"/>
    </row>
    <row r="1124" spans="1:5">
      <c r="A1124" s="132"/>
      <c r="B1124" s="174"/>
      <c r="C1124" s="174"/>
      <c r="D1124" s="131"/>
      <c r="E1124" s="174"/>
    </row>
    <row r="1125" spans="1:5">
      <c r="A1125" s="132"/>
      <c r="B1125" s="174"/>
      <c r="C1125" s="174"/>
      <c r="D1125" s="131"/>
      <c r="E1125" s="174"/>
    </row>
    <row r="1126" spans="1:5">
      <c r="A1126" s="132"/>
      <c r="B1126" s="174"/>
      <c r="C1126" s="174"/>
      <c r="D1126" s="131"/>
      <c r="E1126" s="174"/>
    </row>
    <row r="1127" spans="1:5">
      <c r="A1127" s="132"/>
      <c r="B1127" s="174"/>
      <c r="C1127" s="174"/>
      <c r="D1127" s="131"/>
      <c r="E1127" s="174"/>
    </row>
    <row r="1128" spans="1:5">
      <c r="A1128" s="132"/>
      <c r="B1128" s="174"/>
      <c r="C1128" s="174"/>
      <c r="D1128" s="131"/>
      <c r="E1128" s="174"/>
    </row>
    <row r="1129" spans="1:5">
      <c r="A1129" s="132"/>
      <c r="B1129" s="174"/>
      <c r="C1129" s="174"/>
      <c r="D1129" s="131"/>
      <c r="E1129" s="174"/>
    </row>
    <row r="1130" spans="1:5">
      <c r="A1130" s="132"/>
      <c r="B1130" s="174"/>
      <c r="C1130" s="174"/>
      <c r="D1130" s="131"/>
      <c r="E1130" s="174"/>
    </row>
    <row r="1131" spans="1:5">
      <c r="A1131" s="132"/>
      <c r="B1131" s="174"/>
      <c r="C1131" s="174"/>
      <c r="D1131" s="131"/>
      <c r="E1131" s="174"/>
    </row>
    <row r="1132" spans="1:5">
      <c r="A1132" s="132"/>
      <c r="B1132" s="174"/>
      <c r="C1132" s="174"/>
      <c r="D1132" s="131"/>
      <c r="E1132" s="174"/>
    </row>
    <row r="1133" spans="1:5">
      <c r="A1133" s="132"/>
      <c r="B1133" s="174"/>
      <c r="C1133" s="174"/>
      <c r="D1133" s="131"/>
      <c r="E1133" s="174"/>
    </row>
    <row r="1134" spans="1:5">
      <c r="A1134" s="132"/>
      <c r="B1134" s="174"/>
      <c r="C1134" s="174"/>
      <c r="D1134" s="131"/>
      <c r="E1134" s="174"/>
    </row>
    <row r="1135" spans="1:5">
      <c r="A1135" s="132"/>
      <c r="B1135" s="174"/>
      <c r="C1135" s="174"/>
      <c r="D1135" s="131"/>
      <c r="E1135" s="174"/>
    </row>
    <row r="1136" spans="1:5">
      <c r="A1136" s="132"/>
      <c r="B1136" s="174"/>
      <c r="C1136" s="174"/>
      <c r="D1136" s="131"/>
      <c r="E1136" s="174"/>
    </row>
    <row r="1137" spans="1:5">
      <c r="A1137" s="132"/>
      <c r="B1137" s="174"/>
      <c r="C1137" s="174"/>
      <c r="D1137" s="131"/>
      <c r="E1137" s="174"/>
    </row>
    <row r="1138" spans="1:5">
      <c r="A1138" s="132"/>
      <c r="B1138" s="174"/>
      <c r="C1138" s="174"/>
      <c r="D1138" s="131"/>
      <c r="E1138" s="174"/>
    </row>
    <row r="1139" spans="1:5">
      <c r="A1139" s="132"/>
      <c r="B1139" s="174"/>
      <c r="C1139" s="174"/>
      <c r="D1139" s="131"/>
      <c r="E1139" s="174"/>
    </row>
    <row r="1140" spans="1:5">
      <c r="A1140" s="132"/>
      <c r="B1140" s="174"/>
      <c r="C1140" s="174"/>
      <c r="D1140" s="131"/>
      <c r="E1140" s="174"/>
    </row>
    <row r="1141" spans="1:5">
      <c r="A1141" s="132"/>
      <c r="B1141" s="174"/>
      <c r="C1141" s="174"/>
      <c r="D1141" s="131"/>
      <c r="E1141" s="174"/>
    </row>
    <row r="1142" spans="1:5">
      <c r="A1142" s="132"/>
      <c r="B1142" s="174"/>
      <c r="C1142" s="174"/>
      <c r="D1142" s="131"/>
      <c r="E1142" s="174"/>
    </row>
    <row r="1143" spans="1:5">
      <c r="A1143" s="132"/>
      <c r="B1143" s="174"/>
      <c r="C1143" s="174"/>
      <c r="D1143" s="131"/>
      <c r="E1143" s="174"/>
    </row>
    <row r="1144" spans="1:5">
      <c r="A1144" s="132"/>
      <c r="B1144" s="174"/>
      <c r="C1144" s="174"/>
      <c r="D1144" s="131"/>
      <c r="E1144" s="174"/>
    </row>
    <row r="1145" spans="1:5">
      <c r="A1145" s="132"/>
      <c r="B1145" s="174"/>
      <c r="C1145" s="174"/>
      <c r="D1145" s="131"/>
      <c r="E1145" s="174"/>
    </row>
    <row r="1146" spans="1:5">
      <c r="A1146" s="132"/>
      <c r="B1146" s="174"/>
      <c r="C1146" s="174"/>
      <c r="D1146" s="131"/>
      <c r="E1146" s="174"/>
    </row>
    <row r="1147" spans="1:5">
      <c r="A1147" s="132"/>
      <c r="B1147" s="174"/>
      <c r="C1147" s="174"/>
      <c r="D1147" s="131"/>
      <c r="E1147" s="174"/>
    </row>
    <row r="1148" spans="1:5">
      <c r="A1148" s="132"/>
      <c r="B1148" s="174"/>
      <c r="C1148" s="174"/>
      <c r="D1148" s="131"/>
      <c r="E1148" s="174"/>
    </row>
    <row r="1149" spans="1:5">
      <c r="A1149" s="132"/>
      <c r="B1149" s="174"/>
      <c r="C1149" s="174"/>
      <c r="D1149" s="131"/>
      <c r="E1149" s="174"/>
    </row>
    <row r="1150" spans="1:5">
      <c r="A1150" s="132"/>
      <c r="B1150" s="174"/>
      <c r="C1150" s="174"/>
      <c r="D1150" s="131"/>
      <c r="E1150" s="174"/>
    </row>
    <row r="1151" spans="1:5">
      <c r="A1151" s="132"/>
      <c r="B1151" s="174"/>
      <c r="C1151" s="174"/>
      <c r="D1151" s="131"/>
      <c r="E1151" s="174"/>
    </row>
    <row r="1152" spans="1:5">
      <c r="A1152" s="132"/>
      <c r="B1152" s="174"/>
      <c r="C1152" s="174"/>
      <c r="D1152" s="131"/>
      <c r="E1152" s="174"/>
    </row>
    <row r="1153" spans="1:5">
      <c r="A1153" s="132"/>
      <c r="B1153" s="174"/>
      <c r="C1153" s="174"/>
      <c r="D1153" s="131"/>
      <c r="E1153" s="174"/>
    </row>
    <row r="1154" spans="1:5">
      <c r="A1154" s="132"/>
      <c r="B1154" s="174"/>
      <c r="C1154" s="174"/>
      <c r="D1154" s="131"/>
      <c r="E1154" s="174"/>
    </row>
    <row r="1155" spans="1:5">
      <c r="A1155" s="132"/>
      <c r="B1155" s="174"/>
      <c r="C1155" s="174"/>
      <c r="D1155" s="131"/>
      <c r="E1155" s="174"/>
    </row>
    <row r="1156" spans="1:5">
      <c r="A1156" s="132"/>
      <c r="B1156" s="174"/>
      <c r="C1156" s="174"/>
      <c r="D1156" s="131"/>
      <c r="E1156" s="174"/>
    </row>
    <row r="1157" spans="1:5">
      <c r="A1157" s="132"/>
      <c r="B1157" s="174"/>
      <c r="C1157" s="174"/>
      <c r="D1157" s="131"/>
      <c r="E1157" s="174"/>
    </row>
    <row r="1158" spans="1:5">
      <c r="A1158" s="132"/>
      <c r="B1158" s="174"/>
      <c r="C1158" s="174"/>
      <c r="D1158" s="131"/>
      <c r="E1158" s="174"/>
    </row>
    <row r="1159" spans="1:5">
      <c r="A1159" s="132"/>
      <c r="B1159" s="174"/>
      <c r="C1159" s="174"/>
      <c r="D1159" s="131"/>
      <c r="E1159" s="174"/>
    </row>
    <row r="1160" spans="1:5">
      <c r="A1160" s="132"/>
      <c r="B1160" s="174"/>
      <c r="C1160" s="174"/>
      <c r="D1160" s="131"/>
      <c r="E1160" s="174"/>
    </row>
    <row r="1161" spans="1:5">
      <c r="A1161" s="132"/>
      <c r="B1161" s="174"/>
      <c r="C1161" s="174"/>
      <c r="D1161" s="131"/>
      <c r="E1161" s="174"/>
    </row>
    <row r="1162" spans="1:5">
      <c r="A1162" s="132"/>
      <c r="B1162" s="174"/>
      <c r="C1162" s="174"/>
      <c r="D1162" s="131"/>
      <c r="E1162" s="174"/>
    </row>
    <row r="1163" spans="1:5">
      <c r="A1163" s="132"/>
      <c r="B1163" s="174"/>
      <c r="C1163" s="174"/>
      <c r="D1163" s="131"/>
      <c r="E1163" s="174"/>
    </row>
    <row r="1164" spans="1:5">
      <c r="A1164" s="132"/>
      <c r="B1164" s="174"/>
      <c r="C1164" s="174"/>
      <c r="D1164" s="131"/>
      <c r="E1164" s="174"/>
    </row>
    <row r="1165" spans="1:5">
      <c r="A1165" s="132"/>
      <c r="B1165" s="174"/>
      <c r="C1165" s="174"/>
      <c r="D1165" s="131"/>
      <c r="E1165" s="174"/>
    </row>
    <row r="1166" spans="1:5">
      <c r="A1166" s="132"/>
      <c r="B1166" s="174"/>
      <c r="C1166" s="174"/>
      <c r="D1166" s="131"/>
      <c r="E1166" s="174"/>
    </row>
    <row r="1167" spans="1:5">
      <c r="A1167" s="132"/>
      <c r="B1167" s="174"/>
      <c r="C1167" s="174"/>
      <c r="D1167" s="131"/>
      <c r="E1167" s="174"/>
    </row>
    <row r="1168" spans="1:5">
      <c r="A1168" s="132"/>
      <c r="B1168" s="174"/>
      <c r="C1168" s="174"/>
      <c r="D1168" s="131"/>
      <c r="E1168" s="174"/>
    </row>
    <row r="1169" spans="1:5">
      <c r="A1169" s="132"/>
      <c r="B1169" s="174"/>
      <c r="C1169" s="174"/>
      <c r="D1169" s="131"/>
      <c r="E1169" s="174"/>
    </row>
    <row r="1170" spans="1:5">
      <c r="A1170" s="132"/>
      <c r="B1170" s="174"/>
      <c r="C1170" s="174"/>
      <c r="D1170" s="131"/>
      <c r="E1170" s="174"/>
    </row>
    <row r="1171" spans="1:5">
      <c r="A1171" s="132"/>
      <c r="B1171" s="174"/>
      <c r="C1171" s="174"/>
      <c r="D1171" s="131"/>
      <c r="E1171" s="174"/>
    </row>
    <row r="1172" spans="1:5">
      <c r="A1172" s="132"/>
      <c r="B1172" s="174"/>
      <c r="C1172" s="174"/>
      <c r="D1172" s="131"/>
      <c r="E1172" s="174"/>
    </row>
    <row r="1173" spans="1:5">
      <c r="A1173" s="132"/>
      <c r="B1173" s="174"/>
      <c r="C1173" s="174"/>
      <c r="D1173" s="131"/>
      <c r="E1173" s="174"/>
    </row>
    <row r="1174" spans="1:5">
      <c r="A1174" s="132"/>
      <c r="B1174" s="174"/>
      <c r="C1174" s="174"/>
      <c r="D1174" s="131"/>
      <c r="E1174" s="174"/>
    </row>
    <row r="1175" spans="1:5">
      <c r="A1175" s="132"/>
      <c r="B1175" s="174"/>
      <c r="C1175" s="174"/>
      <c r="D1175" s="131"/>
      <c r="E1175" s="174"/>
    </row>
    <row r="1176" spans="1:5">
      <c r="A1176" s="132"/>
      <c r="B1176" s="174"/>
      <c r="C1176" s="174"/>
      <c r="D1176" s="131"/>
      <c r="E1176" s="174"/>
    </row>
    <row r="1177" spans="1:5">
      <c r="A1177" s="132"/>
      <c r="B1177" s="174"/>
      <c r="C1177" s="174"/>
      <c r="D1177" s="131"/>
      <c r="E1177" s="174"/>
    </row>
    <row r="1178" spans="1:5">
      <c r="A1178" s="132"/>
      <c r="B1178" s="174"/>
      <c r="C1178" s="174"/>
      <c r="D1178" s="131"/>
      <c r="E1178" s="174"/>
    </row>
    <row r="1179" spans="1:5">
      <c r="A1179" s="132"/>
      <c r="B1179" s="174"/>
      <c r="C1179" s="174"/>
      <c r="D1179" s="131"/>
      <c r="E1179" s="174"/>
    </row>
    <row r="1180" spans="1:5">
      <c r="A1180" s="132"/>
      <c r="B1180" s="174"/>
      <c r="C1180" s="174"/>
      <c r="D1180" s="131"/>
      <c r="E1180" s="174"/>
    </row>
    <row r="1181" spans="1:5">
      <c r="A1181" s="132"/>
      <c r="B1181" s="174"/>
      <c r="C1181" s="174"/>
      <c r="D1181" s="131"/>
      <c r="E1181" s="174"/>
    </row>
    <row r="1182" spans="1:5">
      <c r="A1182" s="132"/>
      <c r="B1182" s="174"/>
      <c r="C1182" s="174"/>
      <c r="D1182" s="131"/>
      <c r="E1182" s="174"/>
    </row>
    <row r="1183" spans="1:5">
      <c r="A1183" s="132"/>
      <c r="B1183" s="174"/>
      <c r="C1183" s="174"/>
      <c r="D1183" s="131"/>
      <c r="E1183" s="174"/>
    </row>
    <row r="1184" spans="1:5">
      <c r="A1184" s="132"/>
      <c r="B1184" s="174"/>
      <c r="C1184" s="174"/>
      <c r="D1184" s="131"/>
      <c r="E1184" s="174"/>
    </row>
    <row r="1185" spans="1:5">
      <c r="A1185" s="132"/>
      <c r="B1185" s="174"/>
      <c r="C1185" s="174"/>
      <c r="D1185" s="131"/>
      <c r="E1185" s="174"/>
    </row>
    <row r="1186" spans="1:5">
      <c r="A1186" s="132"/>
      <c r="B1186" s="174"/>
      <c r="C1186" s="174"/>
      <c r="D1186" s="131"/>
      <c r="E1186" s="174"/>
    </row>
    <row r="1187" spans="1:5">
      <c r="A1187" s="132"/>
      <c r="B1187" s="174"/>
      <c r="C1187" s="174"/>
      <c r="D1187" s="131"/>
      <c r="E1187" s="174"/>
    </row>
    <row r="1188" spans="1:5">
      <c r="A1188" s="132"/>
      <c r="B1188" s="174"/>
      <c r="C1188" s="174"/>
      <c r="D1188" s="131"/>
      <c r="E1188" s="174"/>
    </row>
    <row r="1189" spans="1:5">
      <c r="A1189" s="132"/>
      <c r="B1189" s="174"/>
      <c r="C1189" s="174"/>
      <c r="D1189" s="131"/>
      <c r="E1189" s="174"/>
    </row>
    <row r="1190" spans="1:5">
      <c r="A1190" s="132"/>
      <c r="B1190" s="174"/>
      <c r="C1190" s="174"/>
      <c r="D1190" s="131"/>
      <c r="E1190" s="174"/>
    </row>
    <row r="1191" spans="1:5">
      <c r="A1191" s="132"/>
      <c r="B1191" s="174"/>
      <c r="C1191" s="174"/>
      <c r="D1191" s="131"/>
      <c r="E1191" s="174"/>
    </row>
    <row r="1192" spans="1:5">
      <c r="A1192" s="132"/>
      <c r="B1192" s="174"/>
      <c r="C1192" s="174"/>
      <c r="D1192" s="131"/>
      <c r="E1192" s="174"/>
    </row>
    <row r="1193" spans="1:5">
      <c r="A1193" s="132"/>
      <c r="B1193" s="174"/>
      <c r="C1193" s="174"/>
      <c r="D1193" s="131"/>
      <c r="E1193" s="174"/>
    </row>
    <row r="1194" spans="1:5">
      <c r="A1194" s="132"/>
      <c r="B1194" s="174"/>
      <c r="C1194" s="174"/>
      <c r="D1194" s="131"/>
      <c r="E1194" s="174"/>
    </row>
    <row r="1195" spans="1:5">
      <c r="A1195" s="132"/>
      <c r="B1195" s="174"/>
      <c r="C1195" s="174"/>
      <c r="D1195" s="131"/>
      <c r="E1195" s="174"/>
    </row>
    <row r="1196" spans="1:5">
      <c r="A1196" s="132"/>
      <c r="B1196" s="174"/>
      <c r="C1196" s="174"/>
      <c r="D1196" s="131"/>
      <c r="E1196" s="174"/>
    </row>
    <row r="1197" spans="1:5">
      <c r="A1197" s="132"/>
      <c r="B1197" s="174"/>
      <c r="C1197" s="174"/>
      <c r="D1197" s="131"/>
      <c r="E1197" s="174"/>
    </row>
    <row r="1198" spans="1:5">
      <c r="A1198" s="132"/>
      <c r="B1198" s="174"/>
      <c r="C1198" s="174"/>
      <c r="D1198" s="131"/>
      <c r="E1198" s="174"/>
    </row>
    <row r="1199" spans="1:5">
      <c r="A1199" s="132"/>
      <c r="B1199" s="174"/>
      <c r="C1199" s="174"/>
      <c r="D1199" s="131"/>
      <c r="E1199" s="174"/>
    </row>
    <row r="1200" spans="1:5">
      <c r="A1200" s="132"/>
      <c r="B1200" s="174"/>
      <c r="C1200" s="174"/>
      <c r="D1200" s="131"/>
      <c r="E1200" s="174"/>
    </row>
    <row r="1201" spans="1:5">
      <c r="A1201" s="132"/>
      <c r="B1201" s="174"/>
      <c r="C1201" s="174"/>
      <c r="D1201" s="131"/>
      <c r="E1201" s="174"/>
    </row>
    <row r="1202" spans="1:5">
      <c r="A1202" s="132"/>
      <c r="B1202" s="174"/>
      <c r="C1202" s="174"/>
      <c r="D1202" s="131"/>
      <c r="E1202" s="174"/>
    </row>
    <row r="1203" spans="1:5">
      <c r="A1203" s="132"/>
      <c r="B1203" s="174"/>
      <c r="C1203" s="174"/>
      <c r="D1203" s="131"/>
      <c r="E1203" s="174"/>
    </row>
    <row r="1204" spans="1:5">
      <c r="A1204" s="132"/>
      <c r="B1204" s="174"/>
      <c r="C1204" s="174"/>
      <c r="D1204" s="131"/>
      <c r="E1204" s="174"/>
    </row>
    <row r="1205" spans="1:5">
      <c r="A1205" s="132"/>
      <c r="B1205" s="174"/>
      <c r="C1205" s="174"/>
      <c r="D1205" s="131"/>
      <c r="E1205" s="174"/>
    </row>
    <row r="1206" spans="1:5">
      <c r="A1206" s="132"/>
      <c r="B1206" s="174"/>
      <c r="C1206" s="174"/>
      <c r="D1206" s="131"/>
      <c r="E1206" s="174"/>
    </row>
    <row r="1207" spans="1:5">
      <c r="A1207" s="132"/>
      <c r="B1207" s="174"/>
      <c r="C1207" s="174"/>
      <c r="D1207" s="131"/>
      <c r="E1207" s="174"/>
    </row>
    <row r="1208" spans="1:5">
      <c r="A1208" s="132"/>
      <c r="B1208" s="174"/>
      <c r="C1208" s="174"/>
      <c r="D1208" s="131"/>
      <c r="E1208" s="174"/>
    </row>
    <row r="1209" spans="1:5">
      <c r="A1209" s="132"/>
      <c r="B1209" s="174"/>
      <c r="C1209" s="174"/>
      <c r="D1209" s="131"/>
      <c r="E1209" s="174"/>
    </row>
    <row r="1210" spans="1:5">
      <c r="A1210" s="132"/>
      <c r="B1210" s="174"/>
      <c r="C1210" s="174"/>
      <c r="D1210" s="131"/>
      <c r="E1210" s="174"/>
    </row>
    <row r="1211" spans="1:5">
      <c r="A1211" s="132"/>
      <c r="B1211" s="174"/>
      <c r="C1211" s="174"/>
      <c r="D1211" s="131"/>
      <c r="E1211" s="174"/>
    </row>
    <row r="1212" spans="1:5">
      <c r="A1212" s="132"/>
      <c r="B1212" s="174"/>
      <c r="C1212" s="174"/>
      <c r="D1212" s="131"/>
      <c r="E1212" s="174"/>
    </row>
    <row r="1213" spans="1:5">
      <c r="A1213" s="132"/>
      <c r="B1213" s="174"/>
      <c r="C1213" s="174"/>
      <c r="D1213" s="131"/>
      <c r="E1213" s="174"/>
    </row>
    <row r="1214" spans="1:5">
      <c r="A1214" s="132"/>
      <c r="B1214" s="174"/>
      <c r="C1214" s="174"/>
      <c r="D1214" s="131"/>
      <c r="E1214" s="174"/>
    </row>
    <row r="1215" spans="1:5">
      <c r="A1215" s="132"/>
      <c r="B1215" s="174"/>
      <c r="C1215" s="174"/>
      <c r="D1215" s="131"/>
      <c r="E1215" s="174"/>
    </row>
    <row r="1216" spans="1:5">
      <c r="A1216" s="132"/>
      <c r="B1216" s="174"/>
      <c r="C1216" s="174"/>
      <c r="D1216" s="131"/>
      <c r="E1216" s="174"/>
    </row>
    <row r="1217" spans="1:5">
      <c r="A1217" s="132"/>
      <c r="B1217" s="174"/>
      <c r="C1217" s="174"/>
      <c r="D1217" s="131"/>
      <c r="E1217" s="174"/>
    </row>
    <row r="1218" spans="1:5">
      <c r="A1218" s="132"/>
      <c r="B1218" s="174"/>
      <c r="C1218" s="174"/>
      <c r="D1218" s="131"/>
      <c r="E1218" s="174"/>
    </row>
    <row r="1219" spans="1:5">
      <c r="A1219" s="132"/>
      <c r="B1219" s="174"/>
      <c r="C1219" s="174"/>
      <c r="D1219" s="131"/>
      <c r="E1219" s="174"/>
    </row>
    <row r="1220" spans="1:5">
      <c r="A1220" s="132"/>
      <c r="B1220" s="174"/>
      <c r="C1220" s="174"/>
      <c r="D1220" s="131"/>
      <c r="E1220" s="174"/>
    </row>
    <row r="1221" spans="1:5">
      <c r="A1221" s="132"/>
      <c r="B1221" s="174"/>
      <c r="C1221" s="174"/>
      <c r="D1221" s="131"/>
      <c r="E1221" s="174"/>
    </row>
    <row r="1222" spans="1:5">
      <c r="A1222" s="132"/>
      <c r="B1222" s="174"/>
      <c r="C1222" s="174"/>
      <c r="D1222" s="131"/>
      <c r="E1222" s="174"/>
    </row>
    <row r="1223" spans="1:5">
      <c r="A1223" s="132"/>
      <c r="B1223" s="174"/>
      <c r="C1223" s="174"/>
      <c r="D1223" s="131"/>
      <c r="E1223" s="174"/>
    </row>
    <row r="1224" spans="1:5">
      <c r="A1224" s="132"/>
      <c r="B1224" s="174"/>
      <c r="C1224" s="174"/>
      <c r="D1224" s="131"/>
      <c r="E1224" s="174"/>
    </row>
    <row r="1225" spans="1:5">
      <c r="A1225" s="132"/>
      <c r="B1225" s="174"/>
      <c r="C1225" s="174"/>
      <c r="D1225" s="131"/>
      <c r="E1225" s="174"/>
    </row>
    <row r="1226" spans="1:5">
      <c r="A1226" s="132"/>
      <c r="B1226" s="174"/>
      <c r="C1226" s="174"/>
      <c r="D1226" s="131"/>
      <c r="E1226" s="174"/>
    </row>
    <row r="1227" spans="1:5">
      <c r="A1227" s="132"/>
      <c r="B1227" s="174"/>
      <c r="C1227" s="174"/>
      <c r="D1227" s="131"/>
      <c r="E1227" s="174"/>
    </row>
    <row r="1228" spans="1:5">
      <c r="A1228" s="132"/>
      <c r="B1228" s="174"/>
      <c r="C1228" s="174"/>
      <c r="D1228" s="131"/>
      <c r="E1228" s="174"/>
    </row>
    <row r="1229" spans="1:5">
      <c r="A1229" s="132"/>
      <c r="B1229" s="174"/>
      <c r="C1229" s="174"/>
      <c r="D1229" s="131"/>
      <c r="E1229" s="174"/>
    </row>
    <row r="1230" spans="1:5">
      <c r="A1230" s="132"/>
      <c r="B1230" s="174"/>
      <c r="C1230" s="174"/>
      <c r="D1230" s="131"/>
      <c r="E1230" s="174"/>
    </row>
    <row r="1231" spans="1:5">
      <c r="A1231" s="132"/>
      <c r="B1231" s="174"/>
      <c r="C1231" s="174"/>
      <c r="D1231" s="131"/>
      <c r="E1231" s="174"/>
    </row>
    <row r="1232" spans="1:5">
      <c r="A1232" s="132"/>
      <c r="B1232" s="174"/>
      <c r="C1232" s="174"/>
      <c r="D1232" s="131"/>
      <c r="E1232" s="174"/>
    </row>
    <row r="1233" spans="1:5">
      <c r="A1233" s="132"/>
      <c r="B1233" s="174"/>
      <c r="C1233" s="174"/>
      <c r="D1233" s="131"/>
      <c r="E1233" s="174"/>
    </row>
    <row r="1234" spans="1:5">
      <c r="A1234" s="132"/>
      <c r="B1234" s="174"/>
      <c r="C1234" s="174"/>
      <c r="D1234" s="131"/>
      <c r="E1234" s="174"/>
    </row>
    <row r="1235" spans="1:5">
      <c r="A1235" s="132"/>
      <c r="B1235" s="174"/>
      <c r="C1235" s="174"/>
      <c r="D1235" s="131"/>
      <c r="E1235" s="174"/>
    </row>
    <row r="1236" spans="1:5">
      <c r="A1236" s="132"/>
      <c r="B1236" s="174"/>
      <c r="C1236" s="174"/>
      <c r="D1236" s="131"/>
      <c r="E1236" s="174"/>
    </row>
    <row r="1237" spans="1:5">
      <c r="A1237" s="132"/>
      <c r="B1237" s="174"/>
      <c r="C1237" s="174"/>
      <c r="D1237" s="131"/>
      <c r="E1237" s="174"/>
    </row>
    <row r="1238" spans="1:5">
      <c r="A1238" s="132"/>
      <c r="B1238" s="174"/>
      <c r="C1238" s="174"/>
      <c r="D1238" s="131"/>
      <c r="E1238" s="174"/>
    </row>
    <row r="1239" spans="1:5">
      <c r="A1239" s="132"/>
      <c r="B1239" s="174"/>
      <c r="C1239" s="174"/>
      <c r="D1239" s="131"/>
      <c r="E1239" s="174"/>
    </row>
    <row r="1240" spans="1:5">
      <c r="A1240" s="132"/>
      <c r="B1240" s="174"/>
      <c r="C1240" s="174"/>
      <c r="D1240" s="131"/>
      <c r="E1240" s="174"/>
    </row>
    <row r="1241" spans="1:5">
      <c r="A1241" s="132"/>
      <c r="B1241" s="174"/>
      <c r="C1241" s="174"/>
      <c r="D1241" s="131"/>
      <c r="E1241" s="174"/>
    </row>
    <row r="1242" spans="1:5">
      <c r="A1242" s="132"/>
      <c r="B1242" s="174"/>
      <c r="C1242" s="174"/>
      <c r="D1242" s="131"/>
      <c r="E1242" s="174"/>
    </row>
    <row r="1243" spans="1:5">
      <c r="A1243" s="132"/>
      <c r="B1243" s="174"/>
      <c r="C1243" s="174"/>
      <c r="D1243" s="131"/>
      <c r="E1243" s="174"/>
    </row>
    <row r="1244" spans="1:5">
      <c r="A1244" s="132"/>
      <c r="B1244" s="174"/>
      <c r="C1244" s="174"/>
      <c r="D1244" s="131"/>
      <c r="E1244" s="174"/>
    </row>
    <row r="1245" spans="1:5">
      <c r="A1245" s="132"/>
      <c r="B1245" s="174"/>
      <c r="C1245" s="174"/>
      <c r="D1245" s="131"/>
      <c r="E1245" s="174"/>
    </row>
    <row r="1246" spans="1:5">
      <c r="A1246" s="132"/>
      <c r="B1246" s="174"/>
      <c r="C1246" s="174"/>
      <c r="D1246" s="131"/>
      <c r="E1246" s="174"/>
    </row>
    <row r="1247" spans="1:5">
      <c r="A1247" s="132"/>
      <c r="B1247" s="174"/>
      <c r="C1247" s="174"/>
      <c r="D1247" s="131"/>
      <c r="E1247" s="174"/>
    </row>
    <row r="1248" spans="1:5">
      <c r="A1248" s="132"/>
      <c r="B1248" s="174"/>
      <c r="C1248" s="174"/>
      <c r="D1248" s="131"/>
      <c r="E1248" s="174"/>
    </row>
    <row r="1249" spans="1:5">
      <c r="A1249" s="132"/>
      <c r="B1249" s="174"/>
      <c r="C1249" s="174"/>
      <c r="D1249" s="131"/>
      <c r="E1249" s="174"/>
    </row>
    <row r="1250" spans="1:5">
      <c r="A1250" s="132"/>
      <c r="B1250" s="174"/>
      <c r="C1250" s="174"/>
      <c r="D1250" s="131"/>
      <c r="E1250" s="174"/>
    </row>
    <row r="1251" spans="1:5">
      <c r="A1251" s="132"/>
      <c r="B1251" s="174"/>
      <c r="C1251" s="174"/>
      <c r="D1251" s="131"/>
      <c r="E1251" s="174"/>
    </row>
    <row r="1252" spans="1:5">
      <c r="A1252" s="132"/>
      <c r="B1252" s="174"/>
      <c r="C1252" s="174"/>
      <c r="D1252" s="131"/>
      <c r="E1252" s="174"/>
    </row>
    <row r="1253" spans="1:5">
      <c r="A1253" s="132"/>
      <c r="B1253" s="174"/>
      <c r="C1253" s="174"/>
      <c r="D1253" s="131"/>
      <c r="E1253" s="174"/>
    </row>
    <row r="1254" spans="1:5">
      <c r="A1254" s="132"/>
      <c r="B1254" s="174"/>
      <c r="C1254" s="174"/>
      <c r="D1254" s="131"/>
      <c r="E1254" s="174"/>
    </row>
    <row r="1255" spans="1:5">
      <c r="A1255" s="132"/>
      <c r="B1255" s="174"/>
      <c r="C1255" s="174"/>
      <c r="D1255" s="131"/>
      <c r="E1255" s="174"/>
    </row>
    <row r="1256" spans="1:5">
      <c r="A1256" s="132"/>
      <c r="B1256" s="174"/>
      <c r="C1256" s="174"/>
      <c r="D1256" s="131"/>
      <c r="E1256" s="174"/>
    </row>
    <row r="1257" spans="1:5">
      <c r="A1257" s="132"/>
      <c r="B1257" s="174"/>
      <c r="C1257" s="174"/>
      <c r="D1257" s="131"/>
      <c r="E1257" s="174"/>
    </row>
    <row r="1258" spans="1:5">
      <c r="A1258" s="132"/>
      <c r="B1258" s="174"/>
      <c r="C1258" s="174"/>
      <c r="D1258" s="131"/>
      <c r="E1258" s="174"/>
    </row>
    <row r="1259" spans="1:5">
      <c r="A1259" s="132"/>
      <c r="B1259" s="174"/>
      <c r="C1259" s="174"/>
      <c r="D1259" s="131"/>
      <c r="E1259" s="174"/>
    </row>
    <row r="1260" spans="1:5">
      <c r="A1260" s="132"/>
      <c r="B1260" s="174"/>
      <c r="C1260" s="174"/>
      <c r="D1260" s="131"/>
      <c r="E1260" s="174"/>
    </row>
    <row r="1261" spans="1:5">
      <c r="A1261" s="132"/>
      <c r="B1261" s="174"/>
      <c r="C1261" s="174"/>
      <c r="D1261" s="131"/>
      <c r="E1261" s="174"/>
    </row>
    <row r="1262" spans="1:5">
      <c r="A1262" s="132"/>
      <c r="B1262" s="174"/>
      <c r="C1262" s="174"/>
      <c r="D1262" s="131"/>
      <c r="E1262" s="174"/>
    </row>
    <row r="1263" spans="1:5">
      <c r="A1263" s="132"/>
      <c r="B1263" s="174"/>
      <c r="C1263" s="174"/>
      <c r="D1263" s="131"/>
      <c r="E1263" s="174"/>
    </row>
    <row r="1264" spans="1:5">
      <c r="A1264" s="132"/>
      <c r="B1264" s="174"/>
      <c r="C1264" s="174"/>
      <c r="D1264" s="131"/>
      <c r="E1264" s="174"/>
    </row>
    <row r="1265" spans="1:5">
      <c r="A1265" s="132"/>
      <c r="B1265" s="174"/>
      <c r="C1265" s="174"/>
      <c r="D1265" s="131"/>
      <c r="E1265" s="174"/>
    </row>
    <row r="1266" spans="1:5">
      <c r="A1266" s="132"/>
      <c r="B1266" s="174"/>
      <c r="C1266" s="174"/>
      <c r="D1266" s="131"/>
      <c r="E1266" s="174"/>
    </row>
    <row r="1267" spans="1:5">
      <c r="A1267" s="132"/>
      <c r="B1267" s="174"/>
      <c r="C1267" s="174"/>
      <c r="D1267" s="131"/>
      <c r="E1267" s="174"/>
    </row>
    <row r="1268" spans="1:5">
      <c r="A1268" s="132"/>
      <c r="B1268" s="174"/>
      <c r="C1268" s="174"/>
      <c r="D1268" s="131"/>
      <c r="E1268" s="174"/>
    </row>
    <row r="1269" spans="1:5">
      <c r="A1269" s="132"/>
      <c r="B1269" s="174"/>
      <c r="C1269" s="174"/>
      <c r="D1269" s="131"/>
      <c r="E1269" s="174"/>
    </row>
    <row r="1270" spans="1:5">
      <c r="A1270" s="132"/>
      <c r="B1270" s="174"/>
      <c r="C1270" s="174"/>
      <c r="D1270" s="131"/>
      <c r="E1270" s="174"/>
    </row>
    <row r="1271" spans="1:5">
      <c r="A1271" s="132"/>
      <c r="B1271" s="174"/>
      <c r="C1271" s="174"/>
      <c r="D1271" s="131"/>
      <c r="E1271" s="174"/>
    </row>
    <row r="1272" spans="1:5">
      <c r="A1272" s="132"/>
      <c r="B1272" s="174"/>
      <c r="C1272" s="174"/>
      <c r="D1272" s="131"/>
      <c r="E1272" s="174"/>
    </row>
    <row r="1273" spans="1:5">
      <c r="A1273" s="132"/>
      <c r="B1273" s="174"/>
      <c r="C1273" s="174"/>
      <c r="D1273" s="131"/>
      <c r="E1273" s="174"/>
    </row>
    <row r="1274" spans="1:5">
      <c r="A1274" s="132"/>
      <c r="B1274" s="174"/>
      <c r="C1274" s="174"/>
      <c r="D1274" s="131"/>
      <c r="E1274" s="174"/>
    </row>
    <row r="1275" spans="1:5">
      <c r="A1275" s="132"/>
      <c r="B1275" s="174"/>
      <c r="C1275" s="174"/>
      <c r="D1275" s="131"/>
      <c r="E1275" s="174"/>
    </row>
    <row r="1276" spans="1:5">
      <c r="A1276" s="132"/>
      <c r="B1276" s="174"/>
      <c r="C1276" s="174"/>
      <c r="D1276" s="131"/>
      <c r="E1276" s="174"/>
    </row>
    <row r="1277" spans="1:5">
      <c r="A1277" s="132"/>
      <c r="B1277" s="174"/>
      <c r="C1277" s="174"/>
      <c r="D1277" s="131"/>
      <c r="E1277" s="174"/>
    </row>
    <row r="1278" spans="1:5">
      <c r="A1278" s="132"/>
      <c r="B1278" s="174"/>
      <c r="C1278" s="174"/>
      <c r="D1278" s="131"/>
      <c r="E1278" s="174"/>
    </row>
    <row r="1279" spans="1:5">
      <c r="A1279" s="132"/>
      <c r="B1279" s="174"/>
      <c r="C1279" s="174"/>
      <c r="D1279" s="131"/>
      <c r="E1279" s="174"/>
    </row>
    <row r="1280" spans="1:5">
      <c r="A1280" s="132"/>
      <c r="B1280" s="174"/>
      <c r="C1280" s="174"/>
      <c r="D1280" s="131"/>
      <c r="E1280" s="174"/>
    </row>
    <row r="1281" spans="1:5">
      <c r="A1281" s="132"/>
      <c r="B1281" s="174"/>
      <c r="C1281" s="174"/>
      <c r="D1281" s="131"/>
      <c r="E1281" s="174"/>
    </row>
    <row r="1282" spans="1:5">
      <c r="A1282" s="132"/>
      <c r="B1282" s="174"/>
      <c r="C1282" s="174"/>
      <c r="D1282" s="131"/>
      <c r="E1282" s="174"/>
    </row>
    <row r="1283" spans="1:5">
      <c r="A1283" s="132"/>
      <c r="B1283" s="174"/>
      <c r="C1283" s="174"/>
      <c r="D1283" s="131"/>
      <c r="E1283" s="174"/>
    </row>
    <row r="1284" spans="1:5">
      <c r="A1284" s="132"/>
      <c r="B1284" s="174"/>
      <c r="C1284" s="174"/>
      <c r="D1284" s="131"/>
      <c r="E1284" s="174"/>
    </row>
    <row r="1285" spans="1:5">
      <c r="A1285" s="132"/>
      <c r="B1285" s="174"/>
      <c r="C1285" s="174"/>
      <c r="D1285" s="131"/>
      <c r="E1285" s="174"/>
    </row>
    <row r="1286" spans="1:5">
      <c r="A1286" s="132"/>
      <c r="B1286" s="174"/>
      <c r="C1286" s="174"/>
      <c r="D1286" s="131"/>
      <c r="E1286" s="174"/>
    </row>
    <row r="1287" spans="1:5">
      <c r="A1287" s="132"/>
      <c r="B1287" s="174"/>
      <c r="C1287" s="174"/>
      <c r="D1287" s="131"/>
      <c r="E1287" s="174"/>
    </row>
    <row r="1288" spans="1:5">
      <c r="A1288" s="132"/>
      <c r="B1288" s="174"/>
      <c r="C1288" s="174"/>
      <c r="D1288" s="131"/>
      <c r="E1288" s="174"/>
    </row>
    <row r="1289" spans="1:5">
      <c r="A1289" s="132"/>
      <c r="B1289" s="174"/>
      <c r="C1289" s="174"/>
      <c r="D1289" s="131"/>
      <c r="E1289" s="174"/>
    </row>
    <row r="1290" spans="1:5">
      <c r="A1290" s="132"/>
      <c r="B1290" s="174"/>
      <c r="C1290" s="174"/>
      <c r="D1290" s="131"/>
      <c r="E1290" s="174"/>
    </row>
    <row r="1291" spans="1:5">
      <c r="A1291" s="132"/>
      <c r="B1291" s="174"/>
      <c r="C1291" s="174"/>
      <c r="D1291" s="131"/>
      <c r="E1291" s="174"/>
    </row>
    <row r="1292" spans="1:5">
      <c r="A1292" s="132"/>
      <c r="B1292" s="174"/>
      <c r="C1292" s="174"/>
      <c r="D1292" s="131"/>
      <c r="E1292" s="174"/>
    </row>
    <row r="1293" spans="1:5">
      <c r="A1293" s="132"/>
      <c r="B1293" s="174"/>
      <c r="C1293" s="174"/>
      <c r="D1293" s="131"/>
      <c r="E1293" s="174"/>
    </row>
    <row r="1294" spans="1:5">
      <c r="A1294" s="132"/>
      <c r="B1294" s="174"/>
      <c r="C1294" s="174"/>
      <c r="D1294" s="131"/>
      <c r="E1294" s="174"/>
    </row>
    <row r="1295" spans="1:5">
      <c r="A1295" s="132"/>
      <c r="B1295" s="174"/>
      <c r="C1295" s="174"/>
      <c r="D1295" s="131"/>
      <c r="E1295" s="174"/>
    </row>
    <row r="1296" spans="1:5">
      <c r="A1296" s="132"/>
      <c r="B1296" s="174"/>
      <c r="C1296" s="174"/>
      <c r="D1296" s="131"/>
      <c r="E1296" s="174"/>
    </row>
    <row r="1297" spans="1:5">
      <c r="A1297" s="132"/>
      <c r="B1297" s="174"/>
      <c r="C1297" s="174"/>
      <c r="D1297" s="131"/>
      <c r="E1297" s="174"/>
    </row>
    <row r="1298" spans="1:5">
      <c r="A1298" s="132"/>
      <c r="B1298" s="174"/>
      <c r="C1298" s="174"/>
      <c r="D1298" s="131"/>
      <c r="E1298" s="174"/>
    </row>
    <row r="1299" spans="1:5">
      <c r="A1299" s="132"/>
      <c r="B1299" s="174"/>
      <c r="C1299" s="174"/>
      <c r="D1299" s="131"/>
      <c r="E1299" s="174"/>
    </row>
    <row r="1300" spans="1:5">
      <c r="A1300" s="132"/>
      <c r="B1300" s="174"/>
      <c r="C1300" s="174"/>
      <c r="D1300" s="131"/>
      <c r="E1300" s="174"/>
    </row>
    <row r="1301" spans="1:5">
      <c r="A1301" s="132"/>
      <c r="B1301" s="174"/>
      <c r="C1301" s="174"/>
      <c r="D1301" s="131"/>
      <c r="E1301" s="174"/>
    </row>
    <row r="1302" spans="1:5">
      <c r="A1302" s="132"/>
      <c r="B1302" s="174"/>
      <c r="C1302" s="174"/>
      <c r="D1302" s="131"/>
      <c r="E1302" s="174"/>
    </row>
    <row r="1303" spans="1:5">
      <c r="A1303" s="132"/>
      <c r="B1303" s="174"/>
      <c r="C1303" s="174"/>
      <c r="D1303" s="131"/>
      <c r="E1303" s="174"/>
    </row>
    <row r="1304" spans="1:5">
      <c r="A1304" s="132"/>
      <c r="B1304" s="174"/>
      <c r="C1304" s="174"/>
      <c r="D1304" s="131"/>
      <c r="E1304" s="174"/>
    </row>
    <row r="1305" spans="1:5">
      <c r="A1305" s="132"/>
      <c r="B1305" s="174"/>
      <c r="C1305" s="174"/>
      <c r="D1305" s="131"/>
      <c r="E1305" s="174"/>
    </row>
    <row r="1306" spans="1:5">
      <c r="A1306" s="132"/>
      <c r="B1306" s="174"/>
      <c r="C1306" s="174"/>
      <c r="D1306" s="131"/>
      <c r="E1306" s="174"/>
    </row>
    <row r="1307" spans="1:5">
      <c r="A1307" s="132"/>
      <c r="B1307" s="174"/>
      <c r="C1307" s="174"/>
      <c r="D1307" s="131"/>
      <c r="E1307" s="174"/>
    </row>
    <row r="1308" spans="1:5">
      <c r="A1308" s="132"/>
      <c r="B1308" s="174"/>
      <c r="C1308" s="174"/>
      <c r="D1308" s="131"/>
      <c r="E1308" s="174"/>
    </row>
    <row r="1309" spans="1:5">
      <c r="A1309" s="132"/>
      <c r="B1309" s="174"/>
      <c r="C1309" s="174"/>
      <c r="D1309" s="131"/>
      <c r="E1309" s="174"/>
    </row>
    <row r="1310" spans="1:5">
      <c r="A1310" s="132"/>
      <c r="B1310" s="174"/>
      <c r="C1310" s="174"/>
      <c r="D1310" s="131"/>
      <c r="E1310" s="174"/>
    </row>
    <row r="1311" spans="1:5">
      <c r="A1311" s="132"/>
      <c r="B1311" s="174"/>
      <c r="C1311" s="174"/>
      <c r="D1311" s="131"/>
      <c r="E1311" s="174"/>
    </row>
    <row r="1312" spans="1:5">
      <c r="A1312" s="132"/>
      <c r="B1312" s="174"/>
      <c r="C1312" s="174"/>
      <c r="D1312" s="131"/>
      <c r="E1312" s="174"/>
    </row>
    <row r="1313" spans="1:5">
      <c r="A1313" s="132"/>
      <c r="B1313" s="174"/>
      <c r="C1313" s="174"/>
      <c r="D1313" s="131"/>
      <c r="E1313" s="174"/>
    </row>
    <row r="1314" spans="1:5">
      <c r="A1314" s="132"/>
      <c r="B1314" s="174"/>
      <c r="C1314" s="174"/>
      <c r="D1314" s="131"/>
      <c r="E1314" s="174"/>
    </row>
    <row r="1315" spans="1:5">
      <c r="A1315" s="132"/>
      <c r="B1315" s="174"/>
      <c r="C1315" s="174"/>
      <c r="D1315" s="131"/>
      <c r="E1315" s="174"/>
    </row>
    <row r="1316" spans="1:5">
      <c r="A1316" s="132"/>
      <c r="B1316" s="174"/>
      <c r="C1316" s="174"/>
      <c r="D1316" s="131"/>
      <c r="E1316" s="174"/>
    </row>
    <row r="1317" spans="1:5">
      <c r="A1317" s="132"/>
      <c r="B1317" s="174"/>
      <c r="C1317" s="174"/>
      <c r="D1317" s="131"/>
      <c r="E1317" s="174"/>
    </row>
    <row r="1318" spans="1:5">
      <c r="A1318" s="132"/>
      <c r="B1318" s="174"/>
      <c r="C1318" s="174"/>
      <c r="D1318" s="131"/>
      <c r="E1318" s="174"/>
    </row>
    <row r="1319" spans="1:5">
      <c r="A1319" s="132"/>
      <c r="B1319" s="174"/>
      <c r="C1319" s="174"/>
      <c r="D1319" s="131"/>
      <c r="E1319" s="174"/>
    </row>
    <row r="1320" spans="1:5">
      <c r="A1320" s="132"/>
      <c r="B1320" s="174"/>
      <c r="C1320" s="174"/>
      <c r="D1320" s="131"/>
      <c r="E1320" s="174"/>
    </row>
    <row r="1321" spans="1:5">
      <c r="A1321" s="132"/>
      <c r="B1321" s="174"/>
      <c r="C1321" s="174"/>
      <c r="D1321" s="131"/>
      <c r="E1321" s="174"/>
    </row>
    <row r="1322" spans="1:5">
      <c r="A1322" s="132"/>
      <c r="B1322" s="174"/>
      <c r="C1322" s="174"/>
      <c r="D1322" s="131"/>
      <c r="E1322" s="174"/>
    </row>
    <row r="1323" spans="1:5">
      <c r="A1323" s="132"/>
      <c r="B1323" s="174"/>
      <c r="C1323" s="174"/>
      <c r="D1323" s="131"/>
      <c r="E1323" s="174"/>
    </row>
    <row r="1324" spans="1:5">
      <c r="A1324" s="132"/>
      <c r="B1324" s="174"/>
      <c r="C1324" s="174"/>
      <c r="D1324" s="131"/>
      <c r="E1324" s="174"/>
    </row>
    <row r="1325" spans="1:5">
      <c r="A1325" s="132"/>
      <c r="B1325" s="174"/>
      <c r="C1325" s="174"/>
      <c r="D1325" s="131"/>
      <c r="E1325" s="174"/>
    </row>
    <row r="1326" spans="1:5">
      <c r="A1326" s="132"/>
      <c r="B1326" s="174"/>
      <c r="C1326" s="174"/>
      <c r="D1326" s="131"/>
      <c r="E1326" s="174"/>
    </row>
    <row r="1327" spans="1:5">
      <c r="A1327" s="132"/>
      <c r="B1327" s="174"/>
      <c r="C1327" s="174"/>
      <c r="D1327" s="131"/>
      <c r="E1327" s="174"/>
    </row>
    <row r="1328" spans="1:5">
      <c r="A1328" s="132"/>
      <c r="B1328" s="174"/>
      <c r="C1328" s="174"/>
      <c r="D1328" s="131"/>
      <c r="E1328" s="174"/>
    </row>
    <row r="1329" spans="1:5">
      <c r="A1329" s="132"/>
      <c r="B1329" s="174"/>
      <c r="C1329" s="174"/>
      <c r="D1329" s="131"/>
      <c r="E1329" s="174"/>
    </row>
    <row r="1330" spans="1:5">
      <c r="A1330" s="132"/>
      <c r="B1330" s="174"/>
      <c r="C1330" s="174"/>
      <c r="D1330" s="131"/>
      <c r="E1330" s="174"/>
    </row>
    <row r="1331" spans="1:5">
      <c r="A1331" s="132"/>
      <c r="B1331" s="174"/>
      <c r="C1331" s="174"/>
      <c r="D1331" s="131"/>
      <c r="E1331" s="174"/>
    </row>
    <row r="1332" spans="1:5">
      <c r="A1332" s="132"/>
      <c r="B1332" s="174"/>
      <c r="C1332" s="174"/>
      <c r="D1332" s="131"/>
      <c r="E1332" s="174"/>
    </row>
    <row r="1333" spans="1:5">
      <c r="A1333" s="132"/>
      <c r="B1333" s="174"/>
      <c r="C1333" s="174"/>
      <c r="D1333" s="131"/>
      <c r="E1333" s="174"/>
    </row>
    <row r="1334" spans="1:5">
      <c r="A1334" s="132"/>
      <c r="B1334" s="174"/>
      <c r="C1334" s="174"/>
      <c r="D1334" s="131"/>
      <c r="E1334" s="174"/>
    </row>
    <row r="1335" spans="1:5">
      <c r="A1335" s="132"/>
      <c r="B1335" s="174"/>
      <c r="C1335" s="174"/>
      <c r="D1335" s="131"/>
      <c r="E1335" s="174"/>
    </row>
    <row r="1336" spans="1:5">
      <c r="A1336" s="132"/>
      <c r="B1336" s="174"/>
      <c r="C1336" s="174"/>
      <c r="D1336" s="131"/>
      <c r="E1336" s="174"/>
    </row>
    <row r="1337" spans="1:5">
      <c r="A1337" s="132"/>
      <c r="B1337" s="174"/>
      <c r="C1337" s="174"/>
      <c r="D1337" s="131"/>
      <c r="E1337" s="174"/>
    </row>
    <row r="1338" spans="1:5">
      <c r="A1338" s="132"/>
      <c r="B1338" s="174"/>
      <c r="C1338" s="174"/>
      <c r="D1338" s="131"/>
      <c r="E1338" s="174"/>
    </row>
    <row r="1339" spans="1:5">
      <c r="A1339" s="132"/>
      <c r="B1339" s="174"/>
      <c r="C1339" s="174"/>
      <c r="D1339" s="131"/>
      <c r="E1339" s="174"/>
    </row>
    <row r="1340" spans="1:5">
      <c r="A1340" s="132"/>
      <c r="B1340" s="174"/>
      <c r="C1340" s="174"/>
      <c r="D1340" s="131"/>
      <c r="E1340" s="174"/>
    </row>
    <row r="1341" spans="1:5">
      <c r="A1341" s="132"/>
      <c r="B1341" s="174"/>
      <c r="C1341" s="174"/>
      <c r="D1341" s="131"/>
      <c r="E1341" s="174"/>
    </row>
    <row r="1342" spans="1:5">
      <c r="A1342" s="132"/>
      <c r="B1342" s="174"/>
      <c r="C1342" s="174"/>
      <c r="D1342" s="131"/>
      <c r="E1342" s="174"/>
    </row>
    <row r="1343" spans="1:5">
      <c r="A1343" s="132"/>
      <c r="B1343" s="174"/>
      <c r="C1343" s="174"/>
      <c r="D1343" s="131"/>
      <c r="E1343" s="174"/>
    </row>
    <row r="1344" spans="1:5">
      <c r="A1344" s="132"/>
      <c r="B1344" s="174"/>
      <c r="C1344" s="174"/>
      <c r="D1344" s="131"/>
      <c r="E1344" s="174"/>
    </row>
    <row r="1345" spans="1:5">
      <c r="A1345" s="132"/>
      <c r="B1345" s="174"/>
      <c r="C1345" s="174"/>
      <c r="D1345" s="131"/>
      <c r="E1345" s="174"/>
    </row>
    <row r="1346" spans="1:5">
      <c r="A1346" s="132"/>
      <c r="B1346" s="174"/>
      <c r="C1346" s="174"/>
      <c r="D1346" s="131"/>
      <c r="E1346" s="174"/>
    </row>
    <row r="1347" spans="1:5">
      <c r="A1347" s="132"/>
      <c r="B1347" s="174"/>
      <c r="C1347" s="174"/>
      <c r="D1347" s="131"/>
      <c r="E1347" s="174"/>
    </row>
    <row r="1348" spans="1:5">
      <c r="A1348" s="132"/>
      <c r="B1348" s="174"/>
      <c r="C1348" s="174"/>
      <c r="D1348" s="131"/>
      <c r="E1348" s="174"/>
    </row>
    <row r="1349" spans="1:5">
      <c r="A1349" s="132"/>
      <c r="B1349" s="174"/>
      <c r="C1349" s="174"/>
      <c r="D1349" s="131"/>
      <c r="E1349" s="174"/>
    </row>
    <row r="1350" spans="1:5">
      <c r="A1350" s="132"/>
      <c r="B1350" s="174"/>
      <c r="C1350" s="174"/>
      <c r="D1350" s="131"/>
      <c r="E1350" s="174"/>
    </row>
    <row r="1351" spans="1:5">
      <c r="A1351" s="132"/>
      <c r="B1351" s="174"/>
      <c r="C1351" s="174"/>
      <c r="D1351" s="131"/>
      <c r="E1351" s="174"/>
    </row>
    <row r="1352" spans="1:5">
      <c r="A1352" s="132"/>
      <c r="B1352" s="174"/>
      <c r="C1352" s="174"/>
      <c r="D1352" s="131"/>
      <c r="E1352" s="174"/>
    </row>
    <row r="1353" spans="1:5">
      <c r="A1353" s="132"/>
      <c r="B1353" s="174"/>
      <c r="C1353" s="174"/>
      <c r="D1353" s="131"/>
      <c r="E1353" s="174"/>
    </row>
    <row r="1354" spans="1:5">
      <c r="A1354" s="132"/>
      <c r="B1354" s="174"/>
      <c r="C1354" s="174"/>
      <c r="D1354" s="131"/>
      <c r="E1354" s="174"/>
    </row>
    <row r="1355" spans="1:5">
      <c r="A1355" s="132"/>
      <c r="B1355" s="174"/>
      <c r="C1355" s="174"/>
      <c r="D1355" s="131"/>
      <c r="E1355" s="174"/>
    </row>
    <row r="1356" spans="1:5">
      <c r="A1356" s="132"/>
      <c r="B1356" s="174"/>
      <c r="C1356" s="174"/>
      <c r="D1356" s="131"/>
      <c r="E1356" s="174"/>
    </row>
    <row r="1357" spans="1:5">
      <c r="A1357" s="132"/>
      <c r="B1357" s="174"/>
      <c r="C1357" s="174"/>
      <c r="D1357" s="131"/>
      <c r="E1357" s="174"/>
    </row>
    <row r="1358" spans="1:5">
      <c r="A1358" s="132"/>
      <c r="B1358" s="174"/>
      <c r="C1358" s="174"/>
      <c r="D1358" s="131"/>
      <c r="E1358" s="174"/>
    </row>
    <row r="1359" spans="1:5">
      <c r="A1359" s="132"/>
      <c r="B1359" s="174"/>
      <c r="C1359" s="174"/>
      <c r="D1359" s="131"/>
      <c r="E1359" s="174"/>
    </row>
    <row r="1360" spans="1:5">
      <c r="A1360" s="132"/>
      <c r="B1360" s="174"/>
      <c r="C1360" s="174"/>
      <c r="D1360" s="131"/>
      <c r="E1360" s="174"/>
    </row>
    <row r="1361" spans="1:5">
      <c r="A1361" s="132"/>
      <c r="B1361" s="174"/>
      <c r="C1361" s="174"/>
      <c r="D1361" s="131"/>
      <c r="E1361" s="174"/>
    </row>
    <row r="1362" spans="1:5">
      <c r="A1362" s="132"/>
      <c r="B1362" s="174"/>
      <c r="C1362" s="174"/>
      <c r="D1362" s="131"/>
      <c r="E1362" s="174"/>
    </row>
    <row r="1363" spans="1:5">
      <c r="A1363" s="132"/>
      <c r="B1363" s="174"/>
      <c r="C1363" s="174"/>
      <c r="D1363" s="131"/>
      <c r="E1363" s="174"/>
    </row>
    <row r="1364" spans="1:5">
      <c r="A1364" s="132"/>
      <c r="B1364" s="174"/>
      <c r="C1364" s="174"/>
      <c r="D1364" s="131"/>
      <c r="E1364" s="174"/>
    </row>
    <row r="1365" spans="1:5">
      <c r="A1365" s="132"/>
      <c r="B1365" s="174"/>
      <c r="C1365" s="174"/>
      <c r="D1365" s="131"/>
      <c r="E1365" s="174"/>
    </row>
    <row r="1366" spans="1:5">
      <c r="A1366" s="132"/>
      <c r="B1366" s="174"/>
      <c r="C1366" s="174"/>
      <c r="D1366" s="131"/>
      <c r="E1366" s="174"/>
    </row>
    <row r="1367" spans="1:5">
      <c r="A1367" s="132"/>
      <c r="B1367" s="174"/>
      <c r="C1367" s="174"/>
      <c r="D1367" s="131"/>
      <c r="E1367" s="174"/>
    </row>
    <row r="1368" spans="1:5">
      <c r="A1368" s="132"/>
      <c r="B1368" s="174"/>
      <c r="C1368" s="174"/>
      <c r="D1368" s="131"/>
      <c r="E1368" s="174"/>
    </row>
    <row r="1369" spans="1:5">
      <c r="A1369" s="132"/>
      <c r="B1369" s="174"/>
      <c r="C1369" s="174"/>
      <c r="D1369" s="131"/>
      <c r="E1369" s="174"/>
    </row>
    <row r="1370" spans="1:5">
      <c r="A1370" s="132"/>
      <c r="B1370" s="174"/>
      <c r="C1370" s="174"/>
      <c r="D1370" s="131"/>
      <c r="E1370" s="174"/>
    </row>
    <row r="1371" spans="1:5">
      <c r="A1371" s="132"/>
      <c r="B1371" s="174"/>
      <c r="C1371" s="174"/>
      <c r="D1371" s="131"/>
      <c r="E1371" s="174"/>
    </row>
    <row r="1372" spans="1:5">
      <c r="A1372" s="132"/>
      <c r="B1372" s="174"/>
      <c r="C1372" s="174"/>
      <c r="D1372" s="131"/>
      <c r="E1372" s="174"/>
    </row>
    <row r="1373" spans="1:5">
      <c r="A1373" s="132"/>
      <c r="B1373" s="174"/>
      <c r="C1373" s="174"/>
      <c r="D1373" s="131"/>
      <c r="E1373" s="174"/>
    </row>
    <row r="1374" spans="1:5">
      <c r="A1374" s="132"/>
      <c r="B1374" s="174"/>
      <c r="C1374" s="174"/>
      <c r="D1374" s="131"/>
      <c r="E1374" s="174"/>
    </row>
    <row r="1375" spans="1:5">
      <c r="A1375" s="132"/>
      <c r="B1375" s="174"/>
      <c r="C1375" s="174"/>
      <c r="D1375" s="131"/>
      <c r="E1375" s="174"/>
    </row>
    <row r="1376" spans="1:5">
      <c r="A1376" s="132"/>
      <c r="B1376" s="174"/>
      <c r="C1376" s="174"/>
      <c r="D1376" s="131"/>
      <c r="E1376" s="174"/>
    </row>
    <row r="1377" spans="1:5">
      <c r="A1377" s="132"/>
      <c r="B1377" s="174"/>
      <c r="C1377" s="174"/>
      <c r="D1377" s="131"/>
      <c r="E1377" s="174"/>
    </row>
    <row r="1378" spans="1:5">
      <c r="A1378" s="132"/>
      <c r="B1378" s="174"/>
      <c r="C1378" s="174"/>
      <c r="D1378" s="131"/>
      <c r="E1378" s="174"/>
    </row>
    <row r="1379" spans="1:5">
      <c r="A1379" s="132"/>
      <c r="B1379" s="174"/>
      <c r="C1379" s="174"/>
      <c r="D1379" s="131"/>
      <c r="E1379" s="174"/>
    </row>
    <row r="1380" spans="1:5">
      <c r="A1380" s="132"/>
      <c r="B1380" s="174"/>
      <c r="C1380" s="174"/>
      <c r="D1380" s="131"/>
      <c r="E1380" s="174"/>
    </row>
    <row r="1381" spans="1:5">
      <c r="A1381" s="132"/>
      <c r="B1381" s="174"/>
      <c r="C1381" s="174"/>
      <c r="D1381" s="131"/>
      <c r="E1381" s="174"/>
    </row>
    <row r="1382" spans="1:5">
      <c r="A1382" s="132"/>
      <c r="B1382" s="174"/>
      <c r="C1382" s="174"/>
      <c r="D1382" s="131"/>
      <c r="E1382" s="174"/>
    </row>
    <row r="1383" spans="1:5">
      <c r="A1383" s="132"/>
      <c r="B1383" s="174"/>
      <c r="C1383" s="174"/>
      <c r="D1383" s="131"/>
      <c r="E1383" s="174"/>
    </row>
    <row r="1384" spans="1:5">
      <c r="A1384" s="132"/>
      <c r="B1384" s="174"/>
      <c r="C1384" s="174"/>
      <c r="D1384" s="131"/>
      <c r="E1384" s="174"/>
    </row>
    <row r="1385" spans="1:5">
      <c r="A1385" s="132"/>
      <c r="B1385" s="174"/>
      <c r="C1385" s="174"/>
      <c r="D1385" s="131"/>
      <c r="E1385" s="174"/>
    </row>
    <row r="1386" spans="1:5">
      <c r="A1386" s="132"/>
      <c r="B1386" s="174"/>
      <c r="C1386" s="174"/>
      <c r="D1386" s="131"/>
      <c r="E1386" s="174"/>
    </row>
    <row r="1387" spans="1:5">
      <c r="A1387" s="132"/>
      <c r="B1387" s="174"/>
      <c r="C1387" s="174"/>
      <c r="D1387" s="131"/>
      <c r="E1387" s="174"/>
    </row>
    <row r="1388" spans="1:5">
      <c r="A1388" s="132"/>
      <c r="B1388" s="174"/>
      <c r="C1388" s="174"/>
      <c r="D1388" s="131"/>
      <c r="E1388" s="174"/>
    </row>
    <row r="1389" spans="1:5">
      <c r="A1389" s="132"/>
      <c r="B1389" s="174"/>
      <c r="C1389" s="174"/>
      <c r="D1389" s="131"/>
      <c r="E1389" s="174"/>
    </row>
    <row r="1390" spans="1:5">
      <c r="A1390" s="132"/>
      <c r="B1390" s="174"/>
      <c r="C1390" s="174"/>
      <c r="D1390" s="131"/>
      <c r="E1390" s="174"/>
    </row>
    <row r="1391" spans="1:5">
      <c r="A1391" s="132"/>
      <c r="B1391" s="174"/>
      <c r="C1391" s="174"/>
      <c r="D1391" s="131"/>
      <c r="E1391" s="174"/>
    </row>
    <row r="1392" spans="1:5">
      <c r="A1392" s="132"/>
      <c r="B1392" s="174"/>
      <c r="C1392" s="174"/>
      <c r="D1392" s="131"/>
      <c r="E1392" s="174"/>
    </row>
    <row r="1393" spans="1:5">
      <c r="A1393" s="132"/>
      <c r="B1393" s="174"/>
      <c r="C1393" s="174"/>
      <c r="D1393" s="131"/>
      <c r="E1393" s="174"/>
    </row>
    <row r="1394" spans="1:5">
      <c r="A1394" s="132"/>
      <c r="B1394" s="174"/>
      <c r="C1394" s="174"/>
      <c r="D1394" s="131"/>
      <c r="E1394" s="174"/>
    </row>
    <row r="1395" spans="1:5">
      <c r="A1395" s="132"/>
      <c r="B1395" s="174"/>
      <c r="C1395" s="174"/>
      <c r="D1395" s="131"/>
      <c r="E1395" s="174"/>
    </row>
    <row r="1396" spans="1:5">
      <c r="A1396" s="132"/>
      <c r="B1396" s="174"/>
      <c r="C1396" s="174"/>
      <c r="D1396" s="131"/>
      <c r="E1396" s="174"/>
    </row>
    <row r="1397" spans="1:5">
      <c r="A1397" s="132"/>
      <c r="B1397" s="174"/>
      <c r="C1397" s="174"/>
      <c r="D1397" s="131"/>
      <c r="E1397" s="174"/>
    </row>
    <row r="1398" spans="1:5">
      <c r="A1398" s="132"/>
      <c r="B1398" s="174"/>
      <c r="C1398" s="174"/>
      <c r="D1398" s="131"/>
      <c r="E1398" s="174"/>
    </row>
    <row r="1399" spans="1:5">
      <c r="A1399" s="132"/>
      <c r="B1399" s="174"/>
      <c r="C1399" s="174"/>
      <c r="D1399" s="131"/>
      <c r="E1399" s="174"/>
    </row>
    <row r="1400" spans="1:5">
      <c r="A1400" s="132"/>
      <c r="B1400" s="174"/>
      <c r="C1400" s="174"/>
      <c r="D1400" s="131"/>
      <c r="E1400" s="174"/>
    </row>
    <row r="1401" spans="1:5">
      <c r="A1401" s="132"/>
      <c r="B1401" s="174"/>
      <c r="C1401" s="174"/>
      <c r="D1401" s="131"/>
      <c r="E1401" s="174"/>
    </row>
    <row r="1402" spans="1:5">
      <c r="A1402" s="132"/>
      <c r="B1402" s="174"/>
      <c r="C1402" s="174"/>
      <c r="D1402" s="131"/>
      <c r="E1402" s="174"/>
    </row>
    <row r="1403" spans="1:5">
      <c r="A1403" s="132"/>
      <c r="B1403" s="174"/>
      <c r="C1403" s="174"/>
      <c r="D1403" s="131"/>
      <c r="E1403" s="174"/>
    </row>
    <row r="1404" spans="1:5">
      <c r="A1404" s="132"/>
      <c r="B1404" s="174"/>
      <c r="C1404" s="174"/>
      <c r="D1404" s="131"/>
      <c r="E1404" s="174"/>
    </row>
    <row r="1405" spans="1:5">
      <c r="A1405" s="132"/>
      <c r="B1405" s="174"/>
      <c r="C1405" s="174"/>
      <c r="D1405" s="131"/>
      <c r="E1405" s="174"/>
    </row>
    <row r="1406" spans="1:5">
      <c r="A1406" s="132"/>
      <c r="B1406" s="174"/>
      <c r="C1406" s="174"/>
      <c r="D1406" s="131"/>
      <c r="E1406" s="174"/>
    </row>
    <row r="1407" spans="1:5">
      <c r="A1407" s="132"/>
      <c r="B1407" s="174"/>
      <c r="C1407" s="174"/>
      <c r="D1407" s="131"/>
      <c r="E1407" s="174"/>
    </row>
    <row r="1408" spans="1:5">
      <c r="A1408" s="132"/>
      <c r="B1408" s="174"/>
      <c r="C1408" s="174"/>
      <c r="D1408" s="131"/>
      <c r="E1408" s="174"/>
    </row>
    <row r="1409" spans="1:5">
      <c r="A1409" s="132"/>
      <c r="B1409" s="174"/>
      <c r="C1409" s="174"/>
      <c r="D1409" s="131"/>
      <c r="E1409" s="174"/>
    </row>
    <row r="1410" spans="1:5">
      <c r="A1410" s="132"/>
      <c r="B1410" s="174"/>
      <c r="C1410" s="174"/>
      <c r="D1410" s="131"/>
      <c r="E1410" s="174"/>
    </row>
    <row r="1411" spans="1:5">
      <c r="A1411" s="132"/>
      <c r="B1411" s="174"/>
      <c r="C1411" s="174"/>
      <c r="D1411" s="131"/>
      <c r="E1411" s="174"/>
    </row>
    <row r="1412" spans="1:5">
      <c r="A1412" s="132"/>
      <c r="B1412" s="174"/>
      <c r="C1412" s="174"/>
      <c r="D1412" s="131"/>
      <c r="E1412" s="174"/>
    </row>
    <row r="1413" spans="1:5">
      <c r="A1413" s="132"/>
      <c r="B1413" s="174"/>
      <c r="C1413" s="174"/>
      <c r="D1413" s="131"/>
      <c r="E1413" s="174"/>
    </row>
    <row r="1414" spans="1:5">
      <c r="A1414" s="132"/>
      <c r="B1414" s="174"/>
      <c r="C1414" s="174"/>
      <c r="D1414" s="131"/>
      <c r="E1414" s="174"/>
    </row>
    <row r="1415" spans="1:5">
      <c r="A1415" s="132"/>
      <c r="B1415" s="174"/>
      <c r="C1415" s="174"/>
      <c r="D1415" s="131"/>
      <c r="E1415" s="174"/>
    </row>
    <row r="1416" spans="1:5">
      <c r="A1416" s="132"/>
      <c r="B1416" s="174"/>
      <c r="C1416" s="174"/>
      <c r="D1416" s="131"/>
      <c r="E1416" s="174"/>
    </row>
    <row r="1417" spans="1:5">
      <c r="A1417" s="132"/>
      <c r="B1417" s="174"/>
      <c r="C1417" s="174"/>
      <c r="D1417" s="131"/>
      <c r="E1417" s="174"/>
    </row>
    <row r="1418" spans="1:5">
      <c r="A1418" s="132"/>
      <c r="B1418" s="174"/>
      <c r="C1418" s="174"/>
      <c r="D1418" s="131"/>
      <c r="E1418" s="174"/>
    </row>
    <row r="1419" spans="1:5">
      <c r="A1419" s="132"/>
      <c r="B1419" s="174"/>
      <c r="C1419" s="174"/>
      <c r="D1419" s="131"/>
      <c r="E1419" s="174"/>
    </row>
    <row r="1420" spans="1:5">
      <c r="A1420" s="132"/>
      <c r="B1420" s="174"/>
      <c r="C1420" s="174"/>
      <c r="D1420" s="131"/>
      <c r="E1420" s="174"/>
    </row>
    <row r="1421" spans="1:5">
      <c r="A1421" s="132"/>
      <c r="B1421" s="174"/>
      <c r="C1421" s="174"/>
      <c r="D1421" s="131"/>
      <c r="E1421" s="174"/>
    </row>
    <row r="1422" spans="1:5">
      <c r="A1422" s="132"/>
      <c r="B1422" s="174"/>
      <c r="C1422" s="174"/>
      <c r="D1422" s="131"/>
      <c r="E1422" s="174"/>
    </row>
    <row r="1423" spans="1:5">
      <c r="A1423" s="132"/>
      <c r="B1423" s="174"/>
      <c r="C1423" s="174"/>
      <c r="D1423" s="131"/>
      <c r="E1423" s="174"/>
    </row>
    <row r="1424" spans="1:5">
      <c r="A1424" s="132"/>
      <c r="B1424" s="174"/>
      <c r="C1424" s="174"/>
      <c r="D1424" s="131"/>
      <c r="E1424" s="174"/>
    </row>
    <row r="1425" spans="1:5">
      <c r="A1425" s="132"/>
      <c r="B1425" s="174"/>
      <c r="C1425" s="174"/>
      <c r="D1425" s="131"/>
      <c r="E1425" s="174"/>
    </row>
    <row r="1426" spans="1:5">
      <c r="A1426" s="132"/>
      <c r="B1426" s="174"/>
      <c r="C1426" s="174"/>
      <c r="D1426" s="131"/>
      <c r="E1426" s="174"/>
    </row>
    <row r="1427" spans="1:5">
      <c r="A1427" s="132"/>
      <c r="B1427" s="174"/>
      <c r="C1427" s="174"/>
      <c r="D1427" s="131"/>
      <c r="E1427" s="174"/>
    </row>
    <row r="1428" spans="1:5">
      <c r="A1428" s="132"/>
      <c r="B1428" s="174"/>
      <c r="C1428" s="174"/>
      <c r="D1428" s="131"/>
      <c r="E1428" s="174"/>
    </row>
    <row r="1429" spans="1:5">
      <c r="A1429" s="132"/>
      <c r="B1429" s="174"/>
      <c r="C1429" s="174"/>
      <c r="D1429" s="131"/>
      <c r="E1429" s="174"/>
    </row>
    <row r="1430" spans="1:5">
      <c r="A1430" s="132"/>
      <c r="B1430" s="174"/>
      <c r="C1430" s="174"/>
      <c r="D1430" s="131"/>
      <c r="E1430" s="174"/>
    </row>
    <row r="1431" spans="1:5">
      <c r="A1431" s="132"/>
      <c r="B1431" s="174"/>
      <c r="C1431" s="174"/>
      <c r="D1431" s="131"/>
      <c r="E1431" s="174"/>
    </row>
    <row r="1432" spans="1:5">
      <c r="A1432" s="132"/>
      <c r="B1432" s="174"/>
      <c r="C1432" s="174"/>
      <c r="D1432" s="131"/>
      <c r="E1432" s="174"/>
    </row>
    <row r="1433" spans="1:5">
      <c r="A1433" s="132"/>
      <c r="B1433" s="174"/>
      <c r="C1433" s="174"/>
      <c r="D1433" s="131"/>
      <c r="E1433" s="174"/>
    </row>
    <row r="1434" spans="1:5">
      <c r="A1434" s="132"/>
      <c r="B1434" s="174"/>
      <c r="C1434" s="174"/>
      <c r="D1434" s="131"/>
      <c r="E1434" s="174"/>
    </row>
    <row r="1435" spans="1:5">
      <c r="A1435" s="132"/>
      <c r="B1435" s="174"/>
      <c r="C1435" s="174"/>
      <c r="D1435" s="131"/>
      <c r="E1435" s="174"/>
    </row>
    <row r="1436" spans="1:5">
      <c r="A1436" s="132"/>
      <c r="B1436" s="174"/>
      <c r="C1436" s="174"/>
      <c r="D1436" s="131"/>
      <c r="E1436" s="174"/>
    </row>
    <row r="1437" spans="1:5">
      <c r="A1437" s="132"/>
      <c r="B1437" s="174"/>
      <c r="C1437" s="174"/>
      <c r="D1437" s="131"/>
      <c r="E1437" s="174"/>
    </row>
    <row r="1438" spans="1:5">
      <c r="A1438" s="132"/>
      <c r="B1438" s="174"/>
      <c r="C1438" s="174"/>
      <c r="D1438" s="131"/>
      <c r="E1438" s="174"/>
    </row>
    <row r="1439" spans="1:5">
      <c r="A1439" s="132"/>
      <c r="B1439" s="174"/>
      <c r="C1439" s="174"/>
      <c r="D1439" s="131"/>
      <c r="E1439" s="174"/>
    </row>
    <row r="1440" spans="1:5">
      <c r="A1440" s="132"/>
      <c r="B1440" s="174"/>
      <c r="C1440" s="174"/>
      <c r="D1440" s="131"/>
      <c r="E1440" s="174"/>
    </row>
    <row r="1441" spans="1:5">
      <c r="A1441" s="132"/>
      <c r="B1441" s="174"/>
      <c r="C1441" s="174"/>
      <c r="D1441" s="131"/>
      <c r="E1441" s="174"/>
    </row>
    <row r="1442" spans="1:5">
      <c r="A1442" s="132"/>
      <c r="B1442" s="174"/>
      <c r="C1442" s="174"/>
      <c r="D1442" s="131"/>
      <c r="E1442" s="174"/>
    </row>
    <row r="1443" spans="1:5">
      <c r="A1443" s="132"/>
      <c r="B1443" s="174"/>
      <c r="C1443" s="174"/>
      <c r="D1443" s="131"/>
      <c r="E1443" s="174"/>
    </row>
    <row r="1444" spans="1:5">
      <c r="A1444" s="132"/>
      <c r="B1444" s="174"/>
      <c r="C1444" s="174"/>
      <c r="D1444" s="131"/>
      <c r="E1444" s="174"/>
    </row>
    <row r="1445" spans="1:5">
      <c r="A1445" s="132"/>
      <c r="B1445" s="174"/>
      <c r="C1445" s="174"/>
      <c r="D1445" s="131"/>
      <c r="E1445" s="174"/>
    </row>
    <row r="1446" spans="1:5">
      <c r="A1446" s="132"/>
      <c r="B1446" s="174"/>
      <c r="C1446" s="174"/>
      <c r="D1446" s="131"/>
      <c r="E1446" s="174"/>
    </row>
    <row r="1447" spans="1:5">
      <c r="A1447" s="132"/>
      <c r="B1447" s="174"/>
      <c r="C1447" s="174"/>
      <c r="D1447" s="131"/>
      <c r="E1447" s="174"/>
    </row>
    <row r="1448" spans="1:5">
      <c r="A1448" s="132"/>
      <c r="B1448" s="174"/>
      <c r="C1448" s="174"/>
      <c r="D1448" s="131"/>
      <c r="E1448" s="174"/>
    </row>
    <row r="1449" spans="1:5">
      <c r="A1449" s="132"/>
      <c r="B1449" s="174"/>
      <c r="C1449" s="174"/>
      <c r="D1449" s="131"/>
      <c r="E1449" s="174"/>
    </row>
    <row r="1450" spans="1:5">
      <c r="A1450" s="132"/>
      <c r="B1450" s="174"/>
      <c r="C1450" s="174"/>
      <c r="D1450" s="131"/>
      <c r="E1450" s="174"/>
    </row>
    <row r="1451" spans="1:5">
      <c r="A1451" s="132"/>
      <c r="B1451" s="174"/>
      <c r="C1451" s="174"/>
      <c r="D1451" s="131"/>
      <c r="E1451" s="174"/>
    </row>
    <row r="1452" spans="1:5">
      <c r="A1452" s="132"/>
      <c r="B1452" s="174"/>
      <c r="C1452" s="174"/>
      <c r="D1452" s="131"/>
      <c r="E1452" s="174"/>
    </row>
    <row r="1453" spans="1:5">
      <c r="A1453" s="132"/>
      <c r="B1453" s="174"/>
      <c r="C1453" s="174"/>
      <c r="D1453" s="131"/>
      <c r="E1453" s="174"/>
    </row>
    <row r="1454" spans="1:5">
      <c r="A1454" s="132"/>
      <c r="B1454" s="174"/>
      <c r="C1454" s="174"/>
      <c r="D1454" s="131"/>
      <c r="E1454" s="174"/>
    </row>
    <row r="1455" spans="1:5">
      <c r="A1455" s="132"/>
      <c r="B1455" s="174"/>
      <c r="C1455" s="174"/>
      <c r="D1455" s="131"/>
      <c r="E1455" s="174"/>
    </row>
    <row r="1456" spans="1:5">
      <c r="A1456" s="132"/>
      <c r="B1456" s="174"/>
      <c r="C1456" s="174"/>
      <c r="D1456" s="131"/>
      <c r="E1456" s="174"/>
    </row>
    <row r="1457" spans="1:5">
      <c r="A1457" s="132"/>
      <c r="B1457" s="174"/>
      <c r="C1457" s="174"/>
      <c r="D1457" s="131"/>
      <c r="E1457" s="174"/>
    </row>
    <row r="1458" spans="1:5">
      <c r="A1458" s="132"/>
      <c r="B1458" s="174"/>
      <c r="C1458" s="174"/>
      <c r="D1458" s="131"/>
      <c r="E1458" s="174"/>
    </row>
    <row r="1459" spans="1:5">
      <c r="A1459" s="132"/>
      <c r="B1459" s="174"/>
      <c r="C1459" s="174"/>
      <c r="D1459" s="131"/>
      <c r="E1459" s="174"/>
    </row>
    <row r="1460" spans="1:5">
      <c r="A1460" s="132"/>
      <c r="B1460" s="174"/>
      <c r="C1460" s="174"/>
      <c r="D1460" s="131"/>
      <c r="E1460" s="174"/>
    </row>
    <row r="1461" spans="1:5">
      <c r="A1461" s="132"/>
      <c r="B1461" s="174"/>
      <c r="C1461" s="174"/>
      <c r="D1461" s="131"/>
      <c r="E1461" s="174"/>
    </row>
    <row r="1462" spans="1:5">
      <c r="A1462" s="132"/>
      <c r="B1462" s="174"/>
      <c r="C1462" s="174"/>
      <c r="D1462" s="131"/>
      <c r="E1462" s="174"/>
    </row>
    <row r="1463" spans="1:5">
      <c r="A1463" s="132"/>
      <c r="B1463" s="174"/>
      <c r="C1463" s="174"/>
      <c r="D1463" s="131"/>
      <c r="E1463" s="174"/>
    </row>
    <row r="1464" spans="1:5">
      <c r="A1464" s="132"/>
      <c r="B1464" s="174"/>
      <c r="C1464" s="174"/>
      <c r="D1464" s="131"/>
      <c r="E1464" s="174"/>
    </row>
    <row r="1465" spans="1:5">
      <c r="A1465" s="132"/>
      <c r="B1465" s="174"/>
      <c r="C1465" s="174"/>
      <c r="D1465" s="131"/>
      <c r="E1465" s="174"/>
    </row>
    <row r="1466" spans="1:5">
      <c r="A1466" s="132"/>
      <c r="B1466" s="174"/>
      <c r="C1466" s="174"/>
      <c r="D1466" s="131"/>
      <c r="E1466" s="174"/>
    </row>
    <row r="1467" spans="1:5">
      <c r="A1467" s="132"/>
      <c r="B1467" s="174"/>
      <c r="C1467" s="174"/>
      <c r="D1467" s="131"/>
      <c r="E1467" s="174"/>
    </row>
    <row r="1468" spans="1:5">
      <c r="A1468" s="132"/>
      <c r="B1468" s="174"/>
      <c r="C1468" s="174"/>
      <c r="D1468" s="131"/>
      <c r="E1468" s="174"/>
    </row>
    <row r="1469" spans="1:5">
      <c r="A1469" s="132"/>
      <c r="B1469" s="174"/>
      <c r="C1469" s="174"/>
      <c r="D1469" s="131"/>
      <c r="E1469" s="174"/>
    </row>
    <row r="1470" spans="1:5">
      <c r="A1470" s="132"/>
      <c r="B1470" s="174"/>
      <c r="C1470" s="174"/>
      <c r="D1470" s="131"/>
      <c r="E1470" s="174"/>
    </row>
    <row r="1471" spans="1:5">
      <c r="A1471" s="132"/>
      <c r="B1471" s="174"/>
      <c r="C1471" s="174"/>
      <c r="D1471" s="131"/>
      <c r="E1471" s="174"/>
    </row>
    <row r="1472" spans="1:5">
      <c r="A1472" s="132"/>
      <c r="B1472" s="174"/>
      <c r="C1472" s="174"/>
      <c r="D1472" s="131"/>
      <c r="E1472" s="174"/>
    </row>
    <row r="1473" spans="1:5">
      <c r="A1473" s="132"/>
      <c r="B1473" s="174"/>
      <c r="C1473" s="174"/>
      <c r="D1473" s="131"/>
      <c r="E1473" s="174"/>
    </row>
    <row r="1474" spans="1:5">
      <c r="A1474" s="132"/>
      <c r="B1474" s="174"/>
      <c r="C1474" s="174"/>
      <c r="D1474" s="131"/>
      <c r="E1474" s="174"/>
    </row>
    <row r="1475" spans="1:5">
      <c r="A1475" s="132"/>
      <c r="B1475" s="174"/>
      <c r="C1475" s="174"/>
      <c r="D1475" s="131"/>
      <c r="E1475" s="174"/>
    </row>
    <row r="1476" spans="1:5">
      <c r="A1476" s="132"/>
      <c r="B1476" s="174"/>
      <c r="C1476" s="174"/>
      <c r="D1476" s="131"/>
      <c r="E1476" s="174"/>
    </row>
    <row r="1477" spans="1:5">
      <c r="A1477" s="132"/>
      <c r="B1477" s="174"/>
      <c r="C1477" s="174"/>
      <c r="D1477" s="131"/>
      <c r="E1477" s="174"/>
    </row>
    <row r="1478" spans="1:5">
      <c r="A1478" s="132"/>
      <c r="B1478" s="174"/>
      <c r="C1478" s="174"/>
      <c r="D1478" s="131"/>
      <c r="E1478" s="174"/>
    </row>
    <row r="1479" spans="1:5">
      <c r="A1479" s="132"/>
      <c r="B1479" s="174"/>
      <c r="C1479" s="174"/>
      <c r="D1479" s="131"/>
      <c r="E1479" s="174"/>
    </row>
    <row r="1480" spans="1:5">
      <c r="A1480" s="132"/>
      <c r="B1480" s="174"/>
      <c r="C1480" s="174"/>
      <c r="D1480" s="131"/>
      <c r="E1480" s="174"/>
    </row>
    <row r="1481" spans="1:5">
      <c r="A1481" s="132"/>
      <c r="B1481" s="174"/>
      <c r="C1481" s="174"/>
      <c r="D1481" s="131"/>
      <c r="E1481" s="174"/>
    </row>
    <row r="1482" spans="1:5">
      <c r="A1482" s="132"/>
      <c r="B1482" s="174"/>
      <c r="C1482" s="174"/>
      <c r="D1482" s="131"/>
      <c r="E1482" s="174"/>
    </row>
    <row r="1483" spans="1:5">
      <c r="A1483" s="132"/>
      <c r="B1483" s="174"/>
      <c r="C1483" s="174"/>
      <c r="D1483" s="131"/>
      <c r="E1483" s="174"/>
    </row>
    <row r="1484" spans="1:5">
      <c r="A1484" s="132"/>
      <c r="B1484" s="174"/>
      <c r="C1484" s="174"/>
      <c r="D1484" s="131"/>
      <c r="E1484" s="174"/>
    </row>
    <row r="1485" spans="1:5">
      <c r="A1485" s="132"/>
      <c r="B1485" s="174"/>
      <c r="C1485" s="174"/>
      <c r="D1485" s="131"/>
      <c r="E1485" s="174"/>
    </row>
    <row r="1486" spans="1:5">
      <c r="A1486" s="132"/>
      <c r="B1486" s="174"/>
      <c r="C1486" s="174"/>
      <c r="D1486" s="131"/>
      <c r="E1486" s="174"/>
    </row>
    <row r="1487" spans="1:5">
      <c r="A1487" s="132"/>
      <c r="B1487" s="174"/>
      <c r="C1487" s="174"/>
      <c r="D1487" s="131"/>
      <c r="E1487" s="174"/>
    </row>
    <row r="1488" spans="1:5">
      <c r="A1488" s="132"/>
      <c r="B1488" s="174"/>
      <c r="C1488" s="174"/>
      <c r="D1488" s="131"/>
      <c r="E1488" s="174"/>
    </row>
    <row r="1489" spans="1:5">
      <c r="A1489" s="132"/>
      <c r="B1489" s="174"/>
      <c r="C1489" s="174"/>
      <c r="D1489" s="131"/>
      <c r="E1489" s="174"/>
    </row>
    <row r="1490" spans="1:5">
      <c r="A1490" s="132"/>
      <c r="B1490" s="174"/>
      <c r="C1490" s="174"/>
      <c r="D1490" s="131"/>
      <c r="E1490" s="174"/>
    </row>
    <row r="1491" spans="1:5">
      <c r="A1491" s="132"/>
      <c r="B1491" s="174"/>
      <c r="C1491" s="174"/>
      <c r="D1491" s="131"/>
      <c r="E1491" s="174"/>
    </row>
    <row r="1492" spans="1:5">
      <c r="A1492" s="132"/>
      <c r="B1492" s="174"/>
      <c r="C1492" s="174"/>
      <c r="D1492" s="131"/>
      <c r="E1492" s="174"/>
    </row>
    <row r="1493" spans="1:5">
      <c r="A1493" s="132"/>
      <c r="B1493" s="174"/>
      <c r="C1493" s="174"/>
      <c r="D1493" s="131"/>
      <c r="E1493" s="174"/>
    </row>
    <row r="1494" spans="1:5">
      <c r="A1494" s="132"/>
      <c r="B1494" s="174"/>
      <c r="C1494" s="174"/>
      <c r="D1494" s="131"/>
      <c r="E1494" s="174"/>
    </row>
    <row r="1495" spans="1:5">
      <c r="A1495" s="132"/>
      <c r="B1495" s="174"/>
      <c r="C1495" s="174"/>
      <c r="D1495" s="131"/>
      <c r="E1495" s="174"/>
    </row>
    <row r="1496" spans="1:5">
      <c r="A1496" s="132"/>
      <c r="B1496" s="174"/>
      <c r="C1496" s="174"/>
      <c r="D1496" s="131"/>
      <c r="E1496" s="174"/>
    </row>
    <row r="1497" spans="1:5">
      <c r="A1497" s="132"/>
      <c r="B1497" s="174"/>
      <c r="C1497" s="174"/>
      <c r="D1497" s="131"/>
      <c r="E1497" s="174"/>
    </row>
    <row r="1498" spans="1:5">
      <c r="A1498" s="132"/>
      <c r="B1498" s="174"/>
      <c r="C1498" s="174"/>
      <c r="D1498" s="131"/>
      <c r="E1498" s="174"/>
    </row>
    <row r="1499" spans="1:5">
      <c r="A1499" s="132"/>
      <c r="B1499" s="174"/>
      <c r="C1499" s="174"/>
      <c r="D1499" s="131"/>
      <c r="E1499" s="174"/>
    </row>
    <row r="1500" spans="1:5">
      <c r="A1500" s="132"/>
      <c r="B1500" s="174"/>
      <c r="C1500" s="174"/>
      <c r="D1500" s="131"/>
      <c r="E1500" s="174"/>
    </row>
    <row r="1501" spans="1:5">
      <c r="A1501" s="132"/>
      <c r="B1501" s="174"/>
      <c r="C1501" s="174"/>
      <c r="D1501" s="131"/>
      <c r="E1501" s="174"/>
    </row>
    <row r="1502" spans="1:5">
      <c r="A1502" s="132"/>
      <c r="B1502" s="174"/>
      <c r="C1502" s="174"/>
      <c r="D1502" s="131"/>
      <c r="E1502" s="174"/>
    </row>
    <row r="1503" spans="1:5">
      <c r="A1503" s="132"/>
      <c r="B1503" s="174"/>
      <c r="C1503" s="174"/>
      <c r="D1503" s="131"/>
      <c r="E1503" s="174"/>
    </row>
    <row r="1504" spans="1:5">
      <c r="A1504" s="132"/>
      <c r="B1504" s="174"/>
      <c r="C1504" s="174"/>
      <c r="D1504" s="131"/>
      <c r="E1504" s="174"/>
    </row>
    <row r="1505" spans="1:5">
      <c r="A1505" s="132"/>
      <c r="B1505" s="174"/>
      <c r="C1505" s="174"/>
      <c r="D1505" s="131"/>
      <c r="E1505" s="174"/>
    </row>
  </sheetData>
  <sortState ref="A6:F1506">
    <sortCondition ref="F5"/>
  </sortState>
  <mergeCells count="5">
    <mergeCell ref="D3:D4"/>
    <mergeCell ref="A3:A4"/>
    <mergeCell ref="B3:C3"/>
    <mergeCell ref="E3:E4"/>
    <mergeCell ref="A2:E2"/>
  </mergeCells>
  <pageMargins left="0.7" right="0.7" top="0.75" bottom="0.75" header="0.3" footer="0.3"/>
  <pageSetup paperSize="9" orientation="portrait" verticalDpi="300" r:id="rId1"/>
  <drawing r:id="rId2"/>
  <extLst>
    <ext xmlns:x14="http://schemas.microsoft.com/office/spreadsheetml/2009/9/main" uri="{78C0D931-6437-407d-A8EE-F0AAD7539E65}">
      <x14:conditionalFormattings>
        <x14:conditionalFormatting xmlns:xm="http://schemas.microsoft.com/office/excel/2006/main">
          <x14:cfRule type="expression" priority="7" id="{90576E51-F52C-4DEA-9D68-1C39E9464CD3}">
            <xm:f>AND(#REF!&lt;&gt;"",#REF!=ThietLap!$B$23)</xm:f>
            <x14:dxf>
              <fill>
                <patternFill>
                  <bgColor theme="0" tint="-0.14996795556505021"/>
                </patternFill>
              </fill>
            </x14:dxf>
          </x14:cfRule>
          <x14:cfRule type="expression" priority="8" id="{8D6BDE89-91B0-4EA5-AA5B-45DAC9FD511E}">
            <xm:f>AND($W6&lt;&gt;"",$W6&gt;=DK!$C$19,$W6&lt;=DK!$C$20)</xm:f>
            <x14:dxf>
              <fill>
                <patternFill>
                  <bgColor theme="7" tint="0.79998168889431442"/>
                </patternFill>
              </fill>
            </x14:dxf>
          </x14:cfRule>
          <x14:cfRule type="expression" priority="9" id="{6C4AF4B1-7A9E-4E8A-8922-6BA0593294F1}">
            <xm:f>AND(#REF!&lt;&gt;"",#REF!&gt;=DK!$C$19,#REF!&lt;=DK!$C$20)</xm:f>
            <x14:dxf>
              <fill>
                <patternFill>
                  <bgColor theme="4" tint="0.59996337778862885"/>
                </patternFill>
              </fill>
            </x14:dxf>
          </x14:cfRule>
          <xm:sqref>B6:B1505 E7:E1505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5"/>
  <sheetViews>
    <sheetView showGridLines="0" zoomScaleNormal="100" workbookViewId="0">
      <selection activeCell="D13" sqref="D13:E13"/>
    </sheetView>
  </sheetViews>
  <sheetFormatPr defaultColWidth="9.140625" defaultRowHeight="15"/>
  <cols>
    <col min="1" max="2" width="16.85546875" style="1" customWidth="1"/>
    <col min="3" max="3" width="20.42578125" style="1" customWidth="1"/>
    <col min="4" max="4" width="18" style="1" customWidth="1"/>
    <col min="5" max="5" width="15.42578125" style="1" customWidth="1"/>
    <col min="6" max="6" width="24.28515625" style="1" customWidth="1"/>
    <col min="7" max="7" width="18" style="1" customWidth="1"/>
    <col min="8" max="8" width="14.42578125" style="1" customWidth="1"/>
    <col min="9" max="9" width="16" style="1" customWidth="1"/>
    <col min="10" max="10" width="12.140625" style="1" customWidth="1"/>
    <col min="11" max="16384" width="9.140625" style="1"/>
  </cols>
  <sheetData>
    <row r="1" spans="1:18" ht="53.25" customHeight="1"/>
    <row r="2" spans="1:18" ht="26.25" customHeight="1">
      <c r="A2" s="576" t="s">
        <v>170</v>
      </c>
      <c r="B2" s="576"/>
      <c r="C2" s="576"/>
      <c r="D2" s="576"/>
      <c r="E2" s="576"/>
      <c r="F2" s="576"/>
      <c r="G2" s="576"/>
      <c r="H2" s="576"/>
      <c r="I2" s="576"/>
      <c r="J2" s="576"/>
      <c r="K2" s="32"/>
      <c r="L2" s="16"/>
      <c r="M2" s="16"/>
      <c r="N2" s="16"/>
      <c r="O2" s="16"/>
      <c r="P2" s="16"/>
      <c r="Q2" s="16"/>
      <c r="R2" s="16"/>
    </row>
    <row r="3" spans="1:18" ht="9" customHeight="1">
      <c r="A3" s="118"/>
      <c r="B3" s="119"/>
      <c r="C3" s="37"/>
      <c r="D3" s="37"/>
      <c r="E3" s="37"/>
      <c r="F3" s="37"/>
      <c r="G3" s="37"/>
      <c r="H3" s="37"/>
      <c r="I3" s="38"/>
      <c r="J3" s="39"/>
      <c r="K3" s="32"/>
      <c r="L3" s="16"/>
      <c r="M3" s="16"/>
      <c r="N3" s="16"/>
      <c r="O3" s="16"/>
      <c r="P3" s="16"/>
      <c r="Q3" s="16"/>
      <c r="R3" s="16"/>
    </row>
    <row r="4" spans="1:18" ht="8.25" customHeight="1">
      <c r="A4" s="40"/>
      <c r="B4" s="120"/>
      <c r="C4" s="41"/>
      <c r="D4" s="42"/>
      <c r="E4" s="42"/>
      <c r="F4" s="42"/>
      <c r="G4" s="42"/>
      <c r="H4" s="42"/>
      <c r="I4" s="42"/>
      <c r="J4" s="43"/>
      <c r="K4" s="32"/>
      <c r="L4" s="16"/>
      <c r="M4" s="16"/>
      <c r="N4" s="16"/>
      <c r="O4" s="16"/>
      <c r="P4" s="16"/>
      <c r="Q4" s="16"/>
      <c r="R4" s="16"/>
    </row>
    <row r="5" spans="1:18" ht="22.35" customHeight="1">
      <c r="A5" s="574" t="s">
        <v>174</v>
      </c>
      <c r="B5" s="577" t="s">
        <v>172</v>
      </c>
      <c r="C5" s="578"/>
      <c r="D5" s="595" t="s">
        <v>736</v>
      </c>
      <c r="E5" s="596"/>
      <c r="F5" s="597" t="s">
        <v>554</v>
      </c>
      <c r="G5" s="598"/>
      <c r="H5" s="594"/>
      <c r="I5" s="594"/>
      <c r="J5" s="45"/>
      <c r="K5" s="32"/>
      <c r="L5" s="16"/>
      <c r="M5" s="16"/>
      <c r="N5" s="16"/>
      <c r="O5" s="16"/>
      <c r="P5" s="16"/>
      <c r="Q5" s="16"/>
      <c r="R5" s="16"/>
    </row>
    <row r="6" spans="1:18" ht="15" customHeight="1">
      <c r="A6" s="574"/>
      <c r="B6" s="122"/>
      <c r="C6" s="123"/>
      <c r="D6" s="126"/>
      <c r="E6" s="124"/>
      <c r="F6" s="126"/>
      <c r="G6" s="126"/>
      <c r="H6" s="124"/>
      <c r="I6" s="126"/>
      <c r="J6" s="45"/>
      <c r="K6" s="32"/>
      <c r="L6" s="16"/>
      <c r="M6" s="16"/>
      <c r="N6" s="16"/>
      <c r="O6" s="16"/>
      <c r="P6" s="16"/>
      <c r="Q6" s="16"/>
      <c r="R6" s="16"/>
    </row>
    <row r="7" spans="1:18" ht="22.35" customHeight="1">
      <c r="A7" s="574"/>
      <c r="B7" s="579" t="s">
        <v>171</v>
      </c>
      <c r="C7" s="580"/>
      <c r="D7" s="167"/>
      <c r="E7" s="124" t="s">
        <v>167</v>
      </c>
      <c r="F7" s="168"/>
      <c r="G7" s="125"/>
      <c r="H7" s="125"/>
      <c r="I7" s="125"/>
      <c r="J7" s="45"/>
      <c r="K7" s="32"/>
      <c r="L7" s="16"/>
      <c r="M7" s="16"/>
      <c r="N7" s="16"/>
      <c r="O7" s="16"/>
      <c r="P7" s="16"/>
      <c r="Q7" s="16"/>
      <c r="R7" s="16"/>
    </row>
    <row r="8" spans="1:18" ht="12.75" customHeight="1">
      <c r="A8" s="574"/>
      <c r="B8" s="122"/>
      <c r="C8" s="123"/>
      <c r="D8" s="126"/>
      <c r="E8" s="124"/>
      <c r="F8" s="126"/>
      <c r="G8" s="126"/>
      <c r="H8" s="124"/>
      <c r="I8" s="126"/>
      <c r="J8" s="45"/>
      <c r="K8" s="32"/>
      <c r="L8" s="16"/>
      <c r="M8" s="16"/>
      <c r="N8" s="16"/>
      <c r="O8" s="16"/>
      <c r="P8" s="16"/>
      <c r="Q8" s="16"/>
      <c r="R8" s="16"/>
    </row>
    <row r="9" spans="1:18" ht="22.35" customHeight="1">
      <c r="A9" s="574"/>
      <c r="B9" s="590" t="s">
        <v>175</v>
      </c>
      <c r="C9" s="591"/>
      <c r="D9" s="581"/>
      <c r="E9" s="582"/>
      <c r="F9" s="582"/>
      <c r="G9" s="582"/>
      <c r="H9" s="582"/>
      <c r="I9" s="583"/>
      <c r="J9" s="45"/>
      <c r="K9" s="32"/>
      <c r="L9" s="16"/>
      <c r="M9" s="16"/>
      <c r="N9" s="16"/>
      <c r="O9" s="16"/>
      <c r="P9" s="16"/>
      <c r="Q9" s="16"/>
      <c r="R9" s="16"/>
    </row>
    <row r="10" spans="1:18" ht="22.35" customHeight="1">
      <c r="A10" s="574"/>
      <c r="B10" s="590"/>
      <c r="C10" s="591"/>
      <c r="D10" s="584"/>
      <c r="E10" s="585"/>
      <c r="F10" s="585"/>
      <c r="G10" s="585"/>
      <c r="H10" s="585"/>
      <c r="I10" s="586"/>
      <c r="J10" s="45"/>
      <c r="K10" s="32"/>
      <c r="L10" s="16"/>
      <c r="M10" s="16"/>
      <c r="N10" s="16"/>
      <c r="O10" s="16"/>
      <c r="P10" s="16"/>
      <c r="Q10" s="16"/>
      <c r="R10" s="16"/>
    </row>
    <row r="11" spans="1:18" ht="22.35" customHeight="1">
      <c r="A11" s="574"/>
      <c r="B11" s="590"/>
      <c r="C11" s="591"/>
      <c r="D11" s="587"/>
      <c r="E11" s="588"/>
      <c r="F11" s="588"/>
      <c r="G11" s="588"/>
      <c r="H11" s="588"/>
      <c r="I11" s="589"/>
      <c r="J11" s="45"/>
      <c r="K11" s="32"/>
      <c r="L11" s="16"/>
      <c r="M11" s="16"/>
      <c r="N11" s="16"/>
      <c r="O11" s="16"/>
      <c r="P11" s="16"/>
      <c r="Q11" s="16"/>
      <c r="R11" s="16"/>
    </row>
    <row r="12" spans="1:18" ht="12.75" customHeight="1">
      <c r="A12" s="574"/>
      <c r="B12" s="122"/>
      <c r="C12" s="123"/>
      <c r="D12" s="126"/>
      <c r="E12" s="124"/>
      <c r="F12" s="126"/>
      <c r="G12" s="126"/>
      <c r="H12" s="124"/>
      <c r="I12" s="126"/>
      <c r="J12" s="45"/>
      <c r="K12" s="32"/>
      <c r="L12" s="16"/>
      <c r="M12" s="16"/>
      <c r="N12" s="16"/>
      <c r="O12" s="16"/>
      <c r="P12" s="16"/>
      <c r="Q12" s="16"/>
      <c r="R12" s="16"/>
    </row>
    <row r="13" spans="1:18" ht="22.35" customHeight="1">
      <c r="A13" s="574"/>
      <c r="B13" s="579" t="s">
        <v>173</v>
      </c>
      <c r="C13" s="580"/>
      <c r="D13" s="592"/>
      <c r="E13" s="593"/>
      <c r="F13" s="125"/>
      <c r="G13" s="125"/>
      <c r="H13" s="125"/>
      <c r="I13" s="125"/>
      <c r="J13" s="45"/>
      <c r="K13" s="32"/>
      <c r="L13" s="16"/>
      <c r="M13" s="16"/>
      <c r="N13" s="16"/>
      <c r="O13" s="16"/>
      <c r="P13" s="16"/>
      <c r="Q13" s="16"/>
      <c r="R13" s="16"/>
    </row>
    <row r="14" spans="1:18" ht="20.25" customHeight="1">
      <c r="A14" s="575"/>
      <c r="B14" s="121"/>
      <c r="C14" s="46"/>
      <c r="D14" s="47"/>
      <c r="E14" s="46"/>
      <c r="F14" s="47"/>
      <c r="G14" s="47"/>
      <c r="H14" s="46"/>
      <c r="I14" s="47"/>
      <c r="J14" s="48"/>
      <c r="K14" s="32"/>
      <c r="L14" s="16"/>
      <c r="M14" s="16"/>
      <c r="N14" s="16"/>
      <c r="O14" s="16"/>
      <c r="P14" s="16"/>
      <c r="Q14" s="16"/>
      <c r="R14" s="16"/>
    </row>
    <row r="15" spans="1:18">
      <c r="A15" s="32"/>
      <c r="B15" s="32"/>
      <c r="C15" s="32"/>
      <c r="D15" s="32"/>
      <c r="E15" s="32"/>
      <c r="F15" s="32"/>
      <c r="G15" s="32"/>
      <c r="H15" s="32"/>
      <c r="I15" s="32"/>
      <c r="J15" s="32"/>
      <c r="K15" s="32"/>
      <c r="L15" s="16"/>
      <c r="M15" s="16"/>
      <c r="N15" s="16"/>
      <c r="O15" s="16"/>
      <c r="P15" s="16"/>
      <c r="Q15" s="16"/>
      <c r="R15" s="16"/>
    </row>
  </sheetData>
  <sheetProtection sheet="1" objects="1" scenarios="1" selectLockedCells="1"/>
  <mergeCells count="11">
    <mergeCell ref="A5:A14"/>
    <mergeCell ref="A2:J2"/>
    <mergeCell ref="B5:C5"/>
    <mergeCell ref="B7:C7"/>
    <mergeCell ref="D9:I11"/>
    <mergeCell ref="B9:C11"/>
    <mergeCell ref="B13:C13"/>
    <mergeCell ref="D13:E13"/>
    <mergeCell ref="H5:I5"/>
    <mergeCell ref="D5:E5"/>
    <mergeCell ref="F5:G5"/>
  </mergeCells>
  <dataValidations count="2">
    <dataValidation operator="greaterThanOrEqual" allowBlank="1" showInputMessage="1" showErrorMessage="1" errorTitle="Lỗi nhập dữ liệu" error="Chỉ được nhập dữ liệu dạng ngày tháng" sqref="D7 D9"/>
    <dataValidation operator="greaterThanOrEqual" allowBlank="1" showInputMessage="1" showErrorMessage="1" errorTitle="Lỗi nhập dữ liệu" error="Chỉ được nhập dữ liệu dạng số" sqref="F5 H5:I5"/>
  </dataValidation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boBox1">
          <controlPr defaultSize="0" print="0" autoLine="0" autoPict="0" r:id="rId5">
            <anchor moveWithCells="1">
              <from>
                <xdr:col>6</xdr:col>
                <xdr:colOff>762000</xdr:colOff>
                <xdr:row>4</xdr:row>
                <xdr:rowOff>19050</xdr:rowOff>
              </from>
              <to>
                <xdr:col>7</xdr:col>
                <xdr:colOff>876300</xdr:colOff>
                <xdr:row>5</xdr:row>
                <xdr:rowOff>28575</xdr:rowOff>
              </to>
            </anchor>
          </controlPr>
        </control>
      </mc:Choice>
      <mc:Fallback>
        <control shapeId="4098" r:id="rId4" name="ComboBox1"/>
      </mc:Fallback>
    </mc:AlternateContent>
  </controls>
  <extLst>
    <ext xmlns:x14="http://schemas.microsoft.com/office/spreadsheetml/2009/9/main" uri="{CCE6A557-97BC-4b89-ADB6-D9C93CAAB3DF}">
      <x14:dataValidations xmlns:xm="http://schemas.microsoft.com/office/excel/2006/main" count="2">
        <x14:dataValidation type="list" operator="greaterThanOrEqual" allowBlank="1" showInputMessage="1" showErrorMessage="1" errorTitle="Lỗi nhập dữ liệu" error="Chỉ được nhập dữ liệu dạng số">
          <x14:formula1>
            <xm:f>OFFSET(DSDV!#REF!,0,0,COUNTA(DSDV!$G$7:$G$216))</xm:f>
          </x14:formula1>
          <xm:sqref>D5:E5</xm:sqref>
        </x14:dataValidation>
        <x14:dataValidation type="list" operator="greaterThanOrEqual" allowBlank="1" showInputMessage="1" showErrorMessage="1" errorTitle="Lỗi nhập dữ liệu" error="Chỉ được nhập dữ liệu dạng ngày tháng">
          <x14:formula1>
            <xm:f>OFFSET(ThietLap!$V$2,0,0,COUNTA(ThietLap!$V$2:$V$17))</xm:f>
          </x14:formula1>
          <xm:sqref>D13:E13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L20"/>
  <sheetViews>
    <sheetView showGridLines="0" zoomScaleNormal="100" workbookViewId="0">
      <selection activeCell="E9" sqref="E9"/>
    </sheetView>
  </sheetViews>
  <sheetFormatPr defaultRowHeight="15"/>
  <cols>
    <col min="1" max="1" width="18" style="397" customWidth="1"/>
    <col min="2" max="2" width="12.5703125" style="397" customWidth="1"/>
    <col min="3" max="3" width="18" style="397" customWidth="1"/>
    <col min="4" max="4" width="11.140625" style="397" customWidth="1"/>
    <col min="5" max="5" width="15.140625" style="397" customWidth="1"/>
    <col min="6" max="6" width="11.140625" style="397" customWidth="1"/>
    <col min="7" max="7" width="15.140625" style="397" customWidth="1"/>
    <col min="8" max="11" width="11.5703125" style="397" customWidth="1"/>
    <col min="12" max="16384" width="9.140625" style="397"/>
  </cols>
  <sheetData>
    <row r="1" spans="1:12" ht="25.5" customHeight="1"/>
    <row r="2" spans="1:12" ht="25.5" customHeight="1"/>
    <row r="3" spans="1:12" ht="22.5" customHeight="1">
      <c r="A3" s="601" t="s">
        <v>640</v>
      </c>
      <c r="B3" s="602"/>
      <c r="C3" s="602"/>
      <c r="D3" s="602"/>
      <c r="E3" s="602"/>
      <c r="F3" s="602"/>
      <c r="G3" s="602"/>
      <c r="H3" s="602"/>
      <c r="I3" s="602"/>
      <c r="J3" s="602"/>
      <c r="K3" s="602"/>
      <c r="L3" s="603"/>
    </row>
    <row r="4" spans="1:12" ht="15" customHeight="1">
      <c r="A4" s="604"/>
      <c r="B4" s="605"/>
      <c r="C4" s="605"/>
      <c r="D4" s="605"/>
      <c r="E4" s="605"/>
      <c r="F4" s="605"/>
      <c r="G4" s="605"/>
      <c r="H4" s="605"/>
      <c r="I4" s="605"/>
      <c r="J4" s="605"/>
      <c r="K4" s="605"/>
      <c r="L4" s="606"/>
    </row>
    <row r="5" spans="1:12" ht="8.25" customHeight="1">
      <c r="A5" s="398"/>
      <c r="B5" s="399"/>
      <c r="C5" s="399"/>
      <c r="D5" s="399"/>
      <c r="E5" s="399"/>
      <c r="F5" s="399"/>
      <c r="G5" s="399"/>
      <c r="H5" s="399"/>
      <c r="I5" s="399"/>
      <c r="J5" s="399"/>
      <c r="K5" s="399"/>
      <c r="L5" s="400"/>
    </row>
    <row r="6" spans="1:12" ht="24" customHeight="1">
      <c r="A6" s="607" t="s">
        <v>174</v>
      </c>
      <c r="B6" s="353"/>
      <c r="C6" s="354"/>
      <c r="D6" s="354"/>
      <c r="E6" s="354"/>
      <c r="F6" s="354"/>
      <c r="G6" s="354"/>
      <c r="H6" s="354"/>
      <c r="I6" s="354"/>
      <c r="J6" s="354"/>
      <c r="K6" s="354"/>
      <c r="L6" s="355"/>
    </row>
    <row r="7" spans="1:12" ht="24" customHeight="1">
      <c r="A7" s="607"/>
      <c r="B7" s="353"/>
      <c r="C7" s="354"/>
      <c r="D7" s="401" t="s">
        <v>642</v>
      </c>
      <c r="E7" s="600" t="s">
        <v>736</v>
      </c>
      <c r="F7" s="600"/>
      <c r="G7" s="600"/>
      <c r="H7" s="599" t="s">
        <v>641</v>
      </c>
      <c r="I7" s="599"/>
      <c r="J7" s="599"/>
      <c r="K7" s="354"/>
      <c r="L7" s="355"/>
    </row>
    <row r="8" spans="1:12" ht="13.5" customHeight="1">
      <c r="A8" s="607"/>
      <c r="B8" s="353"/>
      <c r="C8" s="354"/>
      <c r="D8" s="354"/>
      <c r="E8" s="354"/>
      <c r="F8" s="354"/>
      <c r="G8" s="354"/>
      <c r="H8" s="354"/>
      <c r="I8" s="354"/>
      <c r="J8" s="354"/>
      <c r="K8" s="354"/>
      <c r="L8" s="355"/>
    </row>
    <row r="9" spans="1:12" ht="24" customHeight="1">
      <c r="A9" s="607"/>
      <c r="B9" s="353"/>
      <c r="C9" s="354"/>
      <c r="D9" s="401" t="s">
        <v>643</v>
      </c>
      <c r="E9" s="275"/>
      <c r="F9" s="402" t="s">
        <v>644</v>
      </c>
      <c r="G9" s="275"/>
      <c r="H9" s="354"/>
      <c r="I9" s="354"/>
      <c r="J9" s="354"/>
      <c r="K9" s="354"/>
      <c r="L9" s="355"/>
    </row>
    <row r="10" spans="1:12" ht="16.5" customHeight="1">
      <c r="A10" s="607"/>
      <c r="B10" s="353"/>
      <c r="C10" s="354"/>
      <c r="D10" s="354"/>
      <c r="E10" s="354"/>
      <c r="F10" s="354"/>
      <c r="G10" s="354"/>
      <c r="H10" s="354"/>
      <c r="I10" s="354"/>
      <c r="J10" s="354"/>
      <c r="K10" s="354"/>
      <c r="L10" s="355"/>
    </row>
    <row r="11" spans="1:12" ht="27.75" customHeight="1">
      <c r="A11" s="607"/>
      <c r="B11" s="353"/>
      <c r="C11" s="354"/>
      <c r="D11" s="401" t="s">
        <v>646</v>
      </c>
      <c r="E11" s="609"/>
      <c r="F11" s="610"/>
      <c r="G11" s="610"/>
      <c r="H11" s="610"/>
      <c r="I11" s="610"/>
      <c r="J11" s="610"/>
      <c r="K11" s="611"/>
      <c r="L11" s="355"/>
    </row>
    <row r="12" spans="1:12" ht="15.75" customHeight="1">
      <c r="A12" s="607"/>
      <c r="B12" s="353"/>
      <c r="C12" s="354"/>
      <c r="D12" s="401"/>
      <c r="E12" s="390"/>
      <c r="F12" s="390"/>
      <c r="G12" s="390"/>
      <c r="H12" s="390"/>
      <c r="I12" s="390"/>
      <c r="J12" s="390"/>
      <c r="K12" s="390"/>
      <c r="L12" s="355"/>
    </row>
    <row r="13" spans="1:12" ht="27.75" customHeight="1">
      <c r="A13" s="607"/>
      <c r="B13" s="354"/>
      <c r="C13" s="354"/>
      <c r="D13" s="401" t="s">
        <v>645</v>
      </c>
      <c r="E13" s="612"/>
      <c r="F13" s="612"/>
      <c r="G13" s="612"/>
      <c r="H13" s="612"/>
      <c r="I13" s="612"/>
      <c r="J13" s="612"/>
      <c r="K13" s="612"/>
      <c r="L13" s="355"/>
    </row>
    <row r="14" spans="1:12" ht="15.75" customHeight="1">
      <c r="A14" s="607"/>
      <c r="B14" s="354"/>
      <c r="C14" s="354"/>
      <c r="D14" s="401"/>
      <c r="E14" s="390"/>
      <c r="F14" s="390"/>
      <c r="G14" s="390"/>
      <c r="H14" s="390"/>
      <c r="I14" s="390"/>
      <c r="J14" s="390"/>
      <c r="K14" s="390"/>
      <c r="L14" s="355"/>
    </row>
    <row r="15" spans="1:12" ht="27.75" customHeight="1">
      <c r="A15" s="607"/>
      <c r="B15" s="354"/>
      <c r="C15" s="354"/>
      <c r="D15" s="401" t="s">
        <v>647</v>
      </c>
      <c r="E15" s="612"/>
      <c r="F15" s="612"/>
      <c r="G15" s="612"/>
      <c r="H15" s="612"/>
      <c r="I15" s="612"/>
      <c r="J15" s="612"/>
      <c r="K15" s="612"/>
      <c r="L15" s="355"/>
    </row>
    <row r="16" spans="1:12" ht="20.25">
      <c r="A16" s="607"/>
      <c r="B16" s="354"/>
      <c r="C16" s="354"/>
      <c r="D16" s="401"/>
      <c r="E16" s="390"/>
      <c r="F16" s="390"/>
      <c r="G16" s="390"/>
      <c r="H16" s="390"/>
      <c r="I16" s="390"/>
      <c r="J16" s="390"/>
      <c r="K16" s="390"/>
      <c r="L16" s="355"/>
    </row>
    <row r="17" spans="1:12" ht="27.75" customHeight="1">
      <c r="A17" s="607"/>
      <c r="B17" s="354"/>
      <c r="C17" s="354"/>
      <c r="D17" s="401" t="s">
        <v>648</v>
      </c>
      <c r="E17" s="612"/>
      <c r="F17" s="612"/>
      <c r="G17" s="612"/>
      <c r="H17" s="612"/>
      <c r="I17" s="612"/>
      <c r="J17" s="612"/>
      <c r="K17" s="612"/>
      <c r="L17" s="355"/>
    </row>
    <row r="18" spans="1:12" ht="20.25">
      <c r="A18" s="607"/>
      <c r="B18" s="354"/>
      <c r="C18" s="354"/>
      <c r="D18" s="401"/>
      <c r="E18" s="390"/>
      <c r="F18" s="390"/>
      <c r="G18" s="390"/>
      <c r="H18" s="390"/>
      <c r="I18" s="390"/>
      <c r="J18" s="390"/>
      <c r="K18" s="390"/>
      <c r="L18" s="355"/>
    </row>
    <row r="19" spans="1:12" ht="27.75" customHeight="1">
      <c r="A19" s="607"/>
      <c r="B19" s="354"/>
      <c r="C19" s="354"/>
      <c r="D19" s="401" t="s">
        <v>649</v>
      </c>
      <c r="E19" s="612"/>
      <c r="F19" s="612"/>
      <c r="G19" s="612"/>
      <c r="H19" s="612"/>
      <c r="I19" s="612"/>
      <c r="J19" s="612"/>
      <c r="K19" s="612"/>
      <c r="L19" s="355"/>
    </row>
    <row r="20" spans="1:12" ht="20.25">
      <c r="A20" s="608"/>
      <c r="B20" s="403"/>
      <c r="C20" s="403"/>
      <c r="D20" s="403"/>
      <c r="E20" s="403"/>
      <c r="F20" s="403"/>
      <c r="G20" s="403"/>
      <c r="H20" s="403"/>
      <c r="I20" s="403"/>
      <c r="J20" s="403"/>
      <c r="K20" s="403"/>
      <c r="L20" s="395"/>
    </row>
  </sheetData>
  <sheetProtection sheet="1" objects="1" scenarios="1" selectLockedCells="1"/>
  <mergeCells count="9">
    <mergeCell ref="H7:J7"/>
    <mergeCell ref="E7:G7"/>
    <mergeCell ref="A3:L4"/>
    <mergeCell ref="A6:A20"/>
    <mergeCell ref="E11:K11"/>
    <mergeCell ref="E13:K13"/>
    <mergeCell ref="E15:K15"/>
    <mergeCell ref="E17:K17"/>
    <mergeCell ref="E19:K19"/>
  </mergeCells>
  <dataValidations count="2">
    <dataValidation type="custom" allowBlank="1" showInputMessage="1" showErrorMessage="1" errorTitle="Ngay thang khong hop le" error="Xin nhap ngay thang hop le" sqref="E9">
      <formula1>AND(E9&lt;=TODAY(), E9&lt;=G9)</formula1>
    </dataValidation>
    <dataValidation type="custom" allowBlank="1" showInputMessage="1" showErrorMessage="1" errorTitle="Ngay thang khong hop le" error="Xin nhap ngay thang hop le" sqref="G9">
      <formula1>AND(G9&lt;=TODAY(), G9 &gt;= E9)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322" r:id="rId4" name="ComboBox2">
          <controlPr defaultSize="0" print="0" autoLine="0" r:id="rId5">
            <anchor moveWithCells="1">
              <from>
                <xdr:col>10</xdr:col>
                <xdr:colOff>38100</xdr:colOff>
                <xdr:row>6</xdr:row>
                <xdr:rowOff>38100</xdr:rowOff>
              </from>
              <to>
                <xdr:col>11</xdr:col>
                <xdr:colOff>200025</xdr:colOff>
                <xdr:row>6</xdr:row>
                <xdr:rowOff>285750</xdr:rowOff>
              </to>
            </anchor>
          </controlPr>
        </control>
      </mc:Choice>
      <mc:Fallback>
        <control shapeId="13322" r:id="rId4" name="ComboBox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OFFSET(ThietLap!$W$2,0,0,COUNTA(ThietLap!$W$2:$W$17))</xm:f>
          </x14:formula1>
          <xm:sqref>E15:K15</xm:sqref>
        </x14:dataValidation>
        <x14:dataValidation type="list" allowBlank="1" showInputMessage="1" showErrorMessage="1">
          <x14:formula1>
            <xm:f>OFFSET(ThietLap!$Y$2,0,0,COUNTA(ThietLap!$Y$2:$Y$17))</xm:f>
          </x14:formula1>
          <xm:sqref>E19:K19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1008"/>
  <sheetViews>
    <sheetView workbookViewId="0">
      <selection activeCell="K14" sqref="K14"/>
    </sheetView>
  </sheetViews>
  <sheetFormatPr defaultRowHeight="15"/>
  <cols>
    <col min="1" max="1" width="30.42578125" customWidth="1"/>
    <col min="2" max="2" width="22.28515625" customWidth="1"/>
    <col min="3" max="3" width="30.42578125" customWidth="1"/>
    <col min="4" max="5" width="14" customWidth="1"/>
    <col min="6" max="6" width="26.28515625" customWidth="1"/>
    <col min="7" max="7" width="17.42578125" customWidth="1"/>
    <col min="8" max="8" width="32" customWidth="1"/>
  </cols>
  <sheetData>
    <row r="1" spans="1:11" ht="48" customHeight="1"/>
    <row r="2" spans="1:11" ht="18.75">
      <c r="A2" s="614" t="s">
        <v>638</v>
      </c>
      <c r="B2" s="615"/>
      <c r="C2" s="615"/>
      <c r="D2" s="615"/>
      <c r="E2" s="615"/>
      <c r="F2" s="615"/>
      <c r="G2" s="615"/>
      <c r="H2" s="616"/>
    </row>
    <row r="3" spans="1:11">
      <c r="A3" s="569" t="s">
        <v>9</v>
      </c>
      <c r="B3" s="613" t="s">
        <v>625</v>
      </c>
      <c r="C3" s="613" t="s">
        <v>626</v>
      </c>
      <c r="D3" s="617" t="s">
        <v>165</v>
      </c>
      <c r="E3" s="617"/>
      <c r="F3" s="613" t="s">
        <v>627</v>
      </c>
      <c r="G3" s="613" t="s">
        <v>639</v>
      </c>
      <c r="H3" s="613" t="s">
        <v>220</v>
      </c>
    </row>
    <row r="4" spans="1:11">
      <c r="A4" s="570"/>
      <c r="B4" s="613"/>
      <c r="C4" s="613"/>
      <c r="D4" s="128" t="s">
        <v>166</v>
      </c>
      <c r="E4" s="129" t="s">
        <v>167</v>
      </c>
      <c r="F4" s="613"/>
      <c r="G4" s="613"/>
      <c r="H4" s="613"/>
    </row>
    <row r="5" spans="1:11">
      <c r="A5" s="264" t="s">
        <v>549</v>
      </c>
      <c r="B5" s="264" t="s">
        <v>650</v>
      </c>
      <c r="C5" s="264" t="s">
        <v>651</v>
      </c>
      <c r="D5" s="265">
        <v>43832</v>
      </c>
      <c r="E5" s="265">
        <v>44209</v>
      </c>
      <c r="F5" s="264" t="s">
        <v>652</v>
      </c>
      <c r="G5" s="264" t="s">
        <v>653</v>
      </c>
      <c r="H5" s="264" t="s">
        <v>654</v>
      </c>
    </row>
    <row r="6" spans="1:11">
      <c r="A6" s="264" t="s">
        <v>549</v>
      </c>
      <c r="B6" s="264" t="s">
        <v>659</v>
      </c>
      <c r="C6" s="264" t="s">
        <v>660</v>
      </c>
      <c r="D6" s="265">
        <v>43832</v>
      </c>
      <c r="E6" s="265">
        <v>44209</v>
      </c>
      <c r="F6" s="264" t="s">
        <v>652</v>
      </c>
      <c r="G6" s="264" t="s">
        <v>653</v>
      </c>
      <c r="H6" s="264" t="s">
        <v>654</v>
      </c>
      <c r="K6" s="310"/>
    </row>
    <row r="7" spans="1:11">
      <c r="A7" s="264" t="s">
        <v>549</v>
      </c>
      <c r="B7" s="264" t="s">
        <v>659</v>
      </c>
      <c r="C7" s="264" t="s">
        <v>660</v>
      </c>
      <c r="D7" s="265">
        <v>43832</v>
      </c>
      <c r="E7" s="265">
        <v>44209</v>
      </c>
      <c r="F7" s="264" t="s">
        <v>652</v>
      </c>
      <c r="G7" s="264" t="s">
        <v>653</v>
      </c>
      <c r="H7" s="264" t="s">
        <v>660</v>
      </c>
      <c r="K7" s="310"/>
    </row>
    <row r="8" spans="1:11">
      <c r="A8" s="264" t="s">
        <v>661</v>
      </c>
      <c r="B8" s="264" t="s">
        <v>662</v>
      </c>
      <c r="C8" s="264" t="s">
        <v>663</v>
      </c>
      <c r="D8" s="265">
        <v>44352</v>
      </c>
      <c r="E8" s="265">
        <v>44354</v>
      </c>
      <c r="F8" s="264" t="s">
        <v>664</v>
      </c>
      <c r="G8" s="264" t="s">
        <v>665</v>
      </c>
      <c r="H8" s="264" t="s">
        <v>666</v>
      </c>
      <c r="K8" s="310"/>
    </row>
    <row r="9" spans="1:11">
      <c r="A9" s="264" t="s">
        <v>661</v>
      </c>
      <c r="B9" s="264" t="s">
        <v>662</v>
      </c>
      <c r="C9" s="264" t="s">
        <v>663</v>
      </c>
      <c r="D9" s="265">
        <v>44352</v>
      </c>
      <c r="E9" s="265">
        <v>44354</v>
      </c>
      <c r="F9" s="264" t="s">
        <v>664</v>
      </c>
      <c r="G9" s="264" t="s">
        <v>665</v>
      </c>
      <c r="H9" s="264" t="s">
        <v>666</v>
      </c>
    </row>
    <row r="10" spans="1:11">
      <c r="A10" s="264" t="s">
        <v>661</v>
      </c>
      <c r="B10" s="264" t="s">
        <v>662</v>
      </c>
      <c r="C10" s="264" t="s">
        <v>663</v>
      </c>
      <c r="D10" s="265">
        <v>44352</v>
      </c>
      <c r="E10" s="265">
        <v>44354</v>
      </c>
      <c r="F10" s="264" t="s">
        <v>664</v>
      </c>
      <c r="G10" s="264" t="s">
        <v>665</v>
      </c>
      <c r="H10" s="264" t="s">
        <v>666</v>
      </c>
    </row>
    <row r="11" spans="1:11">
      <c r="A11" s="264" t="s">
        <v>661</v>
      </c>
      <c r="B11" s="264" t="s">
        <v>662</v>
      </c>
      <c r="C11" s="264" t="s">
        <v>663</v>
      </c>
      <c r="D11" s="265">
        <v>44352</v>
      </c>
      <c r="E11" s="265">
        <v>44354</v>
      </c>
      <c r="F11" s="264" t="s">
        <v>664</v>
      </c>
      <c r="G11" s="264" t="s">
        <v>665</v>
      </c>
      <c r="H11" s="264" t="s">
        <v>666</v>
      </c>
    </row>
    <row r="12" spans="1:11">
      <c r="A12" s="264"/>
      <c r="B12" s="264"/>
      <c r="C12" s="264"/>
      <c r="D12" s="264"/>
      <c r="E12" s="264"/>
      <c r="F12" s="264"/>
      <c r="G12" s="264"/>
      <c r="H12" s="264"/>
    </row>
    <row r="13" spans="1:11">
      <c r="A13" s="264"/>
      <c r="B13" s="264"/>
      <c r="C13" s="264"/>
      <c r="D13" s="264"/>
      <c r="E13" s="264"/>
      <c r="F13" s="264"/>
      <c r="G13" s="264"/>
      <c r="H13" s="264"/>
    </row>
    <row r="14" spans="1:11">
      <c r="A14" s="264"/>
      <c r="B14" s="264"/>
      <c r="C14" s="264"/>
      <c r="D14" s="264"/>
      <c r="E14" s="264"/>
      <c r="F14" s="264"/>
      <c r="G14" s="264"/>
      <c r="H14" s="264"/>
    </row>
    <row r="15" spans="1:11">
      <c r="A15" s="264"/>
      <c r="B15" s="264"/>
      <c r="C15" s="264"/>
      <c r="D15" s="264"/>
      <c r="E15" s="264"/>
      <c r="F15" s="264"/>
      <c r="G15" s="264"/>
      <c r="H15" s="264"/>
    </row>
    <row r="16" spans="1:11">
      <c r="A16" s="264"/>
      <c r="B16" s="264"/>
      <c r="C16" s="264"/>
      <c r="D16" s="264"/>
      <c r="E16" s="264"/>
      <c r="F16" s="264"/>
      <c r="G16" s="264"/>
      <c r="H16" s="264"/>
    </row>
    <row r="17" spans="1:8">
      <c r="A17" s="264"/>
      <c r="B17" s="264"/>
      <c r="C17" s="264"/>
      <c r="D17" s="264"/>
      <c r="E17" s="264"/>
      <c r="F17" s="264"/>
      <c r="G17" s="264"/>
      <c r="H17" s="264"/>
    </row>
    <row r="18" spans="1:8">
      <c r="A18" s="264"/>
      <c r="B18" s="264"/>
      <c r="C18" s="264"/>
      <c r="D18" s="264"/>
      <c r="E18" s="264"/>
      <c r="F18" s="264"/>
      <c r="G18" s="264"/>
      <c r="H18" s="264"/>
    </row>
    <row r="19" spans="1:8">
      <c r="A19" s="264"/>
      <c r="B19" s="264"/>
      <c r="C19" s="264"/>
      <c r="D19" s="264"/>
      <c r="E19" s="264"/>
      <c r="F19" s="264"/>
      <c r="G19" s="264"/>
      <c r="H19" s="264"/>
    </row>
    <row r="20" spans="1:8">
      <c r="A20" s="264"/>
      <c r="B20" s="264"/>
      <c r="C20" s="264"/>
      <c r="D20" s="264"/>
      <c r="E20" s="264"/>
      <c r="F20" s="264"/>
      <c r="G20" s="264"/>
      <c r="H20" s="264"/>
    </row>
    <row r="21" spans="1:8">
      <c r="A21" s="264"/>
      <c r="B21" s="264"/>
      <c r="C21" s="264"/>
      <c r="D21" s="264"/>
      <c r="E21" s="264"/>
      <c r="F21" s="264"/>
      <c r="G21" s="264"/>
      <c r="H21" s="264"/>
    </row>
    <row r="22" spans="1:8">
      <c r="A22" s="264"/>
      <c r="B22" s="264"/>
      <c r="C22" s="264"/>
      <c r="D22" s="264"/>
      <c r="E22" s="264"/>
      <c r="F22" s="264"/>
      <c r="G22" s="264"/>
      <c r="H22" s="264"/>
    </row>
    <row r="23" spans="1:8">
      <c r="A23" s="264"/>
      <c r="B23" s="264"/>
      <c r="C23" s="264"/>
      <c r="D23" s="264"/>
      <c r="E23" s="264"/>
      <c r="F23" s="264"/>
      <c r="G23" s="264"/>
      <c r="H23" s="264"/>
    </row>
    <row r="24" spans="1:8">
      <c r="A24" s="264"/>
      <c r="B24" s="264"/>
      <c r="C24" s="264"/>
      <c r="D24" s="264"/>
      <c r="E24" s="264"/>
      <c r="F24" s="264"/>
      <c r="G24" s="264"/>
      <c r="H24" s="264"/>
    </row>
    <row r="25" spans="1:8">
      <c r="A25" s="264"/>
      <c r="B25" s="264"/>
      <c r="C25" s="264"/>
      <c r="D25" s="264"/>
      <c r="E25" s="264"/>
      <c r="F25" s="264"/>
      <c r="G25" s="264"/>
      <c r="H25" s="264"/>
    </row>
    <row r="26" spans="1:8">
      <c r="A26" s="264"/>
      <c r="B26" s="264"/>
      <c r="C26" s="264"/>
      <c r="D26" s="264"/>
      <c r="E26" s="264"/>
      <c r="F26" s="264"/>
      <c r="G26" s="264"/>
      <c r="H26" s="264"/>
    </row>
    <row r="27" spans="1:8">
      <c r="A27" s="264"/>
      <c r="B27" s="264"/>
      <c r="C27" s="264"/>
      <c r="D27" s="264"/>
      <c r="E27" s="264"/>
      <c r="F27" s="264"/>
      <c r="G27" s="264"/>
      <c r="H27" s="264"/>
    </row>
    <row r="28" spans="1:8">
      <c r="A28" s="264"/>
      <c r="B28" s="264"/>
      <c r="C28" s="264"/>
      <c r="D28" s="264"/>
      <c r="E28" s="264"/>
      <c r="F28" s="264"/>
      <c r="G28" s="264"/>
      <c r="H28" s="264"/>
    </row>
    <row r="29" spans="1:8">
      <c r="A29" s="264"/>
      <c r="B29" s="264"/>
      <c r="C29" s="264"/>
      <c r="D29" s="264"/>
      <c r="E29" s="264"/>
      <c r="F29" s="264"/>
      <c r="G29" s="264"/>
      <c r="H29" s="264"/>
    </row>
    <row r="30" spans="1:8">
      <c r="A30" s="264"/>
      <c r="B30" s="264"/>
      <c r="C30" s="264"/>
      <c r="D30" s="264"/>
      <c r="E30" s="264"/>
      <c r="F30" s="264"/>
      <c r="G30" s="264"/>
      <c r="H30" s="264"/>
    </row>
    <row r="31" spans="1:8">
      <c r="A31" s="264"/>
      <c r="B31" s="264"/>
      <c r="C31" s="264"/>
      <c r="D31" s="264"/>
      <c r="E31" s="264"/>
      <c r="F31" s="264"/>
      <c r="G31" s="264"/>
      <c r="H31" s="264"/>
    </row>
    <row r="32" spans="1:8">
      <c r="A32" s="264"/>
      <c r="B32" s="264"/>
      <c r="C32" s="264"/>
      <c r="D32" s="264"/>
      <c r="E32" s="264"/>
      <c r="F32" s="264"/>
      <c r="G32" s="264"/>
      <c r="H32" s="264"/>
    </row>
    <row r="33" spans="1:8">
      <c r="A33" s="264"/>
      <c r="B33" s="264"/>
      <c r="C33" s="264"/>
      <c r="D33" s="264"/>
      <c r="E33" s="264"/>
      <c r="F33" s="264"/>
      <c r="G33" s="264"/>
      <c r="H33" s="264"/>
    </row>
    <row r="34" spans="1:8">
      <c r="A34" s="264"/>
      <c r="B34" s="264"/>
      <c r="C34" s="264"/>
      <c r="D34" s="264"/>
      <c r="E34" s="264"/>
      <c r="F34" s="264"/>
      <c r="G34" s="264"/>
      <c r="H34" s="264"/>
    </row>
    <row r="35" spans="1:8">
      <c r="A35" s="264"/>
      <c r="B35" s="264"/>
      <c r="C35" s="264"/>
      <c r="D35" s="264"/>
      <c r="E35" s="264"/>
      <c r="F35" s="264"/>
      <c r="G35" s="264"/>
      <c r="H35" s="264"/>
    </row>
    <row r="36" spans="1:8">
      <c r="A36" s="264"/>
      <c r="B36" s="264"/>
      <c r="C36" s="264"/>
      <c r="D36" s="264"/>
      <c r="E36" s="264"/>
      <c r="F36" s="264"/>
      <c r="G36" s="264"/>
      <c r="H36" s="264"/>
    </row>
    <row r="37" spans="1:8">
      <c r="A37" s="264"/>
      <c r="B37" s="264"/>
      <c r="C37" s="264"/>
      <c r="D37" s="264"/>
      <c r="E37" s="264"/>
      <c r="F37" s="264"/>
      <c r="G37" s="264"/>
      <c r="H37" s="264"/>
    </row>
    <row r="38" spans="1:8">
      <c r="A38" s="264"/>
      <c r="B38" s="264"/>
      <c r="C38" s="264"/>
      <c r="D38" s="264"/>
      <c r="E38" s="264"/>
      <c r="F38" s="264"/>
      <c r="G38" s="264"/>
      <c r="H38" s="264"/>
    </row>
    <row r="39" spans="1:8">
      <c r="A39" s="264"/>
      <c r="B39" s="264"/>
      <c r="C39" s="264"/>
      <c r="D39" s="264"/>
      <c r="E39" s="264"/>
      <c r="F39" s="264"/>
      <c r="G39" s="264"/>
      <c r="H39" s="264"/>
    </row>
    <row r="40" spans="1:8">
      <c r="A40" s="264"/>
      <c r="B40" s="264"/>
      <c r="C40" s="264"/>
      <c r="D40" s="264"/>
      <c r="E40" s="264"/>
      <c r="F40" s="264"/>
      <c r="G40" s="264"/>
      <c r="H40" s="264"/>
    </row>
    <row r="41" spans="1:8">
      <c r="A41" s="264"/>
      <c r="B41" s="264"/>
      <c r="C41" s="264"/>
      <c r="D41" s="264"/>
      <c r="E41" s="264"/>
      <c r="F41" s="264"/>
      <c r="G41" s="264"/>
      <c r="H41" s="264"/>
    </row>
    <row r="42" spans="1:8">
      <c r="A42" s="264"/>
      <c r="B42" s="264"/>
      <c r="C42" s="264"/>
      <c r="D42" s="264"/>
      <c r="E42" s="264"/>
      <c r="F42" s="264"/>
      <c r="G42" s="264"/>
      <c r="H42" s="264"/>
    </row>
    <row r="43" spans="1:8">
      <c r="A43" s="264"/>
      <c r="B43" s="264"/>
      <c r="C43" s="264"/>
      <c r="D43" s="264"/>
      <c r="E43" s="264"/>
      <c r="F43" s="264"/>
      <c r="G43" s="264"/>
      <c r="H43" s="264"/>
    </row>
    <row r="44" spans="1:8">
      <c r="A44" s="264"/>
      <c r="B44" s="264"/>
      <c r="C44" s="264"/>
      <c r="D44" s="264"/>
      <c r="E44" s="264"/>
      <c r="F44" s="264"/>
      <c r="G44" s="264"/>
      <c r="H44" s="264"/>
    </row>
    <row r="45" spans="1:8">
      <c r="A45" s="264"/>
      <c r="B45" s="264"/>
      <c r="C45" s="264"/>
      <c r="D45" s="264"/>
      <c r="E45" s="264"/>
      <c r="F45" s="264"/>
      <c r="G45" s="264"/>
      <c r="H45" s="264"/>
    </row>
    <row r="46" spans="1:8">
      <c r="A46" s="264"/>
      <c r="B46" s="264"/>
      <c r="C46" s="264"/>
      <c r="D46" s="264"/>
      <c r="E46" s="264"/>
      <c r="F46" s="264"/>
      <c r="G46" s="264"/>
      <c r="H46" s="264"/>
    </row>
    <row r="47" spans="1:8">
      <c r="A47" s="264"/>
      <c r="B47" s="264"/>
      <c r="C47" s="264"/>
      <c r="D47" s="264"/>
      <c r="E47" s="264"/>
      <c r="F47" s="264"/>
      <c r="G47" s="264"/>
      <c r="H47" s="264"/>
    </row>
    <row r="48" spans="1:8">
      <c r="A48" s="264"/>
      <c r="B48" s="264"/>
      <c r="C48" s="264"/>
      <c r="D48" s="264"/>
      <c r="E48" s="264"/>
      <c r="F48" s="264"/>
      <c r="G48" s="264"/>
      <c r="H48" s="264"/>
    </row>
    <row r="49" spans="1:8">
      <c r="A49" s="264"/>
      <c r="B49" s="264"/>
      <c r="C49" s="264"/>
      <c r="D49" s="264"/>
      <c r="E49" s="264"/>
      <c r="F49" s="264"/>
      <c r="G49" s="264"/>
      <c r="H49" s="264"/>
    </row>
    <row r="50" spans="1:8">
      <c r="A50" s="264"/>
      <c r="B50" s="264"/>
      <c r="C50" s="264"/>
      <c r="D50" s="264"/>
      <c r="E50" s="264"/>
      <c r="F50" s="264"/>
      <c r="G50" s="264"/>
      <c r="H50" s="264"/>
    </row>
    <row r="51" spans="1:8">
      <c r="A51" s="264"/>
      <c r="B51" s="264"/>
      <c r="C51" s="264"/>
      <c r="D51" s="264"/>
      <c r="E51" s="264"/>
      <c r="F51" s="264"/>
      <c r="G51" s="264"/>
      <c r="H51" s="264"/>
    </row>
    <row r="52" spans="1:8">
      <c r="A52" s="264"/>
      <c r="B52" s="264"/>
      <c r="C52" s="264"/>
      <c r="D52" s="264"/>
      <c r="E52" s="264"/>
      <c r="F52" s="264"/>
      <c r="G52" s="264"/>
      <c r="H52" s="264"/>
    </row>
    <row r="53" spans="1:8">
      <c r="A53" s="264"/>
      <c r="B53" s="264"/>
      <c r="C53" s="264"/>
      <c r="D53" s="264"/>
      <c r="E53" s="264"/>
      <c r="F53" s="264"/>
      <c r="G53" s="264"/>
      <c r="H53" s="264"/>
    </row>
    <row r="54" spans="1:8">
      <c r="A54" s="264"/>
      <c r="B54" s="264"/>
      <c r="C54" s="264"/>
      <c r="D54" s="264"/>
      <c r="E54" s="264"/>
      <c r="F54" s="264"/>
      <c r="G54" s="264"/>
      <c r="H54" s="264"/>
    </row>
    <row r="55" spans="1:8">
      <c r="A55" s="264"/>
      <c r="B55" s="264"/>
      <c r="C55" s="264"/>
      <c r="D55" s="264"/>
      <c r="E55" s="264"/>
      <c r="F55" s="264"/>
      <c r="G55" s="264"/>
      <c r="H55" s="264"/>
    </row>
    <row r="56" spans="1:8">
      <c r="A56" s="264"/>
      <c r="B56" s="264"/>
      <c r="C56" s="264"/>
      <c r="D56" s="264"/>
      <c r="E56" s="264"/>
      <c r="F56" s="264"/>
      <c r="G56" s="264"/>
      <c r="H56" s="264"/>
    </row>
    <row r="57" spans="1:8">
      <c r="A57" s="264"/>
      <c r="B57" s="264"/>
      <c r="C57" s="264"/>
      <c r="D57" s="264"/>
      <c r="E57" s="264"/>
      <c r="F57" s="264"/>
      <c r="G57" s="264"/>
      <c r="H57" s="264"/>
    </row>
    <row r="58" spans="1:8">
      <c r="A58" s="264"/>
      <c r="B58" s="264"/>
      <c r="C58" s="264"/>
      <c r="D58" s="264"/>
      <c r="E58" s="264"/>
      <c r="F58" s="264"/>
      <c r="G58" s="264"/>
      <c r="H58" s="264"/>
    </row>
    <row r="59" spans="1:8">
      <c r="A59" s="264"/>
      <c r="B59" s="264"/>
      <c r="C59" s="264"/>
      <c r="D59" s="264"/>
      <c r="E59" s="264"/>
      <c r="F59" s="264"/>
      <c r="G59" s="264"/>
      <c r="H59" s="264"/>
    </row>
    <row r="60" spans="1:8">
      <c r="A60" s="264"/>
      <c r="B60" s="264"/>
      <c r="C60" s="264"/>
      <c r="D60" s="264"/>
      <c r="E60" s="264"/>
      <c r="F60" s="264"/>
      <c r="G60" s="264"/>
      <c r="H60" s="264"/>
    </row>
    <row r="61" spans="1:8">
      <c r="A61" s="264"/>
      <c r="B61" s="264"/>
      <c r="C61" s="264"/>
      <c r="D61" s="264"/>
      <c r="E61" s="264"/>
      <c r="F61" s="264"/>
      <c r="G61" s="264"/>
      <c r="H61" s="264"/>
    </row>
    <row r="62" spans="1:8">
      <c r="A62" s="264"/>
      <c r="B62" s="264"/>
      <c r="C62" s="264"/>
      <c r="D62" s="264"/>
      <c r="E62" s="264"/>
      <c r="F62" s="264"/>
      <c r="G62" s="264"/>
      <c r="H62" s="264"/>
    </row>
    <row r="63" spans="1:8">
      <c r="A63" s="264"/>
      <c r="B63" s="264"/>
      <c r="C63" s="264"/>
      <c r="D63" s="264"/>
      <c r="E63" s="264"/>
      <c r="F63" s="264"/>
      <c r="G63" s="264"/>
      <c r="H63" s="264"/>
    </row>
    <row r="64" spans="1:8">
      <c r="A64" s="264"/>
      <c r="B64" s="264"/>
      <c r="C64" s="264"/>
      <c r="D64" s="264"/>
      <c r="E64" s="264"/>
      <c r="F64" s="264"/>
      <c r="G64" s="264"/>
      <c r="H64" s="264"/>
    </row>
    <row r="65" spans="1:8">
      <c r="A65" s="264"/>
      <c r="B65" s="264"/>
      <c r="C65" s="264"/>
      <c r="D65" s="264"/>
      <c r="E65" s="264"/>
      <c r="F65" s="264"/>
      <c r="G65" s="264"/>
      <c r="H65" s="264"/>
    </row>
    <row r="66" spans="1:8">
      <c r="A66" s="264"/>
      <c r="B66" s="264"/>
      <c r="C66" s="264"/>
      <c r="D66" s="264"/>
      <c r="E66" s="264"/>
      <c r="F66" s="264"/>
      <c r="G66" s="264"/>
      <c r="H66" s="264"/>
    </row>
    <row r="67" spans="1:8">
      <c r="A67" s="264"/>
      <c r="B67" s="264"/>
      <c r="C67" s="264"/>
      <c r="D67" s="264"/>
      <c r="E67" s="264"/>
      <c r="F67" s="264"/>
      <c r="G67" s="264"/>
      <c r="H67" s="264"/>
    </row>
    <row r="68" spans="1:8">
      <c r="A68" s="264"/>
      <c r="B68" s="264"/>
      <c r="C68" s="264"/>
      <c r="D68" s="264"/>
      <c r="E68" s="264"/>
      <c r="F68" s="264"/>
      <c r="G68" s="264"/>
      <c r="H68" s="264"/>
    </row>
    <row r="69" spans="1:8">
      <c r="A69" s="264"/>
      <c r="B69" s="264"/>
      <c r="C69" s="264"/>
      <c r="D69" s="264"/>
      <c r="E69" s="264"/>
      <c r="F69" s="264"/>
      <c r="G69" s="264"/>
      <c r="H69" s="264"/>
    </row>
    <row r="70" spans="1:8">
      <c r="A70" s="264"/>
      <c r="B70" s="264"/>
      <c r="C70" s="264"/>
      <c r="D70" s="264"/>
      <c r="E70" s="264"/>
      <c r="F70" s="264"/>
      <c r="G70" s="264"/>
      <c r="H70" s="264"/>
    </row>
    <row r="71" spans="1:8">
      <c r="A71" s="264"/>
      <c r="B71" s="264"/>
      <c r="C71" s="264"/>
      <c r="D71" s="264"/>
      <c r="E71" s="264"/>
      <c r="F71" s="264"/>
      <c r="G71" s="264"/>
      <c r="H71" s="264"/>
    </row>
    <row r="72" spans="1:8">
      <c r="A72" s="264"/>
      <c r="B72" s="264"/>
      <c r="C72" s="264"/>
      <c r="D72" s="264"/>
      <c r="E72" s="264"/>
      <c r="F72" s="264"/>
      <c r="G72" s="264"/>
      <c r="H72" s="264"/>
    </row>
    <row r="73" spans="1:8">
      <c r="A73" s="264"/>
      <c r="B73" s="264"/>
      <c r="C73" s="264"/>
      <c r="D73" s="264"/>
      <c r="E73" s="264"/>
      <c r="F73" s="264"/>
      <c r="G73" s="264"/>
      <c r="H73" s="264"/>
    </row>
    <row r="74" spans="1:8">
      <c r="A74" s="264"/>
      <c r="B74" s="264"/>
      <c r="C74" s="264"/>
      <c r="D74" s="264"/>
      <c r="E74" s="264"/>
      <c r="F74" s="264"/>
      <c r="G74" s="264"/>
      <c r="H74" s="264"/>
    </row>
    <row r="75" spans="1:8">
      <c r="A75" s="264"/>
      <c r="B75" s="264"/>
      <c r="C75" s="264"/>
      <c r="D75" s="264"/>
      <c r="E75" s="264"/>
      <c r="F75" s="264"/>
      <c r="G75" s="264"/>
      <c r="H75" s="264"/>
    </row>
    <row r="76" spans="1:8">
      <c r="A76" s="264"/>
      <c r="B76" s="264"/>
      <c r="C76" s="264"/>
      <c r="D76" s="264"/>
      <c r="E76" s="264"/>
      <c r="F76" s="264"/>
      <c r="G76" s="264"/>
      <c r="H76" s="264"/>
    </row>
    <row r="77" spans="1:8">
      <c r="A77" s="264"/>
      <c r="B77" s="264"/>
      <c r="C77" s="264"/>
      <c r="D77" s="264"/>
      <c r="E77" s="264"/>
      <c r="F77" s="264"/>
      <c r="G77" s="264"/>
      <c r="H77" s="264"/>
    </row>
    <row r="78" spans="1:8">
      <c r="A78" s="264"/>
      <c r="B78" s="264"/>
      <c r="C78" s="264"/>
      <c r="D78" s="264"/>
      <c r="E78" s="264"/>
      <c r="F78" s="264"/>
      <c r="G78" s="264"/>
      <c r="H78" s="264"/>
    </row>
    <row r="79" spans="1:8">
      <c r="A79" s="264"/>
      <c r="B79" s="264"/>
      <c r="C79" s="264"/>
      <c r="D79" s="264"/>
      <c r="E79" s="264"/>
      <c r="F79" s="264"/>
      <c r="G79" s="264"/>
      <c r="H79" s="264"/>
    </row>
    <row r="80" spans="1:8">
      <c r="A80" s="264"/>
      <c r="B80" s="264"/>
      <c r="C80" s="264"/>
      <c r="D80" s="264"/>
      <c r="E80" s="264"/>
      <c r="F80" s="264"/>
      <c r="G80" s="264"/>
      <c r="H80" s="264"/>
    </row>
    <row r="81" spans="1:8">
      <c r="A81" s="264"/>
      <c r="B81" s="264"/>
      <c r="C81" s="264"/>
      <c r="D81" s="264"/>
      <c r="E81" s="264"/>
      <c r="F81" s="264"/>
      <c r="G81" s="264"/>
      <c r="H81" s="264"/>
    </row>
    <row r="82" spans="1:8">
      <c r="A82" s="264"/>
      <c r="B82" s="264"/>
      <c r="C82" s="264"/>
      <c r="D82" s="264"/>
      <c r="E82" s="264"/>
      <c r="F82" s="264"/>
      <c r="G82" s="264"/>
      <c r="H82" s="264"/>
    </row>
    <row r="83" spans="1:8">
      <c r="A83" s="264"/>
      <c r="B83" s="264"/>
      <c r="C83" s="264"/>
      <c r="D83" s="264"/>
      <c r="E83" s="264"/>
      <c r="F83" s="264"/>
      <c r="G83" s="264"/>
      <c r="H83" s="264"/>
    </row>
    <row r="84" spans="1:8">
      <c r="A84" s="264"/>
      <c r="B84" s="264"/>
      <c r="C84" s="264"/>
      <c r="D84" s="264"/>
      <c r="E84" s="264"/>
      <c r="F84" s="264"/>
      <c r="G84" s="264"/>
      <c r="H84" s="264"/>
    </row>
    <row r="85" spans="1:8">
      <c r="A85" s="264"/>
      <c r="B85" s="264"/>
      <c r="C85" s="264"/>
      <c r="D85" s="264"/>
      <c r="E85" s="264"/>
      <c r="F85" s="264"/>
      <c r="G85" s="264"/>
      <c r="H85" s="264"/>
    </row>
    <row r="86" spans="1:8">
      <c r="A86" s="264"/>
      <c r="B86" s="264"/>
      <c r="C86" s="264"/>
      <c r="D86" s="264"/>
      <c r="E86" s="264"/>
      <c r="F86" s="264"/>
      <c r="G86" s="264"/>
      <c r="H86" s="264"/>
    </row>
    <row r="87" spans="1:8">
      <c r="A87" s="264"/>
      <c r="B87" s="264"/>
      <c r="C87" s="264"/>
      <c r="D87" s="264"/>
      <c r="E87" s="264"/>
      <c r="F87" s="264"/>
      <c r="G87" s="264"/>
      <c r="H87" s="264"/>
    </row>
    <row r="88" spans="1:8">
      <c r="A88" s="264"/>
      <c r="B88" s="264"/>
      <c r="C88" s="264"/>
      <c r="D88" s="264"/>
      <c r="E88" s="264"/>
      <c r="F88" s="264"/>
      <c r="G88" s="264"/>
      <c r="H88" s="264"/>
    </row>
    <row r="89" spans="1:8">
      <c r="A89" s="264"/>
      <c r="B89" s="264"/>
      <c r="C89" s="264"/>
      <c r="D89" s="264"/>
      <c r="E89" s="264"/>
      <c r="F89" s="264"/>
      <c r="G89" s="264"/>
      <c r="H89" s="264"/>
    </row>
    <row r="90" spans="1:8">
      <c r="A90" s="264"/>
      <c r="B90" s="264"/>
      <c r="C90" s="264"/>
      <c r="D90" s="264"/>
      <c r="E90" s="264"/>
      <c r="F90" s="264"/>
      <c r="G90" s="264"/>
      <c r="H90" s="264"/>
    </row>
    <row r="91" spans="1:8">
      <c r="A91" s="264"/>
      <c r="B91" s="264"/>
      <c r="C91" s="264"/>
      <c r="D91" s="264"/>
      <c r="E91" s="264"/>
      <c r="F91" s="264"/>
      <c r="G91" s="264"/>
      <c r="H91" s="264"/>
    </row>
    <row r="92" spans="1:8">
      <c r="A92" s="264"/>
      <c r="B92" s="264"/>
      <c r="C92" s="264"/>
      <c r="D92" s="264"/>
      <c r="E92" s="264"/>
      <c r="F92" s="264"/>
      <c r="G92" s="264"/>
      <c r="H92" s="264"/>
    </row>
    <row r="93" spans="1:8">
      <c r="A93" s="264"/>
      <c r="B93" s="264"/>
      <c r="C93" s="264"/>
      <c r="D93" s="264"/>
      <c r="E93" s="264"/>
      <c r="F93" s="264"/>
      <c r="G93" s="264"/>
      <c r="H93" s="264"/>
    </row>
    <row r="94" spans="1:8">
      <c r="A94" s="264"/>
      <c r="B94" s="264"/>
      <c r="C94" s="264"/>
      <c r="D94" s="264"/>
      <c r="E94" s="264"/>
      <c r="F94" s="264"/>
      <c r="G94" s="264"/>
      <c r="H94" s="264"/>
    </row>
    <row r="95" spans="1:8">
      <c r="A95" s="264"/>
      <c r="B95" s="264"/>
      <c r="C95" s="264"/>
      <c r="D95" s="264"/>
      <c r="E95" s="264"/>
      <c r="F95" s="264"/>
      <c r="G95" s="264"/>
      <c r="H95" s="264"/>
    </row>
    <row r="96" spans="1:8">
      <c r="A96" s="264"/>
      <c r="B96" s="264"/>
      <c r="C96" s="264"/>
      <c r="D96" s="264"/>
      <c r="E96" s="264"/>
      <c r="F96" s="264"/>
      <c r="G96" s="264"/>
      <c r="H96" s="264"/>
    </row>
    <row r="97" spans="1:8">
      <c r="A97" s="264"/>
      <c r="B97" s="264"/>
      <c r="C97" s="264"/>
      <c r="D97" s="264"/>
      <c r="E97" s="264"/>
      <c r="F97" s="264"/>
      <c r="G97" s="264"/>
      <c r="H97" s="264"/>
    </row>
    <row r="98" spans="1:8">
      <c r="A98" s="264"/>
      <c r="B98" s="264"/>
      <c r="C98" s="264"/>
      <c r="D98" s="264"/>
      <c r="E98" s="264"/>
      <c r="F98" s="264"/>
      <c r="G98" s="264"/>
      <c r="H98" s="264"/>
    </row>
    <row r="99" spans="1:8">
      <c r="A99" s="264"/>
      <c r="B99" s="264"/>
      <c r="C99" s="264"/>
      <c r="D99" s="264"/>
      <c r="E99" s="264"/>
      <c r="F99" s="264"/>
      <c r="G99" s="264"/>
      <c r="H99" s="264"/>
    </row>
    <row r="100" spans="1:8">
      <c r="A100" s="264"/>
      <c r="B100" s="264"/>
      <c r="C100" s="264"/>
      <c r="D100" s="264"/>
      <c r="E100" s="264"/>
      <c r="F100" s="264"/>
      <c r="G100" s="264"/>
      <c r="H100" s="264"/>
    </row>
    <row r="101" spans="1:8">
      <c r="A101" s="264"/>
      <c r="B101" s="264"/>
      <c r="C101" s="264"/>
      <c r="D101" s="264"/>
      <c r="E101" s="264"/>
      <c r="F101" s="264"/>
      <c r="G101" s="264"/>
      <c r="H101" s="264"/>
    </row>
    <row r="102" spans="1:8">
      <c r="A102" s="264"/>
      <c r="B102" s="264"/>
      <c r="C102" s="264"/>
      <c r="D102" s="264"/>
      <c r="E102" s="264"/>
      <c r="F102" s="264"/>
      <c r="G102" s="264"/>
      <c r="H102" s="264"/>
    </row>
    <row r="103" spans="1:8">
      <c r="A103" s="264"/>
      <c r="B103" s="264"/>
      <c r="C103" s="264"/>
      <c r="D103" s="264"/>
      <c r="E103" s="264"/>
      <c r="F103" s="264"/>
      <c r="G103" s="264"/>
      <c r="H103" s="264"/>
    </row>
    <row r="104" spans="1:8">
      <c r="A104" s="264"/>
      <c r="B104" s="264"/>
      <c r="C104" s="264"/>
      <c r="D104" s="264"/>
      <c r="E104" s="264"/>
      <c r="F104" s="264"/>
      <c r="G104" s="264"/>
      <c r="H104" s="264"/>
    </row>
    <row r="105" spans="1:8">
      <c r="A105" s="264"/>
      <c r="B105" s="264"/>
      <c r="C105" s="264"/>
      <c r="D105" s="264"/>
      <c r="E105" s="264"/>
      <c r="F105" s="264"/>
      <c r="G105" s="264"/>
      <c r="H105" s="264"/>
    </row>
    <row r="106" spans="1:8">
      <c r="A106" s="264"/>
      <c r="B106" s="264"/>
      <c r="C106" s="264"/>
      <c r="D106" s="264"/>
      <c r="E106" s="264"/>
      <c r="F106" s="264"/>
      <c r="G106" s="264"/>
      <c r="H106" s="264"/>
    </row>
    <row r="107" spans="1:8">
      <c r="A107" s="264"/>
      <c r="B107" s="264"/>
      <c r="C107" s="264"/>
      <c r="D107" s="264"/>
      <c r="E107" s="264"/>
      <c r="F107" s="264"/>
      <c r="G107" s="264"/>
      <c r="H107" s="264"/>
    </row>
    <row r="108" spans="1:8">
      <c r="A108" s="264"/>
      <c r="B108" s="264"/>
      <c r="C108" s="264"/>
      <c r="D108" s="264"/>
      <c r="E108" s="264"/>
      <c r="F108" s="264"/>
      <c r="G108" s="264"/>
      <c r="H108" s="264"/>
    </row>
    <row r="109" spans="1:8">
      <c r="A109" s="264"/>
      <c r="B109" s="264"/>
      <c r="C109" s="264"/>
      <c r="D109" s="264"/>
      <c r="E109" s="264"/>
      <c r="F109" s="264"/>
      <c r="G109" s="264"/>
      <c r="H109" s="264"/>
    </row>
    <row r="110" spans="1:8">
      <c r="A110" s="264"/>
      <c r="B110" s="264"/>
      <c r="C110" s="264"/>
      <c r="D110" s="264"/>
      <c r="E110" s="264"/>
      <c r="F110" s="264"/>
      <c r="G110" s="264"/>
      <c r="H110" s="264"/>
    </row>
    <row r="111" spans="1:8">
      <c r="A111" s="264"/>
      <c r="B111" s="264"/>
      <c r="C111" s="264"/>
      <c r="D111" s="264"/>
      <c r="E111" s="264"/>
      <c r="F111" s="264"/>
      <c r="G111" s="264"/>
      <c r="H111" s="264"/>
    </row>
    <row r="112" spans="1:8">
      <c r="A112" s="264"/>
      <c r="B112" s="264"/>
      <c r="C112" s="264"/>
      <c r="D112" s="264"/>
      <c r="E112" s="264"/>
      <c r="F112" s="264"/>
      <c r="G112" s="264"/>
      <c r="H112" s="264"/>
    </row>
    <row r="113" spans="1:8">
      <c r="A113" s="264"/>
      <c r="B113" s="264"/>
      <c r="C113" s="264"/>
      <c r="D113" s="264"/>
      <c r="E113" s="264"/>
      <c r="F113" s="264"/>
      <c r="G113" s="264"/>
      <c r="H113" s="264"/>
    </row>
    <row r="114" spans="1:8">
      <c r="A114" s="264"/>
      <c r="B114" s="264"/>
      <c r="C114" s="264"/>
      <c r="D114" s="264"/>
      <c r="E114" s="264"/>
      <c r="F114" s="264"/>
      <c r="G114" s="264"/>
      <c r="H114" s="264"/>
    </row>
    <row r="115" spans="1:8">
      <c r="A115" s="264"/>
      <c r="B115" s="264"/>
      <c r="C115" s="264"/>
      <c r="D115" s="264"/>
      <c r="E115" s="264"/>
      <c r="F115" s="264"/>
      <c r="G115" s="264"/>
      <c r="H115" s="264"/>
    </row>
    <row r="116" spans="1:8">
      <c r="A116" s="264"/>
      <c r="B116" s="264"/>
      <c r="C116" s="264"/>
      <c r="D116" s="264"/>
      <c r="E116" s="264"/>
      <c r="F116" s="264"/>
      <c r="G116" s="264"/>
      <c r="H116" s="264"/>
    </row>
    <row r="117" spans="1:8">
      <c r="A117" s="264"/>
      <c r="B117" s="264"/>
      <c r="C117" s="264"/>
      <c r="D117" s="264"/>
      <c r="E117" s="264"/>
      <c r="F117" s="264"/>
      <c r="G117" s="264"/>
      <c r="H117" s="264"/>
    </row>
    <row r="118" spans="1:8">
      <c r="A118" s="264"/>
      <c r="B118" s="264"/>
      <c r="C118" s="264"/>
      <c r="D118" s="264"/>
      <c r="E118" s="264"/>
      <c r="F118" s="264"/>
      <c r="G118" s="264"/>
      <c r="H118" s="264"/>
    </row>
    <row r="119" spans="1:8">
      <c r="A119" s="264"/>
      <c r="B119" s="264"/>
      <c r="C119" s="264"/>
      <c r="D119" s="264"/>
      <c r="E119" s="264"/>
      <c r="F119" s="264"/>
      <c r="G119" s="264"/>
      <c r="H119" s="264"/>
    </row>
    <row r="120" spans="1:8">
      <c r="A120" s="264"/>
      <c r="B120" s="264"/>
      <c r="C120" s="264"/>
      <c r="D120" s="264"/>
      <c r="E120" s="264"/>
      <c r="F120" s="264"/>
      <c r="G120" s="264"/>
      <c r="H120" s="264"/>
    </row>
    <row r="121" spans="1:8">
      <c r="A121" s="264"/>
      <c r="B121" s="264"/>
      <c r="C121" s="264"/>
      <c r="D121" s="264"/>
      <c r="E121" s="264"/>
      <c r="F121" s="264"/>
      <c r="G121" s="264"/>
      <c r="H121" s="264"/>
    </row>
    <row r="122" spans="1:8">
      <c r="A122" s="264"/>
      <c r="B122" s="264"/>
      <c r="C122" s="264"/>
      <c r="D122" s="264"/>
      <c r="E122" s="264"/>
      <c r="F122" s="264"/>
      <c r="G122" s="264"/>
      <c r="H122" s="264"/>
    </row>
    <row r="123" spans="1:8">
      <c r="A123" s="264"/>
      <c r="B123" s="264"/>
      <c r="C123" s="264"/>
      <c r="D123" s="264"/>
      <c r="E123" s="264"/>
      <c r="F123" s="264"/>
      <c r="G123" s="264"/>
      <c r="H123" s="264"/>
    </row>
    <row r="124" spans="1:8">
      <c r="A124" s="264"/>
      <c r="B124" s="264"/>
      <c r="C124" s="264"/>
      <c r="D124" s="264"/>
      <c r="E124" s="264"/>
      <c r="F124" s="264"/>
      <c r="G124" s="264"/>
      <c r="H124" s="264"/>
    </row>
    <row r="125" spans="1:8">
      <c r="A125" s="264"/>
      <c r="B125" s="264"/>
      <c r="C125" s="264"/>
      <c r="D125" s="264"/>
      <c r="E125" s="264"/>
      <c r="F125" s="264"/>
      <c r="G125" s="264"/>
      <c r="H125" s="264"/>
    </row>
    <row r="126" spans="1:8">
      <c r="A126" s="264"/>
      <c r="B126" s="264"/>
      <c r="C126" s="264"/>
      <c r="D126" s="264"/>
      <c r="E126" s="264"/>
      <c r="F126" s="264"/>
      <c r="G126" s="264"/>
      <c r="H126" s="264"/>
    </row>
    <row r="127" spans="1:8">
      <c r="A127" s="264"/>
      <c r="B127" s="264"/>
      <c r="C127" s="264"/>
      <c r="D127" s="264"/>
      <c r="E127" s="264"/>
      <c r="F127" s="264"/>
      <c r="G127" s="264"/>
      <c r="H127" s="264"/>
    </row>
    <row r="128" spans="1:8">
      <c r="A128" s="264"/>
      <c r="B128" s="264"/>
      <c r="C128" s="264"/>
      <c r="D128" s="264"/>
      <c r="E128" s="264"/>
      <c r="F128" s="264"/>
      <c r="G128" s="264"/>
      <c r="H128" s="264"/>
    </row>
    <row r="129" spans="1:8">
      <c r="A129" s="264"/>
      <c r="B129" s="264"/>
      <c r="C129" s="264"/>
      <c r="D129" s="264"/>
      <c r="E129" s="264"/>
      <c r="F129" s="264"/>
      <c r="G129" s="264"/>
      <c r="H129" s="264"/>
    </row>
    <row r="130" spans="1:8">
      <c r="A130" s="264"/>
      <c r="B130" s="264"/>
      <c r="C130" s="264"/>
      <c r="D130" s="264"/>
      <c r="E130" s="264"/>
      <c r="F130" s="264"/>
      <c r="G130" s="264"/>
      <c r="H130" s="264"/>
    </row>
    <row r="131" spans="1:8">
      <c r="A131" s="264"/>
      <c r="B131" s="264"/>
      <c r="C131" s="264"/>
      <c r="D131" s="264"/>
      <c r="E131" s="264"/>
      <c r="F131" s="264"/>
      <c r="G131" s="264"/>
      <c r="H131" s="264"/>
    </row>
    <row r="132" spans="1:8">
      <c r="A132" s="264"/>
      <c r="B132" s="264"/>
      <c r="C132" s="264"/>
      <c r="D132" s="264"/>
      <c r="E132" s="264"/>
      <c r="F132" s="264"/>
      <c r="G132" s="264"/>
      <c r="H132" s="264"/>
    </row>
    <row r="133" spans="1:8">
      <c r="A133" s="264"/>
      <c r="B133" s="264"/>
      <c r="C133" s="264"/>
      <c r="D133" s="264"/>
      <c r="E133" s="264"/>
      <c r="F133" s="264"/>
      <c r="G133" s="264"/>
      <c r="H133" s="264"/>
    </row>
    <row r="134" spans="1:8">
      <c r="A134" s="264"/>
      <c r="B134" s="264"/>
      <c r="C134" s="264"/>
      <c r="D134" s="264"/>
      <c r="E134" s="264"/>
      <c r="F134" s="264"/>
      <c r="G134" s="264"/>
      <c r="H134" s="264"/>
    </row>
    <row r="135" spans="1:8">
      <c r="A135" s="264"/>
      <c r="B135" s="264"/>
      <c r="C135" s="264"/>
      <c r="D135" s="264"/>
      <c r="E135" s="264"/>
      <c r="F135" s="264"/>
      <c r="G135" s="264"/>
      <c r="H135" s="264"/>
    </row>
    <row r="136" spans="1:8">
      <c r="A136" s="264"/>
      <c r="B136" s="264"/>
      <c r="C136" s="264"/>
      <c r="D136" s="264"/>
      <c r="E136" s="264"/>
      <c r="F136" s="264"/>
      <c r="G136" s="264"/>
      <c r="H136" s="264"/>
    </row>
    <row r="137" spans="1:8">
      <c r="A137" s="264"/>
      <c r="B137" s="264"/>
      <c r="C137" s="264"/>
      <c r="D137" s="264"/>
      <c r="E137" s="264"/>
      <c r="F137" s="264"/>
      <c r="G137" s="264"/>
      <c r="H137" s="264"/>
    </row>
    <row r="138" spans="1:8">
      <c r="A138" s="264"/>
      <c r="B138" s="264"/>
      <c r="C138" s="264"/>
      <c r="D138" s="264"/>
      <c r="E138" s="264"/>
      <c r="F138" s="264"/>
      <c r="G138" s="264"/>
      <c r="H138" s="264"/>
    </row>
    <row r="139" spans="1:8">
      <c r="A139" s="264"/>
      <c r="B139" s="264"/>
      <c r="C139" s="264"/>
      <c r="D139" s="264"/>
      <c r="E139" s="264"/>
      <c r="F139" s="264"/>
      <c r="G139" s="264"/>
      <c r="H139" s="264"/>
    </row>
    <row r="140" spans="1:8">
      <c r="A140" s="264"/>
      <c r="B140" s="264"/>
      <c r="C140" s="264"/>
      <c r="D140" s="264"/>
      <c r="E140" s="264"/>
      <c r="F140" s="264"/>
      <c r="G140" s="264"/>
      <c r="H140" s="264"/>
    </row>
    <row r="141" spans="1:8">
      <c r="A141" s="264"/>
      <c r="B141" s="264"/>
      <c r="C141" s="264"/>
      <c r="D141" s="264"/>
      <c r="E141" s="264"/>
      <c r="F141" s="264"/>
      <c r="G141" s="264"/>
      <c r="H141" s="264"/>
    </row>
    <row r="142" spans="1:8">
      <c r="A142" s="264"/>
      <c r="B142" s="264"/>
      <c r="C142" s="264"/>
      <c r="D142" s="264"/>
      <c r="E142" s="264"/>
      <c r="F142" s="264"/>
      <c r="G142" s="264"/>
      <c r="H142" s="264"/>
    </row>
    <row r="143" spans="1:8">
      <c r="A143" s="264"/>
      <c r="B143" s="264"/>
      <c r="C143" s="264"/>
      <c r="D143" s="264"/>
      <c r="E143" s="264"/>
      <c r="F143" s="264"/>
      <c r="G143" s="264"/>
      <c r="H143" s="264"/>
    </row>
    <row r="144" spans="1:8">
      <c r="A144" s="264"/>
      <c r="B144" s="264"/>
      <c r="C144" s="264"/>
      <c r="D144" s="264"/>
      <c r="E144" s="264"/>
      <c r="F144" s="264"/>
      <c r="G144" s="264"/>
      <c r="H144" s="264"/>
    </row>
    <row r="145" spans="1:8">
      <c r="A145" s="264"/>
      <c r="B145" s="264"/>
      <c r="C145" s="264"/>
      <c r="D145" s="264"/>
      <c r="E145" s="264"/>
      <c r="F145" s="264"/>
      <c r="G145" s="264"/>
      <c r="H145" s="264"/>
    </row>
    <row r="146" spans="1:8">
      <c r="A146" s="264"/>
      <c r="B146" s="264"/>
      <c r="C146" s="264"/>
      <c r="D146" s="264"/>
      <c r="E146" s="264"/>
      <c r="F146" s="264"/>
      <c r="G146" s="264"/>
      <c r="H146" s="264"/>
    </row>
    <row r="147" spans="1:8">
      <c r="A147" s="264"/>
      <c r="B147" s="264"/>
      <c r="C147" s="264"/>
      <c r="D147" s="264"/>
      <c r="E147" s="264"/>
      <c r="F147" s="264"/>
      <c r="G147" s="264"/>
      <c r="H147" s="264"/>
    </row>
    <row r="148" spans="1:8">
      <c r="A148" s="264"/>
      <c r="B148" s="264"/>
      <c r="C148" s="264"/>
      <c r="D148" s="264"/>
      <c r="E148" s="264"/>
      <c r="F148" s="264"/>
      <c r="G148" s="264"/>
      <c r="H148" s="264"/>
    </row>
    <row r="149" spans="1:8">
      <c r="A149" s="264"/>
      <c r="B149" s="264"/>
      <c r="C149" s="264"/>
      <c r="D149" s="264"/>
      <c r="E149" s="264"/>
      <c r="F149" s="264"/>
      <c r="G149" s="264"/>
      <c r="H149" s="264"/>
    </row>
    <row r="150" spans="1:8">
      <c r="A150" s="264"/>
      <c r="B150" s="264"/>
      <c r="C150" s="264"/>
      <c r="D150" s="264"/>
      <c r="E150" s="264"/>
      <c r="F150" s="264"/>
      <c r="G150" s="264"/>
      <c r="H150" s="264"/>
    </row>
    <row r="151" spans="1:8">
      <c r="A151" s="264"/>
      <c r="B151" s="264"/>
      <c r="C151" s="264"/>
      <c r="D151" s="264"/>
      <c r="E151" s="264"/>
      <c r="F151" s="264"/>
      <c r="G151" s="264"/>
      <c r="H151" s="264"/>
    </row>
    <row r="152" spans="1:8">
      <c r="A152" s="264"/>
      <c r="B152" s="264"/>
      <c r="C152" s="264"/>
      <c r="D152" s="264"/>
      <c r="E152" s="264"/>
      <c r="F152" s="264"/>
      <c r="G152" s="264"/>
      <c r="H152" s="264"/>
    </row>
    <row r="153" spans="1:8">
      <c r="A153" s="264"/>
      <c r="B153" s="264"/>
      <c r="C153" s="264"/>
      <c r="D153" s="264"/>
      <c r="E153" s="264"/>
      <c r="F153" s="264"/>
      <c r="G153" s="264"/>
      <c r="H153" s="264"/>
    </row>
    <row r="154" spans="1:8">
      <c r="A154" s="264"/>
      <c r="B154" s="264"/>
      <c r="C154" s="264"/>
      <c r="D154" s="264"/>
      <c r="E154" s="264"/>
      <c r="F154" s="264"/>
      <c r="G154" s="264"/>
      <c r="H154" s="264"/>
    </row>
    <row r="155" spans="1:8">
      <c r="A155" s="264"/>
      <c r="B155" s="264"/>
      <c r="C155" s="264"/>
      <c r="D155" s="264"/>
      <c r="E155" s="264"/>
      <c r="F155" s="264"/>
      <c r="G155" s="264"/>
      <c r="H155" s="264"/>
    </row>
    <row r="156" spans="1:8">
      <c r="A156" s="264"/>
      <c r="B156" s="264"/>
      <c r="C156" s="264"/>
      <c r="D156" s="264"/>
      <c r="E156" s="264"/>
      <c r="F156" s="264"/>
      <c r="G156" s="264"/>
      <c r="H156" s="264"/>
    </row>
    <row r="157" spans="1:8">
      <c r="A157" s="264"/>
      <c r="B157" s="264"/>
      <c r="C157" s="264"/>
      <c r="D157" s="264"/>
      <c r="E157" s="264"/>
      <c r="F157" s="264"/>
      <c r="G157" s="264"/>
      <c r="H157" s="264"/>
    </row>
    <row r="158" spans="1:8">
      <c r="A158" s="264"/>
      <c r="B158" s="264"/>
      <c r="C158" s="264"/>
      <c r="D158" s="264"/>
      <c r="E158" s="264"/>
      <c r="F158" s="264"/>
      <c r="G158" s="264"/>
      <c r="H158" s="264"/>
    </row>
    <row r="159" spans="1:8">
      <c r="A159" s="264"/>
      <c r="B159" s="264"/>
      <c r="C159" s="264"/>
      <c r="D159" s="264"/>
      <c r="E159" s="264"/>
      <c r="F159" s="264"/>
      <c r="G159" s="264"/>
      <c r="H159" s="264"/>
    </row>
    <row r="160" spans="1:8">
      <c r="A160" s="264"/>
      <c r="B160" s="264"/>
      <c r="C160" s="264"/>
      <c r="D160" s="264"/>
      <c r="E160" s="264"/>
      <c r="F160" s="264"/>
      <c r="G160" s="264"/>
      <c r="H160" s="264"/>
    </row>
    <row r="161" spans="1:8">
      <c r="A161" s="264"/>
      <c r="B161" s="264"/>
      <c r="C161" s="264"/>
      <c r="D161" s="264"/>
      <c r="E161" s="264"/>
      <c r="F161" s="264"/>
      <c r="G161" s="264"/>
      <c r="H161" s="264"/>
    </row>
    <row r="162" spans="1:8">
      <c r="A162" s="264"/>
      <c r="B162" s="264"/>
      <c r="C162" s="264"/>
      <c r="D162" s="264"/>
      <c r="E162" s="264"/>
      <c r="F162" s="264"/>
      <c r="G162" s="264"/>
      <c r="H162" s="264"/>
    </row>
    <row r="163" spans="1:8">
      <c r="A163" s="264"/>
      <c r="B163" s="264"/>
      <c r="C163" s="264"/>
      <c r="D163" s="264"/>
      <c r="E163" s="264"/>
      <c r="F163" s="264"/>
      <c r="G163" s="264"/>
      <c r="H163" s="264"/>
    </row>
    <row r="164" spans="1:8">
      <c r="A164" s="264"/>
      <c r="B164" s="264"/>
      <c r="C164" s="264"/>
      <c r="D164" s="264"/>
      <c r="E164" s="264"/>
      <c r="F164" s="264"/>
      <c r="G164" s="264"/>
      <c r="H164" s="264"/>
    </row>
    <row r="165" spans="1:8">
      <c r="A165" s="264"/>
      <c r="B165" s="264"/>
      <c r="C165" s="264"/>
      <c r="D165" s="264"/>
      <c r="E165" s="264"/>
      <c r="F165" s="264"/>
      <c r="G165" s="264"/>
      <c r="H165" s="264"/>
    </row>
    <row r="166" spans="1:8">
      <c r="A166" s="264"/>
      <c r="B166" s="264"/>
      <c r="C166" s="264"/>
      <c r="D166" s="264"/>
      <c r="E166" s="264"/>
      <c r="F166" s="264"/>
      <c r="G166" s="264"/>
      <c r="H166" s="264"/>
    </row>
    <row r="167" spans="1:8">
      <c r="A167" s="264"/>
      <c r="B167" s="264"/>
      <c r="C167" s="264"/>
      <c r="D167" s="264"/>
      <c r="E167" s="264"/>
      <c r="F167" s="264"/>
      <c r="G167" s="264"/>
      <c r="H167" s="264"/>
    </row>
    <row r="168" spans="1:8">
      <c r="A168" s="264"/>
      <c r="B168" s="264"/>
      <c r="C168" s="264"/>
      <c r="D168" s="264"/>
      <c r="E168" s="264"/>
      <c r="F168" s="264"/>
      <c r="G168" s="264"/>
      <c r="H168" s="264"/>
    </row>
    <row r="169" spans="1:8">
      <c r="A169" s="264"/>
      <c r="B169" s="264"/>
      <c r="C169" s="264"/>
      <c r="D169" s="264"/>
      <c r="E169" s="264"/>
      <c r="F169" s="264"/>
      <c r="G169" s="264"/>
      <c r="H169" s="264"/>
    </row>
    <row r="170" spans="1:8">
      <c r="A170" s="264"/>
      <c r="B170" s="264"/>
      <c r="C170" s="264"/>
      <c r="D170" s="264"/>
      <c r="E170" s="264"/>
      <c r="F170" s="264"/>
      <c r="G170" s="264"/>
      <c r="H170" s="264"/>
    </row>
    <row r="171" spans="1:8">
      <c r="A171" s="264"/>
      <c r="B171" s="264"/>
      <c r="C171" s="264"/>
      <c r="D171" s="264"/>
      <c r="E171" s="264"/>
      <c r="F171" s="264"/>
      <c r="G171" s="264"/>
      <c r="H171" s="264"/>
    </row>
    <row r="172" spans="1:8">
      <c r="A172" s="264"/>
      <c r="B172" s="264"/>
      <c r="C172" s="264"/>
      <c r="D172" s="264"/>
      <c r="E172" s="264"/>
      <c r="F172" s="264"/>
      <c r="G172" s="264"/>
      <c r="H172" s="264"/>
    </row>
    <row r="173" spans="1:8">
      <c r="A173" s="264"/>
      <c r="B173" s="264"/>
      <c r="C173" s="264"/>
      <c r="D173" s="264"/>
      <c r="E173" s="264"/>
      <c r="F173" s="264"/>
      <c r="G173" s="264"/>
      <c r="H173" s="264"/>
    </row>
    <row r="174" spans="1:8">
      <c r="A174" s="264"/>
      <c r="B174" s="264"/>
      <c r="C174" s="264"/>
      <c r="D174" s="264"/>
      <c r="E174" s="264"/>
      <c r="F174" s="264"/>
      <c r="G174" s="264"/>
      <c r="H174" s="264"/>
    </row>
    <row r="175" spans="1:8">
      <c r="A175" s="264"/>
      <c r="B175" s="264"/>
      <c r="C175" s="264"/>
      <c r="D175" s="264"/>
      <c r="E175" s="264"/>
      <c r="F175" s="264"/>
      <c r="G175" s="264"/>
      <c r="H175" s="264"/>
    </row>
    <row r="176" spans="1:8">
      <c r="A176" s="264"/>
      <c r="B176" s="264"/>
      <c r="C176" s="264"/>
      <c r="D176" s="264"/>
      <c r="E176" s="264"/>
      <c r="F176" s="264"/>
      <c r="G176" s="264"/>
      <c r="H176" s="264"/>
    </row>
    <row r="177" spans="1:8">
      <c r="A177" s="264"/>
      <c r="B177" s="264"/>
      <c r="C177" s="264"/>
      <c r="D177" s="264"/>
      <c r="E177" s="264"/>
      <c r="F177" s="264"/>
      <c r="G177" s="264"/>
      <c r="H177" s="264"/>
    </row>
    <row r="178" spans="1:8">
      <c r="A178" s="264"/>
      <c r="B178" s="264"/>
      <c r="C178" s="264"/>
      <c r="D178" s="264"/>
      <c r="E178" s="264"/>
      <c r="F178" s="264"/>
      <c r="G178" s="264"/>
      <c r="H178" s="264"/>
    </row>
    <row r="179" spans="1:8">
      <c r="A179" s="264"/>
      <c r="B179" s="264"/>
      <c r="C179" s="264"/>
      <c r="D179" s="264"/>
      <c r="E179" s="264"/>
      <c r="F179" s="264"/>
      <c r="G179" s="264"/>
      <c r="H179" s="264"/>
    </row>
    <row r="180" spans="1:8">
      <c r="A180" s="264"/>
      <c r="B180" s="264"/>
      <c r="C180" s="264"/>
      <c r="D180" s="264"/>
      <c r="E180" s="264"/>
      <c r="F180" s="264"/>
      <c r="G180" s="264"/>
      <c r="H180" s="264"/>
    </row>
    <row r="181" spans="1:8">
      <c r="A181" s="264"/>
      <c r="B181" s="264"/>
      <c r="C181" s="264"/>
      <c r="D181" s="264"/>
      <c r="E181" s="264"/>
      <c r="F181" s="264"/>
      <c r="G181" s="264"/>
      <c r="H181" s="264"/>
    </row>
    <row r="182" spans="1:8">
      <c r="A182" s="264"/>
      <c r="B182" s="264"/>
      <c r="C182" s="264"/>
      <c r="D182" s="264"/>
      <c r="E182" s="264"/>
      <c r="F182" s="264"/>
      <c r="G182" s="264"/>
      <c r="H182" s="264"/>
    </row>
    <row r="183" spans="1:8">
      <c r="A183" s="264"/>
      <c r="B183" s="264"/>
      <c r="C183" s="264"/>
      <c r="D183" s="264"/>
      <c r="E183" s="264"/>
      <c r="F183" s="264"/>
      <c r="G183" s="264"/>
      <c r="H183" s="264"/>
    </row>
    <row r="184" spans="1:8">
      <c r="A184" s="264"/>
      <c r="B184" s="264"/>
      <c r="C184" s="264"/>
      <c r="D184" s="264"/>
      <c r="E184" s="264"/>
      <c r="F184" s="264"/>
      <c r="G184" s="264"/>
      <c r="H184" s="264"/>
    </row>
    <row r="185" spans="1:8">
      <c r="A185" s="264"/>
      <c r="B185" s="264"/>
      <c r="C185" s="264"/>
      <c r="D185" s="264"/>
      <c r="E185" s="264"/>
      <c r="F185" s="264"/>
      <c r="G185" s="264"/>
      <c r="H185" s="264"/>
    </row>
    <row r="186" spans="1:8">
      <c r="A186" s="264"/>
      <c r="B186" s="264"/>
      <c r="C186" s="264"/>
      <c r="D186" s="264"/>
      <c r="E186" s="264"/>
      <c r="F186" s="264"/>
      <c r="G186" s="264"/>
      <c r="H186" s="264"/>
    </row>
    <row r="187" spans="1:8">
      <c r="A187" s="264"/>
      <c r="B187" s="264"/>
      <c r="C187" s="264"/>
      <c r="D187" s="264"/>
      <c r="E187" s="264"/>
      <c r="F187" s="264"/>
      <c r="G187" s="264"/>
      <c r="H187" s="264"/>
    </row>
    <row r="188" spans="1:8">
      <c r="A188" s="264"/>
      <c r="B188" s="264"/>
      <c r="C188" s="264"/>
      <c r="D188" s="264"/>
      <c r="E188" s="264"/>
      <c r="F188" s="264"/>
      <c r="G188" s="264"/>
      <c r="H188" s="264"/>
    </row>
    <row r="189" spans="1:8">
      <c r="A189" s="264"/>
      <c r="B189" s="264"/>
      <c r="C189" s="264"/>
      <c r="D189" s="264"/>
      <c r="E189" s="264"/>
      <c r="F189" s="264"/>
      <c r="G189" s="264"/>
      <c r="H189" s="264"/>
    </row>
    <row r="190" spans="1:8">
      <c r="A190" s="264"/>
      <c r="B190" s="264"/>
      <c r="C190" s="264"/>
      <c r="D190" s="264"/>
      <c r="E190" s="264"/>
      <c r="F190" s="264"/>
      <c r="G190" s="264"/>
      <c r="H190" s="264"/>
    </row>
    <row r="191" spans="1:8">
      <c r="A191" s="264"/>
      <c r="B191" s="264"/>
      <c r="C191" s="264"/>
      <c r="D191" s="264"/>
      <c r="E191" s="264"/>
      <c r="F191" s="264"/>
      <c r="G191" s="264"/>
      <c r="H191" s="264"/>
    </row>
    <row r="192" spans="1:8">
      <c r="A192" s="264"/>
      <c r="B192" s="264"/>
      <c r="C192" s="264"/>
      <c r="D192" s="264"/>
      <c r="E192" s="264"/>
      <c r="F192" s="264"/>
      <c r="G192" s="264"/>
      <c r="H192" s="264"/>
    </row>
    <row r="193" spans="1:8">
      <c r="A193" s="264"/>
      <c r="B193" s="264"/>
      <c r="C193" s="264"/>
      <c r="D193" s="264"/>
      <c r="E193" s="264"/>
      <c r="F193" s="264"/>
      <c r="G193" s="264"/>
      <c r="H193" s="264"/>
    </row>
    <row r="194" spans="1:8">
      <c r="A194" s="264"/>
      <c r="B194" s="264"/>
      <c r="C194" s="264"/>
      <c r="D194" s="264"/>
      <c r="E194" s="264"/>
      <c r="F194" s="264"/>
      <c r="G194" s="264"/>
      <c r="H194" s="264"/>
    </row>
    <row r="195" spans="1:8">
      <c r="A195" s="264"/>
      <c r="B195" s="264"/>
      <c r="C195" s="264"/>
      <c r="D195" s="264"/>
      <c r="E195" s="264"/>
      <c r="F195" s="264"/>
      <c r="G195" s="264"/>
      <c r="H195" s="264"/>
    </row>
    <row r="196" spans="1:8">
      <c r="A196" s="264"/>
      <c r="B196" s="264"/>
      <c r="C196" s="264"/>
      <c r="D196" s="264"/>
      <c r="E196" s="264"/>
      <c r="F196" s="264"/>
      <c r="G196" s="264"/>
      <c r="H196" s="264"/>
    </row>
    <row r="197" spans="1:8">
      <c r="A197" s="264"/>
      <c r="B197" s="264"/>
      <c r="C197" s="264"/>
      <c r="D197" s="264"/>
      <c r="E197" s="264"/>
      <c r="F197" s="264"/>
      <c r="G197" s="264"/>
      <c r="H197" s="264"/>
    </row>
    <row r="198" spans="1:8">
      <c r="A198" s="264"/>
      <c r="B198" s="264"/>
      <c r="C198" s="264"/>
      <c r="D198" s="264"/>
      <c r="E198" s="264"/>
      <c r="F198" s="264"/>
      <c r="G198" s="264"/>
      <c r="H198" s="264"/>
    </row>
    <row r="199" spans="1:8">
      <c r="A199" s="264"/>
      <c r="B199" s="264"/>
      <c r="C199" s="264"/>
      <c r="D199" s="264"/>
      <c r="E199" s="264"/>
      <c r="F199" s="264"/>
      <c r="G199" s="264"/>
      <c r="H199" s="264"/>
    </row>
    <row r="200" spans="1:8">
      <c r="A200" s="264"/>
      <c r="B200" s="264"/>
      <c r="C200" s="264"/>
      <c r="D200" s="264"/>
      <c r="E200" s="264"/>
      <c r="F200" s="264"/>
      <c r="G200" s="264"/>
      <c r="H200" s="264"/>
    </row>
    <row r="201" spans="1:8">
      <c r="A201" s="264"/>
      <c r="B201" s="264"/>
      <c r="C201" s="264"/>
      <c r="D201" s="264"/>
      <c r="E201" s="264"/>
      <c r="F201" s="264"/>
      <c r="G201" s="264"/>
      <c r="H201" s="264"/>
    </row>
    <row r="202" spans="1:8">
      <c r="A202" s="264"/>
      <c r="B202" s="264"/>
      <c r="C202" s="264"/>
      <c r="D202" s="264"/>
      <c r="E202" s="264"/>
      <c r="F202" s="264"/>
      <c r="G202" s="264"/>
      <c r="H202" s="264"/>
    </row>
    <row r="203" spans="1:8">
      <c r="A203" s="264"/>
      <c r="B203" s="264"/>
      <c r="C203" s="264"/>
      <c r="D203" s="264"/>
      <c r="E203" s="264"/>
      <c r="F203" s="264"/>
      <c r="G203" s="264"/>
      <c r="H203" s="264"/>
    </row>
    <row r="204" spans="1:8">
      <c r="A204" s="264"/>
      <c r="B204" s="264"/>
      <c r="C204" s="264"/>
      <c r="D204" s="264"/>
      <c r="E204" s="264"/>
      <c r="F204" s="264"/>
      <c r="G204" s="264"/>
      <c r="H204" s="264"/>
    </row>
    <row r="205" spans="1:8">
      <c r="A205" s="264"/>
      <c r="B205" s="264"/>
      <c r="C205" s="264"/>
      <c r="D205" s="264"/>
      <c r="E205" s="264"/>
      <c r="F205" s="264"/>
      <c r="G205" s="264"/>
      <c r="H205" s="264"/>
    </row>
    <row r="206" spans="1:8">
      <c r="A206" s="264"/>
      <c r="B206" s="264"/>
      <c r="C206" s="264"/>
      <c r="D206" s="264"/>
      <c r="E206" s="264"/>
      <c r="F206" s="264"/>
      <c r="G206" s="264"/>
      <c r="H206" s="264"/>
    </row>
    <row r="207" spans="1:8">
      <c r="A207" s="264"/>
      <c r="B207" s="264"/>
      <c r="C207" s="264"/>
      <c r="D207" s="264"/>
      <c r="E207" s="264"/>
      <c r="F207" s="264"/>
      <c r="G207" s="264"/>
      <c r="H207" s="264"/>
    </row>
    <row r="208" spans="1:8">
      <c r="A208" s="264"/>
      <c r="B208" s="264"/>
      <c r="C208" s="264"/>
      <c r="D208" s="264"/>
      <c r="E208" s="264"/>
      <c r="F208" s="264"/>
      <c r="G208" s="264"/>
      <c r="H208" s="264"/>
    </row>
    <row r="209" spans="1:8">
      <c r="A209" s="264"/>
      <c r="B209" s="264"/>
      <c r="C209" s="264"/>
      <c r="D209" s="264"/>
      <c r="E209" s="264"/>
      <c r="F209" s="264"/>
      <c r="G209" s="264"/>
      <c r="H209" s="264"/>
    </row>
    <row r="210" spans="1:8">
      <c r="A210" s="264"/>
      <c r="B210" s="264"/>
      <c r="C210" s="264"/>
      <c r="D210" s="264"/>
      <c r="E210" s="264"/>
      <c r="F210" s="264"/>
      <c r="G210" s="264"/>
      <c r="H210" s="264"/>
    </row>
    <row r="211" spans="1:8">
      <c r="A211" s="264"/>
      <c r="B211" s="264"/>
      <c r="C211" s="264"/>
      <c r="D211" s="264"/>
      <c r="E211" s="264"/>
      <c r="F211" s="264"/>
      <c r="G211" s="264"/>
      <c r="H211" s="264"/>
    </row>
    <row r="212" spans="1:8">
      <c r="A212" s="264"/>
      <c r="B212" s="264"/>
      <c r="C212" s="264"/>
      <c r="D212" s="264"/>
      <c r="E212" s="264"/>
      <c r="F212" s="264"/>
      <c r="G212" s="264"/>
      <c r="H212" s="264"/>
    </row>
    <row r="213" spans="1:8">
      <c r="A213" s="264"/>
      <c r="B213" s="264"/>
      <c r="C213" s="264"/>
      <c r="D213" s="264"/>
      <c r="E213" s="264"/>
      <c r="F213" s="264"/>
      <c r="G213" s="264"/>
      <c r="H213" s="264"/>
    </row>
    <row r="214" spans="1:8">
      <c r="A214" s="264"/>
      <c r="B214" s="264"/>
      <c r="C214" s="264"/>
      <c r="D214" s="264"/>
      <c r="E214" s="264"/>
      <c r="F214" s="264"/>
      <c r="G214" s="264"/>
      <c r="H214" s="264"/>
    </row>
    <row r="215" spans="1:8">
      <c r="A215" s="264"/>
      <c r="B215" s="264"/>
      <c r="C215" s="264"/>
      <c r="D215" s="264"/>
      <c r="E215" s="264"/>
      <c r="F215" s="264"/>
      <c r="G215" s="264"/>
      <c r="H215" s="264"/>
    </row>
    <row r="216" spans="1:8">
      <c r="A216" s="264"/>
      <c r="B216" s="264"/>
      <c r="C216" s="264"/>
      <c r="D216" s="264"/>
      <c r="E216" s="264"/>
      <c r="F216" s="264"/>
      <c r="G216" s="264"/>
      <c r="H216" s="264"/>
    </row>
    <row r="217" spans="1:8">
      <c r="A217" s="264"/>
      <c r="B217" s="264"/>
      <c r="C217" s="264"/>
      <c r="D217" s="264"/>
      <c r="E217" s="264"/>
      <c r="F217" s="264"/>
      <c r="G217" s="264"/>
      <c r="H217" s="264"/>
    </row>
    <row r="218" spans="1:8">
      <c r="A218" s="264"/>
      <c r="B218" s="264"/>
      <c r="C218" s="264"/>
      <c r="D218" s="264"/>
      <c r="E218" s="264"/>
      <c r="F218" s="264"/>
      <c r="G218" s="264"/>
      <c r="H218" s="264"/>
    </row>
    <row r="219" spans="1:8">
      <c r="A219" s="264"/>
      <c r="B219" s="264"/>
      <c r="C219" s="264"/>
      <c r="D219" s="264"/>
      <c r="E219" s="264"/>
      <c r="F219" s="264"/>
      <c r="G219" s="264"/>
      <c r="H219" s="264"/>
    </row>
    <row r="220" spans="1:8">
      <c r="A220" s="264"/>
      <c r="B220" s="264"/>
      <c r="C220" s="264"/>
      <c r="D220" s="264"/>
      <c r="E220" s="264"/>
      <c r="F220" s="264"/>
      <c r="G220" s="264"/>
      <c r="H220" s="264"/>
    </row>
    <row r="221" spans="1:8">
      <c r="A221" s="264"/>
      <c r="B221" s="264"/>
      <c r="C221" s="264"/>
      <c r="D221" s="264"/>
      <c r="E221" s="264"/>
      <c r="F221" s="264"/>
      <c r="G221" s="264"/>
      <c r="H221" s="264"/>
    </row>
    <row r="222" spans="1:8">
      <c r="A222" s="264"/>
      <c r="B222" s="264"/>
      <c r="C222" s="264"/>
      <c r="D222" s="264"/>
      <c r="E222" s="264"/>
      <c r="F222" s="264"/>
      <c r="G222" s="264"/>
      <c r="H222" s="264"/>
    </row>
    <row r="223" spans="1:8">
      <c r="A223" s="264"/>
      <c r="B223" s="264"/>
      <c r="C223" s="264"/>
      <c r="D223" s="264"/>
      <c r="E223" s="264"/>
      <c r="F223" s="264"/>
      <c r="G223" s="264"/>
      <c r="H223" s="264"/>
    </row>
    <row r="224" spans="1:8">
      <c r="A224" s="264"/>
      <c r="B224" s="264"/>
      <c r="C224" s="264"/>
      <c r="D224" s="264"/>
      <c r="E224" s="264"/>
      <c r="F224" s="264"/>
      <c r="G224" s="264"/>
      <c r="H224" s="264"/>
    </row>
    <row r="225" spans="1:8">
      <c r="A225" s="264"/>
      <c r="B225" s="264"/>
      <c r="C225" s="264"/>
      <c r="D225" s="264"/>
      <c r="E225" s="264"/>
      <c r="F225" s="264"/>
      <c r="G225" s="264"/>
      <c r="H225" s="264"/>
    </row>
    <row r="226" spans="1:8">
      <c r="A226" s="264"/>
      <c r="B226" s="264"/>
      <c r="C226" s="264"/>
      <c r="D226" s="264"/>
      <c r="E226" s="264"/>
      <c r="F226" s="264"/>
      <c r="G226" s="264"/>
      <c r="H226" s="264"/>
    </row>
    <row r="227" spans="1:8">
      <c r="A227" s="264"/>
      <c r="B227" s="264"/>
      <c r="C227" s="264"/>
      <c r="D227" s="264"/>
      <c r="E227" s="264"/>
      <c r="F227" s="264"/>
      <c r="G227" s="264"/>
      <c r="H227" s="264"/>
    </row>
    <row r="228" spans="1:8">
      <c r="A228" s="264"/>
      <c r="B228" s="264"/>
      <c r="C228" s="264"/>
      <c r="D228" s="264"/>
      <c r="E228" s="264"/>
      <c r="F228" s="264"/>
      <c r="G228" s="264"/>
      <c r="H228" s="264"/>
    </row>
    <row r="229" spans="1:8">
      <c r="A229" s="264"/>
      <c r="B229" s="264"/>
      <c r="C229" s="264"/>
      <c r="D229" s="264"/>
      <c r="E229" s="264"/>
      <c r="F229" s="264"/>
      <c r="G229" s="264"/>
      <c r="H229" s="264"/>
    </row>
    <row r="230" spans="1:8">
      <c r="A230" s="264"/>
      <c r="B230" s="264"/>
      <c r="C230" s="264"/>
      <c r="D230" s="264"/>
      <c r="E230" s="264"/>
      <c r="F230" s="264"/>
      <c r="G230" s="264"/>
      <c r="H230" s="264"/>
    </row>
    <row r="231" spans="1:8">
      <c r="A231" s="264"/>
      <c r="B231" s="264"/>
      <c r="C231" s="264"/>
      <c r="D231" s="264"/>
      <c r="E231" s="264"/>
      <c r="F231" s="264"/>
      <c r="G231" s="264"/>
      <c r="H231" s="264"/>
    </row>
    <row r="232" spans="1:8">
      <c r="A232" s="264"/>
      <c r="B232" s="264"/>
      <c r="C232" s="264"/>
      <c r="D232" s="264"/>
      <c r="E232" s="264"/>
      <c r="F232" s="264"/>
      <c r="G232" s="264"/>
      <c r="H232" s="264"/>
    </row>
    <row r="233" spans="1:8">
      <c r="A233" s="264"/>
      <c r="B233" s="264"/>
      <c r="C233" s="264"/>
      <c r="D233" s="264"/>
      <c r="E233" s="264"/>
      <c r="F233" s="264"/>
      <c r="G233" s="264"/>
      <c r="H233" s="264"/>
    </row>
    <row r="234" spans="1:8">
      <c r="A234" s="264"/>
      <c r="B234" s="264"/>
      <c r="C234" s="264"/>
      <c r="D234" s="264"/>
      <c r="E234" s="264"/>
      <c r="F234" s="264"/>
      <c r="G234" s="264"/>
      <c r="H234" s="264"/>
    </row>
    <row r="235" spans="1:8">
      <c r="A235" s="264"/>
      <c r="B235" s="264"/>
      <c r="C235" s="264"/>
      <c r="D235" s="264"/>
      <c r="E235" s="264"/>
      <c r="F235" s="264"/>
      <c r="G235" s="264"/>
      <c r="H235" s="264"/>
    </row>
    <row r="236" spans="1:8">
      <c r="A236" s="264"/>
      <c r="B236" s="264"/>
      <c r="C236" s="264"/>
      <c r="D236" s="264"/>
      <c r="E236" s="264"/>
      <c r="F236" s="264"/>
      <c r="G236" s="264"/>
      <c r="H236" s="264"/>
    </row>
    <row r="237" spans="1:8">
      <c r="A237" s="264"/>
      <c r="B237" s="264"/>
      <c r="C237" s="264"/>
      <c r="D237" s="264"/>
      <c r="E237" s="264"/>
      <c r="F237" s="264"/>
      <c r="G237" s="264"/>
      <c r="H237" s="264"/>
    </row>
    <row r="238" spans="1:8">
      <c r="A238" s="264"/>
      <c r="B238" s="264"/>
      <c r="C238" s="264"/>
      <c r="D238" s="264"/>
      <c r="E238" s="264"/>
      <c r="F238" s="264"/>
      <c r="G238" s="264"/>
      <c r="H238" s="264"/>
    </row>
    <row r="239" spans="1:8">
      <c r="A239" s="264"/>
      <c r="B239" s="264"/>
      <c r="C239" s="264"/>
      <c r="D239" s="264"/>
      <c r="E239" s="264"/>
      <c r="F239" s="264"/>
      <c r="G239" s="264"/>
      <c r="H239" s="264"/>
    </row>
    <row r="240" spans="1:8">
      <c r="A240" s="264"/>
      <c r="B240" s="264"/>
      <c r="C240" s="264"/>
      <c r="D240" s="264"/>
      <c r="E240" s="264"/>
      <c r="F240" s="264"/>
      <c r="G240" s="264"/>
      <c r="H240" s="264"/>
    </row>
    <row r="241" spans="1:8">
      <c r="A241" s="264"/>
      <c r="B241" s="264"/>
      <c r="C241" s="264"/>
      <c r="D241" s="264"/>
      <c r="E241" s="264"/>
      <c r="F241" s="264"/>
      <c r="G241" s="264"/>
      <c r="H241" s="264"/>
    </row>
    <row r="242" spans="1:8">
      <c r="A242" s="264"/>
      <c r="B242" s="264"/>
      <c r="C242" s="264"/>
      <c r="D242" s="264"/>
      <c r="E242" s="264"/>
      <c r="F242" s="264"/>
      <c r="G242" s="264"/>
      <c r="H242" s="264"/>
    </row>
    <row r="243" spans="1:8">
      <c r="A243" s="264"/>
      <c r="B243" s="264"/>
      <c r="C243" s="264"/>
      <c r="D243" s="264"/>
      <c r="E243" s="264"/>
      <c r="F243" s="264"/>
      <c r="G243" s="264"/>
      <c r="H243" s="264"/>
    </row>
    <row r="244" spans="1:8">
      <c r="A244" s="264"/>
      <c r="B244" s="264"/>
      <c r="C244" s="264"/>
      <c r="D244" s="264"/>
      <c r="E244" s="264"/>
      <c r="F244" s="264"/>
      <c r="G244" s="264"/>
      <c r="H244" s="264"/>
    </row>
    <row r="245" spans="1:8">
      <c r="A245" s="264"/>
      <c r="B245" s="264"/>
      <c r="C245" s="264"/>
      <c r="D245" s="264"/>
      <c r="E245" s="264"/>
      <c r="F245" s="264"/>
      <c r="G245" s="264"/>
      <c r="H245" s="264"/>
    </row>
    <row r="246" spans="1:8">
      <c r="A246" s="264"/>
      <c r="B246" s="264"/>
      <c r="C246" s="264"/>
      <c r="D246" s="264"/>
      <c r="E246" s="264"/>
      <c r="F246" s="264"/>
      <c r="G246" s="264"/>
      <c r="H246" s="264"/>
    </row>
    <row r="247" spans="1:8">
      <c r="A247" s="264"/>
      <c r="B247" s="264"/>
      <c r="C247" s="264"/>
      <c r="D247" s="264"/>
      <c r="E247" s="264"/>
      <c r="F247" s="264"/>
      <c r="G247" s="264"/>
      <c r="H247" s="264"/>
    </row>
    <row r="248" spans="1:8">
      <c r="A248" s="264"/>
      <c r="B248" s="264"/>
      <c r="C248" s="264"/>
      <c r="D248" s="264"/>
      <c r="E248" s="264"/>
      <c r="F248" s="264"/>
      <c r="G248" s="264"/>
      <c r="H248" s="264"/>
    </row>
    <row r="249" spans="1:8">
      <c r="A249" s="264"/>
      <c r="B249" s="264"/>
      <c r="C249" s="264"/>
      <c r="D249" s="264"/>
      <c r="E249" s="264"/>
      <c r="F249" s="264"/>
      <c r="G249" s="264"/>
      <c r="H249" s="264"/>
    </row>
    <row r="250" spans="1:8">
      <c r="A250" s="264"/>
      <c r="B250" s="264"/>
      <c r="C250" s="264"/>
      <c r="D250" s="264"/>
      <c r="E250" s="264"/>
      <c r="F250" s="264"/>
      <c r="G250" s="264"/>
      <c r="H250" s="264"/>
    </row>
    <row r="251" spans="1:8">
      <c r="A251" s="264"/>
      <c r="B251" s="264"/>
      <c r="C251" s="264"/>
      <c r="D251" s="264"/>
      <c r="E251" s="264"/>
      <c r="F251" s="264"/>
      <c r="G251" s="264"/>
      <c r="H251" s="264"/>
    </row>
    <row r="252" spans="1:8">
      <c r="A252" s="264"/>
      <c r="B252" s="264"/>
      <c r="C252" s="264"/>
      <c r="D252" s="264"/>
      <c r="E252" s="264"/>
      <c r="F252" s="264"/>
      <c r="G252" s="264"/>
      <c r="H252" s="264"/>
    </row>
    <row r="253" spans="1:8">
      <c r="A253" s="264"/>
      <c r="B253" s="264"/>
      <c r="C253" s="264"/>
      <c r="D253" s="264"/>
      <c r="E253" s="264"/>
      <c r="F253" s="264"/>
      <c r="G253" s="264"/>
      <c r="H253" s="264"/>
    </row>
    <row r="254" spans="1:8">
      <c r="A254" s="264"/>
      <c r="B254" s="264"/>
      <c r="C254" s="264"/>
      <c r="D254" s="264"/>
      <c r="E254" s="264"/>
      <c r="F254" s="264"/>
      <c r="G254" s="264"/>
      <c r="H254" s="264"/>
    </row>
    <row r="255" spans="1:8">
      <c r="A255" s="264"/>
      <c r="B255" s="264"/>
      <c r="C255" s="264"/>
      <c r="D255" s="264"/>
      <c r="E255" s="264"/>
      <c r="F255" s="264"/>
      <c r="G255" s="264"/>
      <c r="H255" s="264"/>
    </row>
    <row r="256" spans="1:8">
      <c r="A256" s="264"/>
      <c r="B256" s="264"/>
      <c r="C256" s="264"/>
      <c r="D256" s="264"/>
      <c r="E256" s="264"/>
      <c r="F256" s="264"/>
      <c r="G256" s="264"/>
      <c r="H256" s="264"/>
    </row>
    <row r="257" spans="1:8">
      <c r="A257" s="264"/>
      <c r="B257" s="264"/>
      <c r="C257" s="264"/>
      <c r="D257" s="264"/>
      <c r="E257" s="264"/>
      <c r="F257" s="264"/>
      <c r="G257" s="264"/>
      <c r="H257" s="264"/>
    </row>
    <row r="258" spans="1:8">
      <c r="A258" s="264"/>
      <c r="B258" s="264"/>
      <c r="C258" s="264"/>
      <c r="D258" s="264"/>
      <c r="E258" s="264"/>
      <c r="F258" s="264"/>
      <c r="G258" s="264"/>
      <c r="H258" s="264"/>
    </row>
    <row r="259" spans="1:8">
      <c r="A259" s="264"/>
      <c r="B259" s="264"/>
      <c r="C259" s="264"/>
      <c r="D259" s="264"/>
      <c r="E259" s="264"/>
      <c r="F259" s="264"/>
      <c r="G259" s="264"/>
      <c r="H259" s="264"/>
    </row>
    <row r="260" spans="1:8">
      <c r="A260" s="264"/>
      <c r="B260" s="264"/>
      <c r="C260" s="264"/>
      <c r="D260" s="264"/>
      <c r="E260" s="264"/>
      <c r="F260" s="264"/>
      <c r="G260" s="264"/>
      <c r="H260" s="264"/>
    </row>
    <row r="261" spans="1:8">
      <c r="A261" s="264"/>
      <c r="B261" s="264"/>
      <c r="C261" s="264"/>
      <c r="D261" s="264"/>
      <c r="E261" s="264"/>
      <c r="F261" s="264"/>
      <c r="G261" s="264"/>
      <c r="H261" s="264"/>
    </row>
    <row r="262" spans="1:8">
      <c r="A262" s="264"/>
      <c r="B262" s="264"/>
      <c r="C262" s="264"/>
      <c r="D262" s="264"/>
      <c r="E262" s="264"/>
      <c r="F262" s="264"/>
      <c r="G262" s="264"/>
      <c r="H262" s="264"/>
    </row>
    <row r="263" spans="1:8">
      <c r="A263" s="264"/>
      <c r="B263" s="264"/>
      <c r="C263" s="264"/>
      <c r="D263" s="264"/>
      <c r="E263" s="264"/>
      <c r="F263" s="264"/>
      <c r="G263" s="264"/>
      <c r="H263" s="264"/>
    </row>
    <row r="264" spans="1:8">
      <c r="A264" s="264"/>
      <c r="B264" s="264"/>
      <c r="C264" s="264"/>
      <c r="D264" s="264"/>
      <c r="E264" s="264"/>
      <c r="F264" s="264"/>
      <c r="G264" s="264"/>
      <c r="H264" s="264"/>
    </row>
    <row r="265" spans="1:8">
      <c r="A265" s="264"/>
      <c r="B265" s="264"/>
      <c r="C265" s="264"/>
      <c r="D265" s="264"/>
      <c r="E265" s="264"/>
      <c r="F265" s="264"/>
      <c r="G265" s="264"/>
      <c r="H265" s="264"/>
    </row>
    <row r="266" spans="1:8">
      <c r="A266" s="264"/>
      <c r="B266" s="264"/>
      <c r="C266" s="264"/>
      <c r="D266" s="264"/>
      <c r="E266" s="264"/>
      <c r="F266" s="264"/>
      <c r="G266" s="264"/>
      <c r="H266" s="264"/>
    </row>
    <row r="267" spans="1:8">
      <c r="A267" s="264"/>
      <c r="B267" s="264"/>
      <c r="C267" s="264"/>
      <c r="D267" s="264"/>
      <c r="E267" s="264"/>
      <c r="F267" s="264"/>
      <c r="G267" s="264"/>
      <c r="H267" s="264"/>
    </row>
    <row r="268" spans="1:8">
      <c r="A268" s="264"/>
      <c r="B268" s="264"/>
      <c r="C268" s="264"/>
      <c r="D268" s="264"/>
      <c r="E268" s="264"/>
      <c r="F268" s="264"/>
      <c r="G268" s="264"/>
      <c r="H268" s="264"/>
    </row>
    <row r="269" spans="1:8">
      <c r="A269" s="264"/>
      <c r="B269" s="264"/>
      <c r="C269" s="264"/>
      <c r="D269" s="264"/>
      <c r="E269" s="264"/>
      <c r="F269" s="264"/>
      <c r="G269" s="264"/>
      <c r="H269" s="264"/>
    </row>
    <row r="270" spans="1:8">
      <c r="A270" s="264"/>
      <c r="B270" s="264"/>
      <c r="C270" s="264"/>
      <c r="D270" s="264"/>
      <c r="E270" s="264"/>
      <c r="F270" s="264"/>
      <c r="G270" s="264"/>
      <c r="H270" s="264"/>
    </row>
    <row r="271" spans="1:8">
      <c r="A271" s="264"/>
      <c r="B271" s="264"/>
      <c r="C271" s="264"/>
      <c r="D271" s="264"/>
      <c r="E271" s="264"/>
      <c r="F271" s="264"/>
      <c r="G271" s="264"/>
      <c r="H271" s="264"/>
    </row>
    <row r="272" spans="1:8">
      <c r="A272" s="264"/>
      <c r="B272" s="264"/>
      <c r="C272" s="264"/>
      <c r="D272" s="264"/>
      <c r="E272" s="264"/>
      <c r="F272" s="264"/>
      <c r="G272" s="264"/>
      <c r="H272" s="264"/>
    </row>
    <row r="273" spans="1:8">
      <c r="A273" s="264"/>
      <c r="B273" s="264"/>
      <c r="C273" s="264"/>
      <c r="D273" s="264"/>
      <c r="E273" s="264"/>
      <c r="F273" s="264"/>
      <c r="G273" s="264"/>
      <c r="H273" s="264"/>
    </row>
    <row r="274" spans="1:8">
      <c r="A274" s="264"/>
      <c r="B274" s="264"/>
      <c r="C274" s="264"/>
      <c r="D274" s="264"/>
      <c r="E274" s="264"/>
      <c r="F274" s="264"/>
      <c r="G274" s="264"/>
      <c r="H274" s="264"/>
    </row>
    <row r="275" spans="1:8">
      <c r="A275" s="264"/>
      <c r="B275" s="264"/>
      <c r="C275" s="264"/>
      <c r="D275" s="264"/>
      <c r="E275" s="264"/>
      <c r="F275" s="264"/>
      <c r="G275" s="264"/>
      <c r="H275" s="264"/>
    </row>
    <row r="276" spans="1:8">
      <c r="A276" s="264"/>
      <c r="B276" s="264"/>
      <c r="C276" s="264"/>
      <c r="D276" s="264"/>
      <c r="E276" s="264"/>
      <c r="F276" s="264"/>
      <c r="G276" s="264"/>
      <c r="H276" s="264"/>
    </row>
    <row r="277" spans="1:8">
      <c r="A277" s="264"/>
      <c r="B277" s="264"/>
      <c r="C277" s="264"/>
      <c r="D277" s="264"/>
      <c r="E277" s="264"/>
      <c r="F277" s="264"/>
      <c r="G277" s="264"/>
      <c r="H277" s="264"/>
    </row>
    <row r="278" spans="1:8">
      <c r="A278" s="264"/>
      <c r="B278" s="264"/>
      <c r="C278" s="264"/>
      <c r="D278" s="264"/>
      <c r="E278" s="264"/>
      <c r="F278" s="264"/>
      <c r="G278" s="264"/>
      <c r="H278" s="264"/>
    </row>
    <row r="279" spans="1:8">
      <c r="A279" s="264"/>
      <c r="B279" s="264"/>
      <c r="C279" s="264"/>
      <c r="D279" s="264"/>
      <c r="E279" s="264"/>
      <c r="F279" s="264"/>
      <c r="G279" s="264"/>
      <c r="H279" s="264"/>
    </row>
    <row r="280" spans="1:8">
      <c r="A280" s="264"/>
      <c r="B280" s="264"/>
      <c r="C280" s="264"/>
      <c r="D280" s="264"/>
      <c r="E280" s="264"/>
      <c r="F280" s="264"/>
      <c r="G280" s="264"/>
      <c r="H280" s="264"/>
    </row>
    <row r="281" spans="1:8">
      <c r="A281" s="264"/>
      <c r="B281" s="264"/>
      <c r="C281" s="264"/>
      <c r="D281" s="264"/>
      <c r="E281" s="264"/>
      <c r="F281" s="264"/>
      <c r="G281" s="264"/>
      <c r="H281" s="264"/>
    </row>
    <row r="282" spans="1:8">
      <c r="A282" s="264"/>
      <c r="B282" s="264"/>
      <c r="C282" s="264"/>
      <c r="D282" s="264"/>
      <c r="E282" s="264"/>
      <c r="F282" s="264"/>
      <c r="G282" s="264"/>
      <c r="H282" s="264"/>
    </row>
    <row r="283" spans="1:8">
      <c r="A283" s="264"/>
      <c r="B283" s="264"/>
      <c r="C283" s="264"/>
      <c r="D283" s="264"/>
      <c r="E283" s="264"/>
      <c r="F283" s="264"/>
      <c r="G283" s="264"/>
      <c r="H283" s="264"/>
    </row>
    <row r="284" spans="1:8">
      <c r="A284" s="264"/>
      <c r="B284" s="264"/>
      <c r="C284" s="264"/>
      <c r="D284" s="264"/>
      <c r="E284" s="264"/>
      <c r="F284" s="264"/>
      <c r="G284" s="264"/>
      <c r="H284" s="264"/>
    </row>
    <row r="285" spans="1:8">
      <c r="A285" s="264"/>
      <c r="B285" s="264"/>
      <c r="C285" s="264"/>
      <c r="D285" s="264"/>
      <c r="E285" s="264"/>
      <c r="F285" s="264"/>
      <c r="G285" s="264"/>
      <c r="H285" s="264"/>
    </row>
    <row r="286" spans="1:8">
      <c r="A286" s="264"/>
      <c r="B286" s="264"/>
      <c r="C286" s="264"/>
      <c r="D286" s="264"/>
      <c r="E286" s="264"/>
      <c r="F286" s="264"/>
      <c r="G286" s="264"/>
      <c r="H286" s="264"/>
    </row>
    <row r="287" spans="1:8">
      <c r="A287" s="264"/>
      <c r="B287" s="264"/>
      <c r="C287" s="264"/>
      <c r="D287" s="264"/>
      <c r="E287" s="264"/>
      <c r="F287" s="264"/>
      <c r="G287" s="264"/>
      <c r="H287" s="264"/>
    </row>
    <row r="288" spans="1:8">
      <c r="A288" s="264"/>
      <c r="B288" s="264"/>
      <c r="C288" s="264"/>
      <c r="D288" s="264"/>
      <c r="E288" s="264"/>
      <c r="F288" s="264"/>
      <c r="G288" s="264"/>
      <c r="H288" s="264"/>
    </row>
    <row r="289" spans="1:8">
      <c r="A289" s="264"/>
      <c r="B289" s="264"/>
      <c r="C289" s="264"/>
      <c r="D289" s="264"/>
      <c r="E289" s="264"/>
      <c r="F289" s="264"/>
      <c r="G289" s="264"/>
      <c r="H289" s="264"/>
    </row>
    <row r="290" spans="1:8">
      <c r="A290" s="264"/>
      <c r="B290" s="264"/>
      <c r="C290" s="264"/>
      <c r="D290" s="264"/>
      <c r="E290" s="264"/>
      <c r="F290" s="264"/>
      <c r="G290" s="264"/>
      <c r="H290" s="264"/>
    </row>
    <row r="291" spans="1:8">
      <c r="A291" s="264"/>
      <c r="B291" s="264"/>
      <c r="C291" s="264"/>
      <c r="D291" s="264"/>
      <c r="E291" s="264"/>
      <c r="F291" s="264"/>
      <c r="G291" s="264"/>
      <c r="H291" s="264"/>
    </row>
    <row r="292" spans="1:8">
      <c r="A292" s="264"/>
      <c r="B292" s="264"/>
      <c r="C292" s="264"/>
      <c r="D292" s="264"/>
      <c r="E292" s="264"/>
      <c r="F292" s="264"/>
      <c r="G292" s="264"/>
      <c r="H292" s="264"/>
    </row>
    <row r="293" spans="1:8">
      <c r="A293" s="264"/>
      <c r="B293" s="264"/>
      <c r="C293" s="264"/>
      <c r="D293" s="264"/>
      <c r="E293" s="264"/>
      <c r="F293" s="264"/>
      <c r="G293" s="264"/>
      <c r="H293" s="264"/>
    </row>
    <row r="294" spans="1:8">
      <c r="A294" s="264"/>
      <c r="B294" s="264"/>
      <c r="C294" s="264"/>
      <c r="D294" s="264"/>
      <c r="E294" s="264"/>
      <c r="F294" s="264"/>
      <c r="G294" s="264"/>
      <c r="H294" s="264"/>
    </row>
    <row r="295" spans="1:8">
      <c r="A295" s="264"/>
      <c r="B295" s="264"/>
      <c r="C295" s="264"/>
      <c r="D295" s="264"/>
      <c r="E295" s="264"/>
      <c r="F295" s="264"/>
      <c r="G295" s="264"/>
      <c r="H295" s="264"/>
    </row>
    <row r="296" spans="1:8">
      <c r="A296" s="264"/>
      <c r="B296" s="264"/>
      <c r="C296" s="264"/>
      <c r="D296" s="264"/>
      <c r="E296" s="264"/>
      <c r="F296" s="264"/>
      <c r="G296" s="264"/>
      <c r="H296" s="264"/>
    </row>
    <row r="297" spans="1:8">
      <c r="A297" s="264"/>
      <c r="B297" s="264"/>
      <c r="C297" s="264"/>
      <c r="D297" s="264"/>
      <c r="E297" s="264"/>
      <c r="F297" s="264"/>
      <c r="G297" s="264"/>
      <c r="H297" s="264"/>
    </row>
    <row r="298" spans="1:8">
      <c r="A298" s="264"/>
      <c r="B298" s="264"/>
      <c r="C298" s="264"/>
      <c r="D298" s="264"/>
      <c r="E298" s="264"/>
      <c r="F298" s="264"/>
      <c r="G298" s="264"/>
      <c r="H298" s="264"/>
    </row>
    <row r="299" spans="1:8">
      <c r="A299" s="264"/>
      <c r="B299" s="264"/>
      <c r="C299" s="264"/>
      <c r="D299" s="264"/>
      <c r="E299" s="264"/>
      <c r="F299" s="264"/>
      <c r="G299" s="264"/>
      <c r="H299" s="264"/>
    </row>
    <row r="300" spans="1:8">
      <c r="A300" s="264"/>
      <c r="B300" s="264"/>
      <c r="C300" s="264"/>
      <c r="D300" s="264"/>
      <c r="E300" s="264"/>
      <c r="F300" s="264"/>
      <c r="G300" s="264"/>
      <c r="H300" s="264"/>
    </row>
    <row r="301" spans="1:8">
      <c r="A301" s="264"/>
      <c r="B301" s="264"/>
      <c r="C301" s="264"/>
      <c r="D301" s="264"/>
      <c r="E301" s="264"/>
      <c r="F301" s="264"/>
      <c r="G301" s="264"/>
      <c r="H301" s="264"/>
    </row>
    <row r="302" spans="1:8">
      <c r="A302" s="264"/>
      <c r="B302" s="264"/>
      <c r="C302" s="264"/>
      <c r="D302" s="264"/>
      <c r="E302" s="264"/>
      <c r="F302" s="264"/>
      <c r="G302" s="264"/>
      <c r="H302" s="264"/>
    </row>
    <row r="303" spans="1:8">
      <c r="A303" s="264"/>
      <c r="B303" s="264"/>
      <c r="C303" s="264"/>
      <c r="D303" s="264"/>
      <c r="E303" s="264"/>
      <c r="F303" s="264"/>
      <c r="G303" s="264"/>
      <c r="H303" s="264"/>
    </row>
    <row r="304" spans="1:8">
      <c r="A304" s="264"/>
      <c r="B304" s="264"/>
      <c r="C304" s="264"/>
      <c r="D304" s="264"/>
      <c r="E304" s="264"/>
      <c r="F304" s="264"/>
      <c r="G304" s="264"/>
      <c r="H304" s="264"/>
    </row>
    <row r="305" spans="1:8">
      <c r="A305" s="264"/>
      <c r="B305" s="264"/>
      <c r="C305" s="264"/>
      <c r="D305" s="264"/>
      <c r="E305" s="264"/>
      <c r="F305" s="264"/>
      <c r="G305" s="264"/>
      <c r="H305" s="264"/>
    </row>
    <row r="306" spans="1:8">
      <c r="A306" s="264"/>
      <c r="B306" s="264"/>
      <c r="C306" s="264"/>
      <c r="D306" s="264"/>
      <c r="E306" s="264"/>
      <c r="F306" s="264"/>
      <c r="G306" s="264"/>
      <c r="H306" s="264"/>
    </row>
    <row r="307" spans="1:8">
      <c r="A307" s="264"/>
      <c r="B307" s="264"/>
      <c r="C307" s="264"/>
      <c r="D307" s="264"/>
      <c r="E307" s="264"/>
      <c r="F307" s="264"/>
      <c r="G307" s="264"/>
      <c r="H307" s="264"/>
    </row>
    <row r="308" spans="1:8">
      <c r="A308" s="264"/>
      <c r="B308" s="264"/>
      <c r="C308" s="264"/>
      <c r="D308" s="264"/>
      <c r="E308" s="264"/>
      <c r="F308" s="264"/>
      <c r="G308" s="264"/>
      <c r="H308" s="264"/>
    </row>
    <row r="309" spans="1:8">
      <c r="A309" s="264"/>
      <c r="B309" s="264"/>
      <c r="C309" s="264"/>
      <c r="D309" s="264"/>
      <c r="E309" s="264"/>
      <c r="F309" s="264"/>
      <c r="G309" s="264"/>
      <c r="H309" s="264"/>
    </row>
    <row r="310" spans="1:8">
      <c r="A310" s="264"/>
      <c r="B310" s="264"/>
      <c r="C310" s="264"/>
      <c r="D310" s="264"/>
      <c r="E310" s="264"/>
      <c r="F310" s="264"/>
      <c r="G310" s="264"/>
      <c r="H310" s="264"/>
    </row>
    <row r="311" spans="1:8">
      <c r="A311" s="264"/>
      <c r="B311" s="264"/>
      <c r="C311" s="264"/>
      <c r="D311" s="264"/>
      <c r="E311" s="264"/>
      <c r="F311" s="264"/>
      <c r="G311" s="264"/>
      <c r="H311" s="264"/>
    </row>
    <row r="312" spans="1:8">
      <c r="A312" s="264"/>
      <c r="B312" s="264"/>
      <c r="C312" s="264"/>
      <c r="D312" s="264"/>
      <c r="E312" s="264"/>
      <c r="F312" s="264"/>
      <c r="G312" s="264"/>
      <c r="H312" s="264"/>
    </row>
    <row r="313" spans="1:8">
      <c r="A313" s="264"/>
      <c r="B313" s="264"/>
      <c r="C313" s="264"/>
      <c r="D313" s="264"/>
      <c r="E313" s="264"/>
      <c r="F313" s="264"/>
      <c r="G313" s="264"/>
      <c r="H313" s="264"/>
    </row>
    <row r="314" spans="1:8">
      <c r="A314" s="264"/>
      <c r="B314" s="264"/>
      <c r="C314" s="264"/>
      <c r="D314" s="264"/>
      <c r="E314" s="264"/>
      <c r="F314" s="264"/>
      <c r="G314" s="264"/>
      <c r="H314" s="264"/>
    </row>
    <row r="315" spans="1:8">
      <c r="A315" s="264"/>
      <c r="B315" s="264"/>
      <c r="C315" s="264"/>
      <c r="D315" s="264"/>
      <c r="E315" s="264"/>
      <c r="F315" s="264"/>
      <c r="G315" s="264"/>
      <c r="H315" s="264"/>
    </row>
    <row r="316" spans="1:8">
      <c r="A316" s="264"/>
      <c r="B316" s="264"/>
      <c r="C316" s="264"/>
      <c r="D316" s="264"/>
      <c r="E316" s="264"/>
      <c r="F316" s="264"/>
      <c r="G316" s="264"/>
      <c r="H316" s="264"/>
    </row>
    <row r="317" spans="1:8">
      <c r="A317" s="264"/>
      <c r="B317" s="264"/>
      <c r="C317" s="264"/>
      <c r="D317" s="264"/>
      <c r="E317" s="264"/>
      <c r="F317" s="264"/>
      <c r="G317" s="264"/>
      <c r="H317" s="264"/>
    </row>
    <row r="318" spans="1:8">
      <c r="A318" s="264"/>
      <c r="B318" s="264"/>
      <c r="C318" s="264"/>
      <c r="D318" s="264"/>
      <c r="E318" s="264"/>
      <c r="F318" s="264"/>
      <c r="G318" s="264"/>
      <c r="H318" s="264"/>
    </row>
    <row r="319" spans="1:8">
      <c r="A319" s="264"/>
      <c r="B319" s="264"/>
      <c r="C319" s="264"/>
      <c r="D319" s="264"/>
      <c r="E319" s="264"/>
      <c r="F319" s="264"/>
      <c r="G319" s="264"/>
      <c r="H319" s="264"/>
    </row>
    <row r="320" spans="1:8">
      <c r="A320" s="264"/>
      <c r="B320" s="264"/>
      <c r="C320" s="264"/>
      <c r="D320" s="264"/>
      <c r="E320" s="264"/>
      <c r="F320" s="264"/>
      <c r="G320" s="264"/>
      <c r="H320" s="264"/>
    </row>
    <row r="321" spans="1:8">
      <c r="A321" s="264"/>
      <c r="B321" s="264"/>
      <c r="C321" s="264"/>
      <c r="D321" s="264"/>
      <c r="E321" s="264"/>
      <c r="F321" s="264"/>
      <c r="G321" s="264"/>
      <c r="H321" s="264"/>
    </row>
    <row r="322" spans="1:8">
      <c r="A322" s="264"/>
      <c r="B322" s="264"/>
      <c r="C322" s="264"/>
      <c r="D322" s="264"/>
      <c r="E322" s="264"/>
      <c r="F322" s="264"/>
      <c r="G322" s="264"/>
      <c r="H322" s="264"/>
    </row>
    <row r="323" spans="1:8">
      <c r="A323" s="264"/>
      <c r="B323" s="264"/>
      <c r="C323" s="264"/>
      <c r="D323" s="264"/>
      <c r="E323" s="264"/>
      <c r="F323" s="264"/>
      <c r="G323" s="264"/>
      <c r="H323" s="264"/>
    </row>
    <row r="324" spans="1:8">
      <c r="A324" s="264"/>
      <c r="B324" s="264"/>
      <c r="C324" s="264"/>
      <c r="D324" s="264"/>
      <c r="E324" s="264"/>
      <c r="F324" s="264"/>
      <c r="G324" s="264"/>
      <c r="H324" s="264"/>
    </row>
    <row r="325" spans="1:8">
      <c r="A325" s="264"/>
      <c r="B325" s="264"/>
      <c r="C325" s="264"/>
      <c r="D325" s="264"/>
      <c r="E325" s="264"/>
      <c r="F325" s="264"/>
      <c r="G325" s="264"/>
      <c r="H325" s="264"/>
    </row>
    <row r="326" spans="1:8">
      <c r="A326" s="264"/>
      <c r="B326" s="264"/>
      <c r="C326" s="264"/>
      <c r="D326" s="264"/>
      <c r="E326" s="264"/>
      <c r="F326" s="264"/>
      <c r="G326" s="264"/>
      <c r="H326" s="264"/>
    </row>
    <row r="327" spans="1:8">
      <c r="A327" s="264"/>
      <c r="B327" s="264"/>
      <c r="C327" s="264"/>
      <c r="D327" s="264"/>
      <c r="E327" s="264"/>
      <c r="F327" s="264"/>
      <c r="G327" s="264"/>
      <c r="H327" s="264"/>
    </row>
    <row r="328" spans="1:8">
      <c r="A328" s="264"/>
      <c r="B328" s="264"/>
      <c r="C328" s="264"/>
      <c r="D328" s="264"/>
      <c r="E328" s="264"/>
      <c r="F328" s="264"/>
      <c r="G328" s="264"/>
      <c r="H328" s="264"/>
    </row>
    <row r="329" spans="1:8">
      <c r="A329" s="264"/>
      <c r="B329" s="264"/>
      <c r="C329" s="264"/>
      <c r="D329" s="264"/>
      <c r="E329" s="264"/>
      <c r="F329" s="264"/>
      <c r="G329" s="264"/>
      <c r="H329" s="264"/>
    </row>
    <row r="330" spans="1:8">
      <c r="A330" s="264"/>
      <c r="B330" s="264"/>
      <c r="C330" s="264"/>
      <c r="D330" s="264"/>
      <c r="E330" s="264"/>
      <c r="F330" s="264"/>
      <c r="G330" s="264"/>
      <c r="H330" s="264"/>
    </row>
    <row r="331" spans="1:8">
      <c r="A331" s="264"/>
      <c r="B331" s="264"/>
      <c r="C331" s="264"/>
      <c r="D331" s="264"/>
      <c r="E331" s="264"/>
      <c r="F331" s="264"/>
      <c r="G331" s="264"/>
      <c r="H331" s="264"/>
    </row>
    <row r="332" spans="1:8">
      <c r="A332" s="264"/>
      <c r="B332" s="264"/>
      <c r="C332" s="264"/>
      <c r="D332" s="264"/>
      <c r="E332" s="264"/>
      <c r="F332" s="264"/>
      <c r="G332" s="264"/>
      <c r="H332" s="264"/>
    </row>
    <row r="333" spans="1:8">
      <c r="A333" s="264"/>
      <c r="B333" s="264"/>
      <c r="C333" s="264"/>
      <c r="D333" s="264"/>
      <c r="E333" s="264"/>
      <c r="F333" s="264"/>
      <c r="G333" s="264"/>
      <c r="H333" s="264"/>
    </row>
    <row r="334" spans="1:8">
      <c r="A334" s="264"/>
      <c r="B334" s="264"/>
      <c r="C334" s="264"/>
      <c r="D334" s="264"/>
      <c r="E334" s="264"/>
      <c r="F334" s="264"/>
      <c r="G334" s="264"/>
      <c r="H334" s="264"/>
    </row>
    <row r="335" spans="1:8">
      <c r="A335" s="264"/>
      <c r="B335" s="264"/>
      <c r="C335" s="264"/>
      <c r="D335" s="264"/>
      <c r="E335" s="264"/>
      <c r="F335" s="264"/>
      <c r="G335" s="264"/>
      <c r="H335" s="264"/>
    </row>
    <row r="336" spans="1:8">
      <c r="A336" s="264"/>
      <c r="B336" s="264"/>
      <c r="C336" s="264"/>
      <c r="D336" s="264"/>
      <c r="E336" s="264"/>
      <c r="F336" s="264"/>
      <c r="G336" s="264"/>
      <c r="H336" s="264"/>
    </row>
    <row r="337" spans="1:8">
      <c r="A337" s="264"/>
      <c r="B337" s="264"/>
      <c r="C337" s="264"/>
      <c r="D337" s="264"/>
      <c r="E337" s="264"/>
      <c r="F337" s="264"/>
      <c r="G337" s="264"/>
      <c r="H337" s="264"/>
    </row>
    <row r="338" spans="1:8">
      <c r="A338" s="264"/>
      <c r="B338" s="264"/>
      <c r="C338" s="264"/>
      <c r="D338" s="264"/>
      <c r="E338" s="264"/>
      <c r="F338" s="264"/>
      <c r="G338" s="264"/>
      <c r="H338" s="264"/>
    </row>
    <row r="339" spans="1:8">
      <c r="A339" s="264"/>
      <c r="B339" s="264"/>
      <c r="C339" s="264"/>
      <c r="D339" s="264"/>
      <c r="E339" s="264"/>
      <c r="F339" s="264"/>
      <c r="G339" s="264"/>
      <c r="H339" s="264"/>
    </row>
    <row r="340" spans="1:8">
      <c r="A340" s="264"/>
      <c r="B340" s="264"/>
      <c r="C340" s="264"/>
      <c r="D340" s="264"/>
      <c r="E340" s="264"/>
      <c r="F340" s="264"/>
      <c r="G340" s="264"/>
      <c r="H340" s="264"/>
    </row>
    <row r="341" spans="1:8">
      <c r="A341" s="264"/>
      <c r="B341" s="264"/>
      <c r="C341" s="264"/>
      <c r="D341" s="264"/>
      <c r="E341" s="264"/>
      <c r="F341" s="264"/>
      <c r="G341" s="264"/>
      <c r="H341" s="264"/>
    </row>
    <row r="342" spans="1:8">
      <c r="A342" s="264"/>
      <c r="B342" s="264"/>
      <c r="C342" s="264"/>
      <c r="D342" s="264"/>
      <c r="E342" s="264"/>
      <c r="F342" s="264"/>
      <c r="G342" s="264"/>
      <c r="H342" s="264"/>
    </row>
    <row r="343" spans="1:8">
      <c r="A343" s="264"/>
      <c r="B343" s="264"/>
      <c r="C343" s="264"/>
      <c r="D343" s="264"/>
      <c r="E343" s="264"/>
      <c r="F343" s="264"/>
      <c r="G343" s="264"/>
      <c r="H343" s="264"/>
    </row>
    <row r="344" spans="1:8">
      <c r="A344" s="264"/>
      <c r="B344" s="264"/>
      <c r="C344" s="264"/>
      <c r="D344" s="264"/>
      <c r="E344" s="264"/>
      <c r="F344" s="264"/>
      <c r="G344" s="264"/>
      <c r="H344" s="264"/>
    </row>
    <row r="345" spans="1:8">
      <c r="A345" s="264"/>
      <c r="B345" s="264"/>
      <c r="C345" s="264"/>
      <c r="D345" s="264"/>
      <c r="E345" s="264"/>
      <c r="F345" s="264"/>
      <c r="G345" s="264"/>
      <c r="H345" s="264"/>
    </row>
    <row r="346" spans="1:8">
      <c r="A346" s="264"/>
      <c r="B346" s="264"/>
      <c r="C346" s="264"/>
      <c r="D346" s="264"/>
      <c r="E346" s="264"/>
      <c r="F346" s="264"/>
      <c r="G346" s="264"/>
      <c r="H346" s="264"/>
    </row>
    <row r="347" spans="1:8">
      <c r="A347" s="264"/>
      <c r="B347" s="264"/>
      <c r="C347" s="264"/>
      <c r="D347" s="264"/>
      <c r="E347" s="264"/>
      <c r="F347" s="264"/>
      <c r="G347" s="264"/>
      <c r="H347" s="264"/>
    </row>
    <row r="348" spans="1:8">
      <c r="A348" s="264"/>
      <c r="B348" s="264"/>
      <c r="C348" s="264"/>
      <c r="D348" s="264"/>
      <c r="E348" s="264"/>
      <c r="F348" s="264"/>
      <c r="G348" s="264"/>
      <c r="H348" s="264"/>
    </row>
    <row r="349" spans="1:8">
      <c r="A349" s="264"/>
      <c r="B349" s="264"/>
      <c r="C349" s="264"/>
      <c r="D349" s="264"/>
      <c r="E349" s="264"/>
      <c r="F349" s="264"/>
      <c r="G349" s="264"/>
      <c r="H349" s="264"/>
    </row>
    <row r="350" spans="1:8">
      <c r="A350" s="264"/>
      <c r="B350" s="264"/>
      <c r="C350" s="264"/>
      <c r="D350" s="264"/>
      <c r="E350" s="264"/>
      <c r="F350" s="264"/>
      <c r="G350" s="264"/>
      <c r="H350" s="264"/>
    </row>
    <row r="351" spans="1:8">
      <c r="A351" s="264"/>
      <c r="B351" s="264"/>
      <c r="C351" s="264"/>
      <c r="D351" s="264"/>
      <c r="E351" s="264"/>
      <c r="F351" s="264"/>
      <c r="G351" s="264"/>
      <c r="H351" s="264"/>
    </row>
    <row r="352" spans="1:8">
      <c r="A352" s="264"/>
      <c r="B352" s="264"/>
      <c r="C352" s="264"/>
      <c r="D352" s="264"/>
      <c r="E352" s="264"/>
      <c r="F352" s="264"/>
      <c r="G352" s="264"/>
      <c r="H352" s="264"/>
    </row>
    <row r="353" spans="1:8">
      <c r="A353" s="264"/>
      <c r="B353" s="264"/>
      <c r="C353" s="264"/>
      <c r="D353" s="264"/>
      <c r="E353" s="264"/>
      <c r="F353" s="264"/>
      <c r="G353" s="264"/>
      <c r="H353" s="264"/>
    </row>
    <row r="354" spans="1:8">
      <c r="A354" s="264"/>
      <c r="B354" s="264"/>
      <c r="C354" s="264"/>
      <c r="D354" s="264"/>
      <c r="E354" s="264"/>
      <c r="F354" s="264"/>
      <c r="G354" s="264"/>
      <c r="H354" s="264"/>
    </row>
    <row r="355" spans="1:8">
      <c r="A355" s="264"/>
      <c r="B355" s="264"/>
      <c r="C355" s="264"/>
      <c r="D355" s="264"/>
      <c r="E355" s="264"/>
      <c r="F355" s="264"/>
      <c r="G355" s="264"/>
      <c r="H355" s="264"/>
    </row>
    <row r="356" spans="1:8">
      <c r="A356" s="264"/>
      <c r="B356" s="264"/>
      <c r="C356" s="264"/>
      <c r="D356" s="264"/>
      <c r="E356" s="264"/>
      <c r="F356" s="264"/>
      <c r="G356" s="264"/>
      <c r="H356" s="264"/>
    </row>
    <row r="357" spans="1:8">
      <c r="A357" s="264"/>
      <c r="B357" s="264"/>
      <c r="C357" s="264"/>
      <c r="D357" s="264"/>
      <c r="E357" s="264"/>
      <c r="F357" s="264"/>
      <c r="G357" s="264"/>
      <c r="H357" s="264"/>
    </row>
    <row r="358" spans="1:8">
      <c r="A358" s="264"/>
      <c r="B358" s="264"/>
      <c r="C358" s="264"/>
      <c r="D358" s="264"/>
      <c r="E358" s="264"/>
      <c r="F358" s="264"/>
      <c r="G358" s="264"/>
      <c r="H358" s="264"/>
    </row>
    <row r="359" spans="1:8">
      <c r="A359" s="264"/>
      <c r="B359" s="264"/>
      <c r="C359" s="264"/>
      <c r="D359" s="264"/>
      <c r="E359" s="264"/>
      <c r="F359" s="264"/>
      <c r="G359" s="264"/>
      <c r="H359" s="264"/>
    </row>
    <row r="360" spans="1:8">
      <c r="A360" s="264"/>
      <c r="B360" s="264"/>
      <c r="C360" s="264"/>
      <c r="D360" s="264"/>
      <c r="E360" s="264"/>
      <c r="F360" s="264"/>
      <c r="G360" s="264"/>
      <c r="H360" s="264"/>
    </row>
    <row r="361" spans="1:8">
      <c r="A361" s="264"/>
      <c r="B361" s="264"/>
      <c r="C361" s="264"/>
      <c r="D361" s="264"/>
      <c r="E361" s="264"/>
      <c r="F361" s="264"/>
      <c r="G361" s="264"/>
      <c r="H361" s="264"/>
    </row>
    <row r="362" spans="1:8">
      <c r="A362" s="264"/>
      <c r="B362" s="264"/>
      <c r="C362" s="264"/>
      <c r="D362" s="264"/>
      <c r="E362" s="264"/>
      <c r="F362" s="264"/>
      <c r="G362" s="264"/>
      <c r="H362" s="264"/>
    </row>
    <row r="363" spans="1:8">
      <c r="A363" s="264"/>
      <c r="B363" s="264"/>
      <c r="C363" s="264"/>
      <c r="D363" s="264"/>
      <c r="E363" s="264"/>
      <c r="F363" s="264"/>
      <c r="G363" s="264"/>
      <c r="H363" s="264"/>
    </row>
    <row r="364" spans="1:8">
      <c r="A364" s="264"/>
      <c r="B364" s="264"/>
      <c r="C364" s="264"/>
      <c r="D364" s="264"/>
      <c r="E364" s="264"/>
      <c r="F364" s="264"/>
      <c r="G364" s="264"/>
      <c r="H364" s="264"/>
    </row>
    <row r="365" spans="1:8">
      <c r="A365" s="264"/>
      <c r="B365" s="264"/>
      <c r="C365" s="264"/>
      <c r="D365" s="264"/>
      <c r="E365" s="264"/>
      <c r="F365" s="264"/>
      <c r="G365" s="264"/>
      <c r="H365" s="264"/>
    </row>
    <row r="366" spans="1:8">
      <c r="A366" s="264"/>
      <c r="B366" s="264"/>
      <c r="C366" s="264"/>
      <c r="D366" s="264"/>
      <c r="E366" s="264"/>
      <c r="F366" s="264"/>
      <c r="G366" s="264"/>
      <c r="H366" s="264"/>
    </row>
    <row r="367" spans="1:8">
      <c r="A367" s="264"/>
      <c r="B367" s="264"/>
      <c r="C367" s="264"/>
      <c r="D367" s="264"/>
      <c r="E367" s="264"/>
      <c r="F367" s="264"/>
      <c r="G367" s="264"/>
      <c r="H367" s="264"/>
    </row>
    <row r="368" spans="1:8">
      <c r="A368" s="264"/>
      <c r="B368" s="264"/>
      <c r="C368" s="264"/>
      <c r="D368" s="264"/>
      <c r="E368" s="264"/>
      <c r="F368" s="264"/>
      <c r="G368" s="264"/>
      <c r="H368" s="264"/>
    </row>
    <row r="369" spans="1:8">
      <c r="A369" s="264"/>
      <c r="B369" s="264"/>
      <c r="C369" s="264"/>
      <c r="D369" s="264"/>
      <c r="E369" s="264"/>
      <c r="F369" s="264"/>
      <c r="G369" s="264"/>
      <c r="H369" s="264"/>
    </row>
    <row r="370" spans="1:8">
      <c r="A370" s="264"/>
      <c r="B370" s="264"/>
      <c r="C370" s="264"/>
      <c r="D370" s="264"/>
      <c r="E370" s="264"/>
      <c r="F370" s="264"/>
      <c r="G370" s="264"/>
      <c r="H370" s="264"/>
    </row>
    <row r="371" spans="1:8">
      <c r="A371" s="264"/>
      <c r="B371" s="264"/>
      <c r="C371" s="264"/>
      <c r="D371" s="264"/>
      <c r="E371" s="264"/>
      <c r="F371" s="264"/>
      <c r="G371" s="264"/>
      <c r="H371" s="264"/>
    </row>
    <row r="372" spans="1:8">
      <c r="A372" s="264"/>
      <c r="B372" s="264"/>
      <c r="C372" s="264"/>
      <c r="D372" s="264"/>
      <c r="E372" s="264"/>
      <c r="F372" s="264"/>
      <c r="G372" s="264"/>
      <c r="H372" s="264"/>
    </row>
    <row r="373" spans="1:8">
      <c r="A373" s="264"/>
      <c r="B373" s="264"/>
      <c r="C373" s="264"/>
      <c r="D373" s="264"/>
      <c r="E373" s="264"/>
      <c r="F373" s="264"/>
      <c r="G373" s="264"/>
      <c r="H373" s="264"/>
    </row>
    <row r="374" spans="1:8">
      <c r="A374" s="264"/>
      <c r="B374" s="264"/>
      <c r="C374" s="264"/>
      <c r="D374" s="264"/>
      <c r="E374" s="264"/>
      <c r="F374" s="264"/>
      <c r="G374" s="264"/>
      <c r="H374" s="264"/>
    </row>
    <row r="375" spans="1:8">
      <c r="A375" s="264"/>
      <c r="B375" s="264"/>
      <c r="C375" s="264"/>
      <c r="D375" s="264"/>
      <c r="E375" s="264"/>
      <c r="F375" s="264"/>
      <c r="G375" s="264"/>
      <c r="H375" s="264"/>
    </row>
    <row r="376" spans="1:8">
      <c r="A376" s="264"/>
      <c r="B376" s="264"/>
      <c r="C376" s="264"/>
      <c r="D376" s="264"/>
      <c r="E376" s="264"/>
      <c r="F376" s="264"/>
      <c r="G376" s="264"/>
      <c r="H376" s="264"/>
    </row>
    <row r="377" spans="1:8">
      <c r="A377" s="264"/>
      <c r="B377" s="264"/>
      <c r="C377" s="264"/>
      <c r="D377" s="264"/>
      <c r="E377" s="264"/>
      <c r="F377" s="264"/>
      <c r="G377" s="264"/>
      <c r="H377" s="264"/>
    </row>
    <row r="378" spans="1:8">
      <c r="A378" s="264"/>
      <c r="B378" s="264"/>
      <c r="C378" s="264"/>
      <c r="D378" s="264"/>
      <c r="E378" s="264"/>
      <c r="F378" s="264"/>
      <c r="G378" s="264"/>
      <c r="H378" s="264"/>
    </row>
    <row r="379" spans="1:8">
      <c r="A379" s="264"/>
      <c r="B379" s="264"/>
      <c r="C379" s="264"/>
      <c r="D379" s="264"/>
      <c r="E379" s="264"/>
      <c r="F379" s="264"/>
      <c r="G379" s="264"/>
      <c r="H379" s="264"/>
    </row>
    <row r="380" spans="1:8">
      <c r="A380" s="264"/>
      <c r="B380" s="264"/>
      <c r="C380" s="264"/>
      <c r="D380" s="264"/>
      <c r="E380" s="264"/>
      <c r="F380" s="264"/>
      <c r="G380" s="264"/>
      <c r="H380" s="264"/>
    </row>
    <row r="381" spans="1:8">
      <c r="A381" s="264"/>
      <c r="B381" s="264"/>
      <c r="C381" s="264"/>
      <c r="D381" s="264"/>
      <c r="E381" s="264"/>
      <c r="F381" s="264"/>
      <c r="G381" s="264"/>
      <c r="H381" s="264"/>
    </row>
    <row r="382" spans="1:8">
      <c r="A382" s="264"/>
      <c r="B382" s="264"/>
      <c r="C382" s="264"/>
      <c r="D382" s="264"/>
      <c r="E382" s="264"/>
      <c r="F382" s="264"/>
      <c r="G382" s="264"/>
      <c r="H382" s="264"/>
    </row>
    <row r="383" spans="1:8">
      <c r="A383" s="264"/>
      <c r="B383" s="264"/>
      <c r="C383" s="264"/>
      <c r="D383" s="264"/>
      <c r="E383" s="264"/>
      <c r="F383" s="264"/>
      <c r="G383" s="264"/>
      <c r="H383" s="264"/>
    </row>
    <row r="384" spans="1:8">
      <c r="A384" s="264"/>
      <c r="B384" s="264"/>
      <c r="C384" s="264"/>
      <c r="D384" s="264"/>
      <c r="E384" s="264"/>
      <c r="F384" s="264"/>
      <c r="G384" s="264"/>
      <c r="H384" s="264"/>
    </row>
    <row r="385" spans="1:8">
      <c r="A385" s="264"/>
      <c r="B385" s="264"/>
      <c r="C385" s="264"/>
      <c r="D385" s="264"/>
      <c r="E385" s="264"/>
      <c r="F385" s="264"/>
      <c r="G385" s="264"/>
      <c r="H385" s="264"/>
    </row>
    <row r="386" spans="1:8">
      <c r="A386" s="264"/>
      <c r="B386" s="264"/>
      <c r="C386" s="264"/>
      <c r="D386" s="264"/>
      <c r="E386" s="264"/>
      <c r="F386" s="264"/>
      <c r="G386" s="264"/>
      <c r="H386" s="264"/>
    </row>
    <row r="387" spans="1:8">
      <c r="A387" s="264"/>
      <c r="B387" s="264"/>
      <c r="C387" s="264"/>
      <c r="D387" s="264"/>
      <c r="E387" s="264"/>
      <c r="F387" s="264"/>
      <c r="G387" s="264"/>
      <c r="H387" s="264"/>
    </row>
    <row r="388" spans="1:8">
      <c r="A388" s="264"/>
      <c r="B388" s="264"/>
      <c r="C388" s="264"/>
      <c r="D388" s="264"/>
      <c r="E388" s="264"/>
      <c r="F388" s="264"/>
      <c r="G388" s="264"/>
      <c r="H388" s="264"/>
    </row>
    <row r="389" spans="1:8">
      <c r="A389" s="264"/>
      <c r="B389" s="264"/>
      <c r="C389" s="264"/>
      <c r="D389" s="264"/>
      <c r="E389" s="264"/>
      <c r="F389" s="264"/>
      <c r="G389" s="264"/>
      <c r="H389" s="264"/>
    </row>
    <row r="390" spans="1:8">
      <c r="A390" s="264"/>
      <c r="B390" s="264"/>
      <c r="C390" s="264"/>
      <c r="D390" s="264"/>
      <c r="E390" s="264"/>
      <c r="F390" s="264"/>
      <c r="G390" s="264"/>
      <c r="H390" s="264"/>
    </row>
    <row r="391" spans="1:8">
      <c r="A391" s="264"/>
      <c r="B391" s="264"/>
      <c r="C391" s="264"/>
      <c r="D391" s="264"/>
      <c r="E391" s="264"/>
      <c r="F391" s="264"/>
      <c r="G391" s="264"/>
      <c r="H391" s="264"/>
    </row>
    <row r="392" spans="1:8">
      <c r="A392" s="264"/>
      <c r="B392" s="264"/>
      <c r="C392" s="264"/>
      <c r="D392" s="264"/>
      <c r="E392" s="264"/>
      <c r="F392" s="264"/>
      <c r="G392" s="264"/>
      <c r="H392" s="264"/>
    </row>
    <row r="393" spans="1:8">
      <c r="A393" s="264"/>
      <c r="B393" s="264"/>
      <c r="C393" s="264"/>
      <c r="D393" s="264"/>
      <c r="E393" s="264"/>
      <c r="F393" s="264"/>
      <c r="G393" s="264"/>
      <c r="H393" s="264"/>
    </row>
    <row r="394" spans="1:8">
      <c r="A394" s="264"/>
      <c r="B394" s="264"/>
      <c r="C394" s="264"/>
      <c r="D394" s="264"/>
      <c r="E394" s="264"/>
      <c r="F394" s="264"/>
      <c r="G394" s="264"/>
      <c r="H394" s="264"/>
    </row>
    <row r="395" spans="1:8">
      <c r="A395" s="264"/>
      <c r="B395" s="264"/>
      <c r="C395" s="264"/>
      <c r="D395" s="264"/>
      <c r="E395" s="264"/>
      <c r="F395" s="264"/>
      <c r="G395" s="264"/>
      <c r="H395" s="264"/>
    </row>
    <row r="396" spans="1:8">
      <c r="A396" s="264"/>
      <c r="B396" s="264"/>
      <c r="C396" s="264"/>
      <c r="D396" s="264"/>
      <c r="E396" s="264"/>
      <c r="F396" s="264"/>
      <c r="G396" s="264"/>
      <c r="H396" s="264"/>
    </row>
    <row r="397" spans="1:8">
      <c r="A397" s="264"/>
      <c r="B397" s="264"/>
      <c r="C397" s="264"/>
      <c r="D397" s="264"/>
      <c r="E397" s="264"/>
      <c r="F397" s="264"/>
      <c r="G397" s="264"/>
      <c r="H397" s="264"/>
    </row>
    <row r="398" spans="1:8">
      <c r="A398" s="264"/>
      <c r="B398" s="264"/>
      <c r="C398" s="264"/>
      <c r="D398" s="264"/>
      <c r="E398" s="264"/>
      <c r="F398" s="264"/>
      <c r="G398" s="264"/>
      <c r="H398" s="264"/>
    </row>
    <row r="399" spans="1:8">
      <c r="A399" s="264"/>
      <c r="B399" s="264"/>
      <c r="C399" s="264"/>
      <c r="D399" s="264"/>
      <c r="E399" s="264"/>
      <c r="F399" s="264"/>
      <c r="G399" s="264"/>
      <c r="H399" s="264"/>
    </row>
    <row r="400" spans="1:8">
      <c r="A400" s="264"/>
      <c r="B400" s="264"/>
      <c r="C400" s="264"/>
      <c r="D400" s="264"/>
      <c r="E400" s="264"/>
      <c r="F400" s="264"/>
      <c r="G400" s="264"/>
      <c r="H400" s="264"/>
    </row>
    <row r="401" spans="1:8">
      <c r="A401" s="264"/>
      <c r="B401" s="264"/>
      <c r="C401" s="264"/>
      <c r="D401" s="264"/>
      <c r="E401" s="264"/>
      <c r="F401" s="264"/>
      <c r="G401" s="264"/>
      <c r="H401" s="264"/>
    </row>
    <row r="402" spans="1:8">
      <c r="A402" s="264"/>
      <c r="B402" s="264"/>
      <c r="C402" s="264"/>
      <c r="D402" s="264"/>
      <c r="E402" s="264"/>
      <c r="F402" s="264"/>
      <c r="G402" s="264"/>
      <c r="H402" s="264"/>
    </row>
    <row r="403" spans="1:8">
      <c r="A403" s="264"/>
      <c r="B403" s="264"/>
      <c r="C403" s="264"/>
      <c r="D403" s="264"/>
      <c r="E403" s="264"/>
      <c r="F403" s="264"/>
      <c r="G403" s="264"/>
      <c r="H403" s="264"/>
    </row>
    <row r="404" spans="1:8">
      <c r="A404" s="264"/>
      <c r="B404" s="264"/>
      <c r="C404" s="264"/>
      <c r="D404" s="264"/>
      <c r="E404" s="264"/>
      <c r="F404" s="264"/>
      <c r="G404" s="264"/>
      <c r="H404" s="264"/>
    </row>
    <row r="405" spans="1:8">
      <c r="A405" s="264"/>
      <c r="B405" s="264"/>
      <c r="C405" s="264"/>
      <c r="D405" s="264"/>
      <c r="E405" s="264"/>
      <c r="F405" s="264"/>
      <c r="G405" s="264"/>
      <c r="H405" s="264"/>
    </row>
    <row r="406" spans="1:8">
      <c r="A406" s="264"/>
      <c r="B406" s="264"/>
      <c r="C406" s="264"/>
      <c r="D406" s="264"/>
      <c r="E406" s="264"/>
      <c r="F406" s="264"/>
      <c r="G406" s="264"/>
      <c r="H406" s="264"/>
    </row>
    <row r="407" spans="1:8">
      <c r="A407" s="264"/>
      <c r="B407" s="264"/>
      <c r="C407" s="264"/>
      <c r="D407" s="264"/>
      <c r="E407" s="264"/>
      <c r="F407" s="264"/>
      <c r="G407" s="264"/>
      <c r="H407" s="264"/>
    </row>
    <row r="408" spans="1:8">
      <c r="A408" s="264"/>
      <c r="B408" s="264"/>
      <c r="C408" s="264"/>
      <c r="D408" s="264"/>
      <c r="E408" s="264"/>
      <c r="F408" s="264"/>
      <c r="G408" s="264"/>
      <c r="H408" s="264"/>
    </row>
    <row r="409" spans="1:8">
      <c r="A409" s="264"/>
      <c r="B409" s="264"/>
      <c r="C409" s="264"/>
      <c r="D409" s="264"/>
      <c r="E409" s="264"/>
      <c r="F409" s="264"/>
      <c r="G409" s="264"/>
      <c r="H409" s="264"/>
    </row>
    <row r="410" spans="1:8">
      <c r="A410" s="264"/>
      <c r="B410" s="264"/>
      <c r="C410" s="264"/>
      <c r="D410" s="264"/>
      <c r="E410" s="264"/>
      <c r="F410" s="264"/>
      <c r="G410" s="264"/>
      <c r="H410" s="264"/>
    </row>
    <row r="411" spans="1:8">
      <c r="A411" s="264"/>
      <c r="B411" s="264"/>
      <c r="C411" s="264"/>
      <c r="D411" s="264"/>
      <c r="E411" s="264"/>
      <c r="F411" s="264"/>
      <c r="G411" s="264"/>
      <c r="H411" s="264"/>
    </row>
    <row r="412" spans="1:8">
      <c r="A412" s="264"/>
      <c r="B412" s="264"/>
      <c r="C412" s="264"/>
      <c r="D412" s="264"/>
      <c r="E412" s="264"/>
      <c r="F412" s="264"/>
      <c r="G412" s="264"/>
      <c r="H412" s="264"/>
    </row>
    <row r="413" spans="1:8">
      <c r="A413" s="264"/>
      <c r="B413" s="264"/>
      <c r="C413" s="264"/>
      <c r="D413" s="264"/>
      <c r="E413" s="264"/>
      <c r="F413" s="264"/>
      <c r="G413" s="264"/>
      <c r="H413" s="264"/>
    </row>
    <row r="414" spans="1:8">
      <c r="A414" s="264"/>
      <c r="B414" s="264"/>
      <c r="C414" s="264"/>
      <c r="D414" s="264"/>
      <c r="E414" s="264"/>
      <c r="F414" s="264"/>
      <c r="G414" s="264"/>
      <c r="H414" s="264"/>
    </row>
    <row r="415" spans="1:8">
      <c r="A415" s="264"/>
      <c r="B415" s="264"/>
      <c r="C415" s="264"/>
      <c r="D415" s="264"/>
      <c r="E415" s="264"/>
      <c r="F415" s="264"/>
      <c r="G415" s="264"/>
      <c r="H415" s="264"/>
    </row>
    <row r="416" spans="1:8">
      <c r="A416" s="264"/>
      <c r="B416" s="264"/>
      <c r="C416" s="264"/>
      <c r="D416" s="264"/>
      <c r="E416" s="264"/>
      <c r="F416" s="264"/>
      <c r="G416" s="264"/>
      <c r="H416" s="264"/>
    </row>
    <row r="417" spans="1:8">
      <c r="A417" s="264"/>
      <c r="B417" s="264"/>
      <c r="C417" s="264"/>
      <c r="D417" s="264"/>
      <c r="E417" s="264"/>
      <c r="F417" s="264"/>
      <c r="G417" s="264"/>
      <c r="H417" s="264"/>
    </row>
    <row r="418" spans="1:8">
      <c r="A418" s="264"/>
      <c r="B418" s="264"/>
      <c r="C418" s="264"/>
      <c r="D418" s="264"/>
      <c r="E418" s="264"/>
      <c r="F418" s="264"/>
      <c r="G418" s="264"/>
      <c r="H418" s="264"/>
    </row>
    <row r="419" spans="1:8">
      <c r="A419" s="264"/>
      <c r="B419" s="264"/>
      <c r="C419" s="264"/>
      <c r="D419" s="264"/>
      <c r="E419" s="264"/>
      <c r="F419" s="264"/>
      <c r="G419" s="264"/>
      <c r="H419" s="264"/>
    </row>
    <row r="420" spans="1:8">
      <c r="A420" s="264"/>
      <c r="B420" s="264"/>
      <c r="C420" s="264"/>
      <c r="D420" s="264"/>
      <c r="E420" s="264"/>
      <c r="F420" s="264"/>
      <c r="G420" s="264"/>
      <c r="H420" s="264"/>
    </row>
    <row r="421" spans="1:8">
      <c r="A421" s="264"/>
      <c r="B421" s="264"/>
      <c r="C421" s="264"/>
      <c r="D421" s="264"/>
      <c r="E421" s="264"/>
      <c r="F421" s="264"/>
      <c r="G421" s="264"/>
      <c r="H421" s="264"/>
    </row>
    <row r="422" spans="1:8">
      <c r="A422" s="264"/>
      <c r="B422" s="264"/>
      <c r="C422" s="264"/>
      <c r="D422" s="264"/>
      <c r="E422" s="264"/>
      <c r="F422" s="264"/>
      <c r="G422" s="264"/>
      <c r="H422" s="264"/>
    </row>
    <row r="423" spans="1:8">
      <c r="A423" s="264"/>
      <c r="B423" s="264"/>
      <c r="C423" s="264"/>
      <c r="D423" s="264"/>
      <c r="E423" s="264"/>
      <c r="F423" s="264"/>
      <c r="G423" s="264"/>
      <c r="H423" s="264"/>
    </row>
    <row r="424" spans="1:8">
      <c r="A424" s="264"/>
      <c r="B424" s="264"/>
      <c r="C424" s="264"/>
      <c r="D424" s="264"/>
      <c r="E424" s="264"/>
      <c r="F424" s="264"/>
      <c r="G424" s="264"/>
      <c r="H424" s="264"/>
    </row>
    <row r="425" spans="1:8">
      <c r="A425" s="264"/>
      <c r="B425" s="264"/>
      <c r="C425" s="264"/>
      <c r="D425" s="264"/>
      <c r="E425" s="264"/>
      <c r="F425" s="264"/>
      <c r="G425" s="264"/>
      <c r="H425" s="264"/>
    </row>
    <row r="426" spans="1:8">
      <c r="A426" s="264"/>
      <c r="B426" s="264"/>
      <c r="C426" s="264"/>
      <c r="D426" s="264"/>
      <c r="E426" s="264"/>
      <c r="F426" s="264"/>
      <c r="G426" s="264"/>
      <c r="H426" s="264"/>
    </row>
    <row r="427" spans="1:8">
      <c r="A427" s="264"/>
      <c r="B427" s="264"/>
      <c r="C427" s="264"/>
      <c r="D427" s="264"/>
      <c r="E427" s="264"/>
      <c r="F427" s="264"/>
      <c r="G427" s="264"/>
      <c r="H427" s="264"/>
    </row>
    <row r="428" spans="1:8">
      <c r="A428" s="264"/>
      <c r="B428" s="264"/>
      <c r="C428" s="264"/>
      <c r="D428" s="264"/>
      <c r="E428" s="264"/>
      <c r="F428" s="264"/>
      <c r="G428" s="264"/>
      <c r="H428" s="264"/>
    </row>
    <row r="429" spans="1:8">
      <c r="A429" s="264"/>
      <c r="B429" s="264"/>
      <c r="C429" s="264"/>
      <c r="D429" s="264"/>
      <c r="E429" s="264"/>
      <c r="F429" s="264"/>
      <c r="G429" s="264"/>
      <c r="H429" s="264"/>
    </row>
    <row r="430" spans="1:8">
      <c r="A430" s="264"/>
      <c r="B430" s="264"/>
      <c r="C430" s="264"/>
      <c r="D430" s="264"/>
      <c r="E430" s="264"/>
      <c r="F430" s="264"/>
      <c r="G430" s="264"/>
      <c r="H430" s="264"/>
    </row>
    <row r="431" spans="1:8">
      <c r="A431" s="264"/>
      <c r="B431" s="264"/>
      <c r="C431" s="264"/>
      <c r="D431" s="264"/>
      <c r="E431" s="264"/>
      <c r="F431" s="264"/>
      <c r="G431" s="264"/>
      <c r="H431" s="264"/>
    </row>
    <row r="432" spans="1:8">
      <c r="A432" s="264"/>
      <c r="B432" s="264"/>
      <c r="C432" s="264"/>
      <c r="D432" s="264"/>
      <c r="E432" s="264"/>
      <c r="F432" s="264"/>
      <c r="G432" s="264"/>
      <c r="H432" s="264"/>
    </row>
    <row r="433" spans="1:8">
      <c r="A433" s="264"/>
      <c r="B433" s="264"/>
      <c r="C433" s="264"/>
      <c r="D433" s="264"/>
      <c r="E433" s="264"/>
      <c r="F433" s="264"/>
      <c r="G433" s="264"/>
      <c r="H433" s="264"/>
    </row>
    <row r="434" spans="1:8">
      <c r="A434" s="264"/>
      <c r="B434" s="264"/>
      <c r="C434" s="264"/>
      <c r="D434" s="264"/>
      <c r="E434" s="264"/>
      <c r="F434" s="264"/>
      <c r="G434" s="264"/>
      <c r="H434" s="264"/>
    </row>
    <row r="435" spans="1:8">
      <c r="A435" s="264"/>
      <c r="B435" s="264"/>
      <c r="C435" s="264"/>
      <c r="D435" s="264"/>
      <c r="E435" s="264"/>
      <c r="F435" s="264"/>
      <c r="G435" s="264"/>
      <c r="H435" s="264"/>
    </row>
    <row r="436" spans="1:8">
      <c r="A436" s="264"/>
      <c r="B436" s="264"/>
      <c r="C436" s="264"/>
      <c r="D436" s="264"/>
      <c r="E436" s="264"/>
      <c r="F436" s="264"/>
      <c r="G436" s="264"/>
      <c r="H436" s="264"/>
    </row>
    <row r="437" spans="1:8">
      <c r="A437" s="264"/>
      <c r="B437" s="264"/>
      <c r="C437" s="264"/>
      <c r="D437" s="264"/>
      <c r="E437" s="264"/>
      <c r="F437" s="264"/>
      <c r="G437" s="264"/>
      <c r="H437" s="264"/>
    </row>
    <row r="438" spans="1:8">
      <c r="A438" s="264"/>
      <c r="B438" s="264"/>
      <c r="C438" s="264"/>
      <c r="D438" s="264"/>
      <c r="E438" s="264"/>
      <c r="F438" s="264"/>
      <c r="G438" s="264"/>
      <c r="H438" s="264"/>
    </row>
    <row r="439" spans="1:8">
      <c r="A439" s="264"/>
      <c r="B439" s="264"/>
      <c r="C439" s="264"/>
      <c r="D439" s="264"/>
      <c r="E439" s="264"/>
      <c r="F439" s="264"/>
      <c r="G439" s="264"/>
      <c r="H439" s="264"/>
    </row>
    <row r="440" spans="1:8">
      <c r="A440" s="264"/>
      <c r="B440" s="264"/>
      <c r="C440" s="264"/>
      <c r="D440" s="264"/>
      <c r="E440" s="264"/>
      <c r="F440" s="264"/>
      <c r="G440" s="264"/>
      <c r="H440" s="264"/>
    </row>
    <row r="441" spans="1:8">
      <c r="A441" s="264"/>
      <c r="B441" s="264"/>
      <c r="C441" s="264"/>
      <c r="D441" s="264"/>
      <c r="E441" s="264"/>
      <c r="F441" s="264"/>
      <c r="G441" s="264"/>
      <c r="H441" s="264"/>
    </row>
    <row r="442" spans="1:8">
      <c r="A442" s="264"/>
      <c r="B442" s="264"/>
      <c r="C442" s="264"/>
      <c r="D442" s="264"/>
      <c r="E442" s="264"/>
      <c r="F442" s="264"/>
      <c r="G442" s="264"/>
      <c r="H442" s="264"/>
    </row>
    <row r="443" spans="1:8">
      <c r="A443" s="264"/>
      <c r="B443" s="264"/>
      <c r="C443" s="264"/>
      <c r="D443" s="264"/>
      <c r="E443" s="264"/>
      <c r="F443" s="264"/>
      <c r="G443" s="264"/>
      <c r="H443" s="264"/>
    </row>
    <row r="444" spans="1:8">
      <c r="A444" s="264"/>
      <c r="B444" s="264"/>
      <c r="C444" s="264"/>
      <c r="D444" s="264"/>
      <c r="E444" s="264"/>
      <c r="F444" s="264"/>
      <c r="G444" s="264"/>
      <c r="H444" s="264"/>
    </row>
    <row r="445" spans="1:8">
      <c r="A445" s="264"/>
      <c r="B445" s="264"/>
      <c r="C445" s="264"/>
      <c r="D445" s="264"/>
      <c r="E445" s="264"/>
      <c r="F445" s="264"/>
      <c r="G445" s="264"/>
      <c r="H445" s="264"/>
    </row>
    <row r="446" spans="1:8">
      <c r="A446" s="264"/>
      <c r="B446" s="264"/>
      <c r="C446" s="264"/>
      <c r="D446" s="264"/>
      <c r="E446" s="264"/>
      <c r="F446" s="264"/>
      <c r="G446" s="264"/>
      <c r="H446" s="264"/>
    </row>
    <row r="447" spans="1:8">
      <c r="A447" s="264"/>
      <c r="B447" s="264"/>
      <c r="C447" s="264"/>
      <c r="D447" s="264"/>
      <c r="E447" s="264"/>
      <c r="F447" s="264"/>
      <c r="G447" s="264"/>
      <c r="H447" s="264"/>
    </row>
    <row r="448" spans="1:8">
      <c r="A448" s="264"/>
      <c r="B448" s="264"/>
      <c r="C448" s="264"/>
      <c r="D448" s="264"/>
      <c r="E448" s="264"/>
      <c r="F448" s="264"/>
      <c r="G448" s="264"/>
      <c r="H448" s="264"/>
    </row>
    <row r="449" spans="1:8">
      <c r="A449" s="264"/>
      <c r="B449" s="264"/>
      <c r="C449" s="264"/>
      <c r="D449" s="264"/>
      <c r="E449" s="264"/>
      <c r="F449" s="264"/>
      <c r="G449" s="264"/>
      <c r="H449" s="264"/>
    </row>
    <row r="450" spans="1:8">
      <c r="A450" s="264"/>
      <c r="B450" s="264"/>
      <c r="C450" s="264"/>
      <c r="D450" s="264"/>
      <c r="E450" s="264"/>
      <c r="F450" s="264"/>
      <c r="G450" s="264"/>
      <c r="H450" s="264"/>
    </row>
    <row r="451" spans="1:8">
      <c r="A451" s="264"/>
      <c r="B451" s="264"/>
      <c r="C451" s="264"/>
      <c r="D451" s="264"/>
      <c r="E451" s="264"/>
      <c r="F451" s="264"/>
      <c r="G451" s="264"/>
      <c r="H451" s="264"/>
    </row>
    <row r="452" spans="1:8">
      <c r="A452" s="264"/>
      <c r="B452" s="264"/>
      <c r="C452" s="264"/>
      <c r="D452" s="264"/>
      <c r="E452" s="264"/>
      <c r="F452" s="264"/>
      <c r="G452" s="264"/>
      <c r="H452" s="264"/>
    </row>
    <row r="453" spans="1:8">
      <c r="A453" s="264"/>
      <c r="B453" s="264"/>
      <c r="C453" s="264"/>
      <c r="D453" s="264"/>
      <c r="E453" s="264"/>
      <c r="F453" s="264"/>
      <c r="G453" s="264"/>
      <c r="H453" s="264"/>
    </row>
    <row r="454" spans="1:8">
      <c r="A454" s="264"/>
      <c r="B454" s="264"/>
      <c r="C454" s="264"/>
      <c r="D454" s="264"/>
      <c r="E454" s="264"/>
      <c r="F454" s="264"/>
      <c r="G454" s="264"/>
      <c r="H454" s="264"/>
    </row>
    <row r="455" spans="1:8">
      <c r="A455" s="264"/>
      <c r="B455" s="264"/>
      <c r="C455" s="264"/>
      <c r="D455" s="264"/>
      <c r="E455" s="264"/>
      <c r="F455" s="264"/>
      <c r="G455" s="264"/>
      <c r="H455" s="264"/>
    </row>
    <row r="456" spans="1:8">
      <c r="A456" s="264"/>
      <c r="B456" s="264"/>
      <c r="C456" s="264"/>
      <c r="D456" s="264"/>
      <c r="E456" s="264"/>
      <c r="F456" s="264"/>
      <c r="G456" s="264"/>
      <c r="H456" s="264"/>
    </row>
    <row r="457" spans="1:8">
      <c r="A457" s="264"/>
      <c r="B457" s="264"/>
      <c r="C457" s="264"/>
      <c r="D457" s="264"/>
      <c r="E457" s="264"/>
      <c r="F457" s="264"/>
      <c r="G457" s="264"/>
      <c r="H457" s="264"/>
    </row>
    <row r="458" spans="1:8">
      <c r="A458" s="264"/>
      <c r="B458" s="264"/>
      <c r="C458" s="264"/>
      <c r="D458" s="264"/>
      <c r="E458" s="264"/>
      <c r="F458" s="264"/>
      <c r="G458" s="264"/>
      <c r="H458" s="264"/>
    </row>
    <row r="459" spans="1:8">
      <c r="A459" s="264"/>
      <c r="B459" s="264"/>
      <c r="C459" s="264"/>
      <c r="D459" s="264"/>
      <c r="E459" s="264"/>
      <c r="F459" s="264"/>
      <c r="G459" s="264"/>
      <c r="H459" s="264"/>
    </row>
    <row r="460" spans="1:8">
      <c r="A460" s="264"/>
      <c r="B460" s="264"/>
      <c r="C460" s="264"/>
      <c r="D460" s="264"/>
      <c r="E460" s="264"/>
      <c r="F460" s="264"/>
      <c r="G460" s="264"/>
      <c r="H460" s="264"/>
    </row>
    <row r="461" spans="1:8">
      <c r="A461" s="264"/>
      <c r="B461" s="264"/>
      <c r="C461" s="264"/>
      <c r="D461" s="264"/>
      <c r="E461" s="264"/>
      <c r="F461" s="264"/>
      <c r="G461" s="264"/>
      <c r="H461" s="264"/>
    </row>
    <row r="462" spans="1:8">
      <c r="A462" s="264"/>
      <c r="B462" s="264"/>
      <c r="C462" s="264"/>
      <c r="D462" s="264"/>
      <c r="E462" s="264"/>
      <c r="F462" s="264"/>
      <c r="G462" s="264"/>
      <c r="H462" s="264"/>
    </row>
    <row r="463" spans="1:8">
      <c r="A463" s="264"/>
      <c r="B463" s="264"/>
      <c r="C463" s="264"/>
      <c r="D463" s="264"/>
      <c r="E463" s="264"/>
      <c r="F463" s="264"/>
      <c r="G463" s="264"/>
      <c r="H463" s="264"/>
    </row>
    <row r="464" spans="1:8">
      <c r="A464" s="264"/>
      <c r="B464" s="264"/>
      <c r="C464" s="264"/>
      <c r="D464" s="264"/>
      <c r="E464" s="264"/>
      <c r="F464" s="264"/>
      <c r="G464" s="264"/>
      <c r="H464" s="264"/>
    </row>
    <row r="465" spans="1:8">
      <c r="A465" s="264"/>
      <c r="B465" s="264"/>
      <c r="C465" s="264"/>
      <c r="D465" s="264"/>
      <c r="E465" s="264"/>
      <c r="F465" s="264"/>
      <c r="G465" s="264"/>
      <c r="H465" s="264"/>
    </row>
    <row r="466" spans="1:8">
      <c r="A466" s="264"/>
      <c r="B466" s="264"/>
      <c r="C466" s="264"/>
      <c r="D466" s="264"/>
      <c r="E466" s="264"/>
      <c r="F466" s="264"/>
      <c r="G466" s="264"/>
      <c r="H466" s="264"/>
    </row>
    <row r="467" spans="1:8">
      <c r="A467" s="264"/>
      <c r="B467" s="264"/>
      <c r="C467" s="264"/>
      <c r="D467" s="264"/>
      <c r="E467" s="264"/>
      <c r="F467" s="264"/>
      <c r="G467" s="264"/>
      <c r="H467" s="264"/>
    </row>
    <row r="468" spans="1:8">
      <c r="A468" s="264"/>
      <c r="B468" s="264"/>
      <c r="C468" s="264"/>
      <c r="D468" s="264"/>
      <c r="E468" s="264"/>
      <c r="F468" s="264"/>
      <c r="G468" s="264"/>
      <c r="H468" s="264"/>
    </row>
    <row r="469" spans="1:8">
      <c r="A469" s="264"/>
      <c r="B469" s="264"/>
      <c r="C469" s="264"/>
      <c r="D469" s="264"/>
      <c r="E469" s="264"/>
      <c r="F469" s="264"/>
      <c r="G469" s="264"/>
      <c r="H469" s="264"/>
    </row>
    <row r="470" spans="1:8">
      <c r="A470" s="264"/>
      <c r="B470" s="264"/>
      <c r="C470" s="264"/>
      <c r="D470" s="264"/>
      <c r="E470" s="264"/>
      <c r="F470" s="264"/>
      <c r="G470" s="264"/>
      <c r="H470" s="264"/>
    </row>
    <row r="471" spans="1:8">
      <c r="A471" s="264"/>
      <c r="B471" s="264"/>
      <c r="C471" s="264"/>
      <c r="D471" s="264"/>
      <c r="E471" s="264"/>
      <c r="F471" s="264"/>
      <c r="G471" s="264"/>
      <c r="H471" s="264"/>
    </row>
    <row r="472" spans="1:8">
      <c r="A472" s="264"/>
      <c r="B472" s="264"/>
      <c r="C472" s="264"/>
      <c r="D472" s="264"/>
      <c r="E472" s="264"/>
      <c r="F472" s="264"/>
      <c r="G472" s="264"/>
      <c r="H472" s="264"/>
    </row>
    <row r="473" spans="1:8">
      <c r="A473" s="264"/>
      <c r="B473" s="264"/>
      <c r="C473" s="264"/>
      <c r="D473" s="264"/>
      <c r="E473" s="264"/>
      <c r="F473" s="264"/>
      <c r="G473" s="264"/>
      <c r="H473" s="264"/>
    </row>
    <row r="474" spans="1:8">
      <c r="A474" s="264"/>
      <c r="B474" s="264"/>
      <c r="C474" s="264"/>
      <c r="D474" s="264"/>
      <c r="E474" s="264"/>
      <c r="F474" s="264"/>
      <c r="G474" s="264"/>
      <c r="H474" s="264"/>
    </row>
    <row r="475" spans="1:8">
      <c r="A475" s="264"/>
      <c r="B475" s="264"/>
      <c r="C475" s="264"/>
      <c r="D475" s="264"/>
      <c r="E475" s="264"/>
      <c r="F475" s="264"/>
      <c r="G475" s="264"/>
      <c r="H475" s="264"/>
    </row>
    <row r="476" spans="1:8">
      <c r="A476" s="264"/>
      <c r="B476" s="264"/>
      <c r="C476" s="264"/>
      <c r="D476" s="264"/>
      <c r="E476" s="264"/>
      <c r="F476" s="264"/>
      <c r="G476" s="264"/>
      <c r="H476" s="264"/>
    </row>
    <row r="477" spans="1:8">
      <c r="A477" s="264"/>
      <c r="B477" s="264"/>
      <c r="C477" s="264"/>
      <c r="D477" s="264"/>
      <c r="E477" s="264"/>
      <c r="F477" s="264"/>
      <c r="G477" s="264"/>
      <c r="H477" s="264"/>
    </row>
    <row r="478" spans="1:8">
      <c r="A478" s="264"/>
      <c r="B478" s="264"/>
      <c r="C478" s="264"/>
      <c r="D478" s="264"/>
      <c r="E478" s="264"/>
      <c r="F478" s="264"/>
      <c r="G478" s="264"/>
      <c r="H478" s="264"/>
    </row>
    <row r="479" spans="1:8">
      <c r="A479" s="264"/>
      <c r="B479" s="264"/>
      <c r="C479" s="264"/>
      <c r="D479" s="264"/>
      <c r="E479" s="264"/>
      <c r="F479" s="264"/>
      <c r="G479" s="264"/>
      <c r="H479" s="264"/>
    </row>
    <row r="480" spans="1:8">
      <c r="A480" s="264"/>
      <c r="B480" s="264"/>
      <c r="C480" s="264"/>
      <c r="D480" s="264"/>
      <c r="E480" s="264"/>
      <c r="F480" s="264"/>
      <c r="G480" s="264"/>
      <c r="H480" s="264"/>
    </row>
    <row r="481" spans="1:8">
      <c r="A481" s="264"/>
      <c r="B481" s="264"/>
      <c r="C481" s="264"/>
      <c r="D481" s="264"/>
      <c r="E481" s="264"/>
      <c r="F481" s="264"/>
      <c r="G481" s="264"/>
      <c r="H481" s="264"/>
    </row>
    <row r="482" spans="1:8">
      <c r="A482" s="264"/>
      <c r="B482" s="264"/>
      <c r="C482" s="264"/>
      <c r="D482" s="264"/>
      <c r="E482" s="264"/>
      <c r="F482" s="264"/>
      <c r="G482" s="264"/>
      <c r="H482" s="264"/>
    </row>
    <row r="483" spans="1:8">
      <c r="A483" s="264"/>
      <c r="B483" s="264"/>
      <c r="C483" s="264"/>
      <c r="D483" s="264"/>
      <c r="E483" s="264"/>
      <c r="F483" s="264"/>
      <c r="G483" s="264"/>
      <c r="H483" s="264"/>
    </row>
    <row r="484" spans="1:8">
      <c r="A484" s="264"/>
      <c r="B484" s="264"/>
      <c r="C484" s="264"/>
      <c r="D484" s="264"/>
      <c r="E484" s="264"/>
      <c r="F484" s="264"/>
      <c r="G484" s="264"/>
      <c r="H484" s="264"/>
    </row>
    <row r="485" spans="1:8">
      <c r="A485" s="264"/>
      <c r="B485" s="264"/>
      <c r="C485" s="264"/>
      <c r="D485" s="264"/>
      <c r="E485" s="264"/>
      <c r="F485" s="264"/>
      <c r="G485" s="264"/>
      <c r="H485" s="264"/>
    </row>
    <row r="486" spans="1:8">
      <c r="A486" s="264"/>
      <c r="B486" s="264"/>
      <c r="C486" s="264"/>
      <c r="D486" s="264"/>
      <c r="E486" s="264"/>
      <c r="F486" s="264"/>
      <c r="G486" s="264"/>
      <c r="H486" s="264"/>
    </row>
    <row r="487" spans="1:8">
      <c r="A487" s="264"/>
      <c r="B487" s="264"/>
      <c r="C487" s="264"/>
      <c r="D487" s="264"/>
      <c r="E487" s="264"/>
      <c r="F487" s="264"/>
      <c r="G487" s="264"/>
      <c r="H487" s="264"/>
    </row>
    <row r="488" spans="1:8">
      <c r="A488" s="264"/>
      <c r="B488" s="264"/>
      <c r="C488" s="264"/>
      <c r="D488" s="264"/>
      <c r="E488" s="264"/>
      <c r="F488" s="264"/>
      <c r="G488" s="264"/>
      <c r="H488" s="264"/>
    </row>
    <row r="489" spans="1:8">
      <c r="A489" s="264"/>
      <c r="B489" s="264"/>
      <c r="C489" s="264"/>
      <c r="D489" s="264"/>
      <c r="E489" s="264"/>
      <c r="F489" s="264"/>
      <c r="G489" s="264"/>
      <c r="H489" s="264"/>
    </row>
    <row r="490" spans="1:8">
      <c r="A490" s="264"/>
      <c r="B490" s="264"/>
      <c r="C490" s="264"/>
      <c r="D490" s="264"/>
      <c r="E490" s="264"/>
      <c r="F490" s="264"/>
      <c r="G490" s="264"/>
      <c r="H490" s="264"/>
    </row>
    <row r="491" spans="1:8">
      <c r="A491" s="264"/>
      <c r="B491" s="264"/>
      <c r="C491" s="264"/>
      <c r="D491" s="264"/>
      <c r="E491" s="264"/>
      <c r="F491" s="264"/>
      <c r="G491" s="264"/>
      <c r="H491" s="264"/>
    </row>
    <row r="492" spans="1:8">
      <c r="A492" s="264"/>
      <c r="B492" s="264"/>
      <c r="C492" s="264"/>
      <c r="D492" s="264"/>
      <c r="E492" s="264"/>
      <c r="F492" s="264"/>
      <c r="G492" s="264"/>
      <c r="H492" s="264"/>
    </row>
    <row r="493" spans="1:8">
      <c r="A493" s="264"/>
      <c r="B493" s="264"/>
      <c r="C493" s="264"/>
      <c r="D493" s="264"/>
      <c r="E493" s="264"/>
      <c r="F493" s="264"/>
      <c r="G493" s="264"/>
      <c r="H493" s="264"/>
    </row>
    <row r="494" spans="1:8">
      <c r="A494" s="264"/>
      <c r="B494" s="264"/>
      <c r="C494" s="264"/>
      <c r="D494" s="264"/>
      <c r="E494" s="264"/>
      <c r="F494" s="264"/>
      <c r="G494" s="264"/>
      <c r="H494" s="264"/>
    </row>
    <row r="495" spans="1:8">
      <c r="A495" s="264"/>
      <c r="B495" s="264"/>
      <c r="C495" s="264"/>
      <c r="D495" s="264"/>
      <c r="E495" s="264"/>
      <c r="F495" s="264"/>
      <c r="G495" s="264"/>
      <c r="H495" s="264"/>
    </row>
    <row r="496" spans="1:8">
      <c r="A496" s="264"/>
      <c r="B496" s="264"/>
      <c r="C496" s="264"/>
      <c r="D496" s="264"/>
      <c r="E496" s="264"/>
      <c r="F496" s="264"/>
      <c r="G496" s="264"/>
      <c r="H496" s="264"/>
    </row>
    <row r="497" spans="1:8">
      <c r="A497" s="264"/>
      <c r="B497" s="264"/>
      <c r="C497" s="264"/>
      <c r="D497" s="264"/>
      <c r="E497" s="264"/>
      <c r="F497" s="264"/>
      <c r="G497" s="264"/>
      <c r="H497" s="264"/>
    </row>
    <row r="498" spans="1:8">
      <c r="A498" s="264"/>
      <c r="B498" s="264"/>
      <c r="C498" s="264"/>
      <c r="D498" s="264"/>
      <c r="E498" s="264"/>
      <c r="F498" s="264"/>
      <c r="G498" s="264"/>
      <c r="H498" s="264"/>
    </row>
    <row r="499" spans="1:8">
      <c r="A499" s="264"/>
      <c r="B499" s="264"/>
      <c r="C499" s="264"/>
      <c r="D499" s="264"/>
      <c r="E499" s="264"/>
      <c r="F499" s="264"/>
      <c r="G499" s="264"/>
      <c r="H499" s="264"/>
    </row>
    <row r="500" spans="1:8">
      <c r="A500" s="264"/>
      <c r="B500" s="264"/>
      <c r="C500" s="264"/>
      <c r="D500" s="264"/>
      <c r="E500" s="264"/>
      <c r="F500" s="264"/>
      <c r="G500" s="264"/>
      <c r="H500" s="264"/>
    </row>
    <row r="501" spans="1:8">
      <c r="A501" s="264"/>
      <c r="B501" s="264"/>
      <c r="C501" s="264"/>
      <c r="D501" s="264"/>
      <c r="E501" s="264"/>
      <c r="F501" s="264"/>
      <c r="G501" s="264"/>
      <c r="H501" s="264"/>
    </row>
    <row r="502" spans="1:8">
      <c r="A502" s="264"/>
      <c r="B502" s="264"/>
      <c r="C502" s="264"/>
      <c r="D502" s="264"/>
      <c r="E502" s="264"/>
      <c r="F502" s="264"/>
      <c r="G502" s="264"/>
      <c r="H502" s="264"/>
    </row>
    <row r="503" spans="1:8">
      <c r="A503" s="264"/>
      <c r="B503" s="264"/>
      <c r="C503" s="264"/>
      <c r="D503" s="264"/>
      <c r="E503" s="264"/>
      <c r="F503" s="264"/>
      <c r="G503" s="264"/>
      <c r="H503" s="264"/>
    </row>
    <row r="504" spans="1:8">
      <c r="A504" s="264"/>
      <c r="B504" s="264"/>
      <c r="C504" s="264"/>
      <c r="D504" s="264"/>
      <c r="E504" s="264"/>
      <c r="F504" s="264"/>
      <c r="G504" s="264"/>
      <c r="H504" s="264"/>
    </row>
    <row r="505" spans="1:8">
      <c r="A505" s="264"/>
      <c r="B505" s="264"/>
      <c r="C505" s="264"/>
      <c r="D505" s="264"/>
      <c r="E505" s="264"/>
      <c r="F505" s="264"/>
      <c r="G505" s="264"/>
      <c r="H505" s="264"/>
    </row>
    <row r="506" spans="1:8">
      <c r="A506" s="264"/>
      <c r="B506" s="264"/>
      <c r="C506" s="264"/>
      <c r="D506" s="264"/>
      <c r="E506" s="264"/>
      <c r="F506" s="264"/>
      <c r="G506" s="264"/>
      <c r="H506" s="264"/>
    </row>
    <row r="507" spans="1:8">
      <c r="A507" s="264"/>
      <c r="B507" s="264"/>
      <c r="C507" s="264"/>
      <c r="D507" s="264"/>
      <c r="E507" s="264"/>
      <c r="F507" s="264"/>
      <c r="G507" s="264"/>
      <c r="H507" s="264"/>
    </row>
    <row r="508" spans="1:8">
      <c r="A508" s="264"/>
      <c r="B508" s="264"/>
      <c r="C508" s="264"/>
      <c r="D508" s="264"/>
      <c r="E508" s="264"/>
      <c r="F508" s="264"/>
      <c r="G508" s="264"/>
      <c r="H508" s="264"/>
    </row>
    <row r="509" spans="1:8">
      <c r="A509" s="264"/>
      <c r="B509" s="264"/>
      <c r="C509" s="264"/>
      <c r="D509" s="264"/>
      <c r="E509" s="264"/>
      <c r="F509" s="264"/>
      <c r="G509" s="264"/>
      <c r="H509" s="264"/>
    </row>
    <row r="510" spans="1:8">
      <c r="A510" s="264"/>
      <c r="B510" s="264"/>
      <c r="C510" s="264"/>
      <c r="D510" s="264"/>
      <c r="E510" s="264"/>
      <c r="F510" s="264"/>
      <c r="G510" s="264"/>
      <c r="H510" s="264"/>
    </row>
    <row r="511" spans="1:8">
      <c r="A511" s="264"/>
      <c r="B511" s="264"/>
      <c r="C511" s="264"/>
      <c r="D511" s="264"/>
      <c r="E511" s="264"/>
      <c r="F511" s="264"/>
      <c r="G511" s="264"/>
      <c r="H511" s="264"/>
    </row>
    <row r="512" spans="1:8">
      <c r="A512" s="264"/>
      <c r="B512" s="264"/>
      <c r="C512" s="264"/>
      <c r="D512" s="264"/>
      <c r="E512" s="264"/>
      <c r="F512" s="264"/>
      <c r="G512" s="264"/>
      <c r="H512" s="264"/>
    </row>
    <row r="513" spans="1:8">
      <c r="A513" s="264"/>
      <c r="B513" s="264"/>
      <c r="C513" s="264"/>
      <c r="D513" s="264"/>
      <c r="E513" s="264"/>
      <c r="F513" s="264"/>
      <c r="G513" s="264"/>
      <c r="H513" s="264"/>
    </row>
    <row r="514" spans="1:8">
      <c r="A514" s="264"/>
      <c r="B514" s="264"/>
      <c r="C514" s="264"/>
      <c r="D514" s="264"/>
      <c r="E514" s="264"/>
      <c r="F514" s="264"/>
      <c r="G514" s="264"/>
      <c r="H514" s="264"/>
    </row>
    <row r="515" spans="1:8">
      <c r="A515" s="264"/>
      <c r="B515" s="264"/>
      <c r="C515" s="264"/>
      <c r="D515" s="264"/>
      <c r="E515" s="264"/>
      <c r="F515" s="264"/>
      <c r="G515" s="264"/>
      <c r="H515" s="264"/>
    </row>
    <row r="516" spans="1:8">
      <c r="A516" s="264"/>
      <c r="B516" s="264"/>
      <c r="C516" s="264"/>
      <c r="D516" s="264"/>
      <c r="E516" s="264"/>
      <c r="F516" s="264"/>
      <c r="G516" s="264"/>
      <c r="H516" s="264"/>
    </row>
    <row r="517" spans="1:8">
      <c r="A517" s="264"/>
      <c r="B517" s="264"/>
      <c r="C517" s="264"/>
      <c r="D517" s="264"/>
      <c r="E517" s="264"/>
      <c r="F517" s="264"/>
      <c r="G517" s="264"/>
      <c r="H517" s="264"/>
    </row>
    <row r="518" spans="1:8">
      <c r="A518" s="264"/>
      <c r="B518" s="264"/>
      <c r="C518" s="264"/>
      <c r="D518" s="264"/>
      <c r="E518" s="264"/>
      <c r="F518" s="264"/>
      <c r="G518" s="264"/>
      <c r="H518" s="264"/>
    </row>
    <row r="519" spans="1:8">
      <c r="A519" s="264"/>
      <c r="B519" s="264"/>
      <c r="C519" s="264"/>
      <c r="D519" s="264"/>
      <c r="E519" s="264"/>
      <c r="F519" s="264"/>
      <c r="G519" s="264"/>
      <c r="H519" s="264"/>
    </row>
    <row r="520" spans="1:8">
      <c r="A520" s="264"/>
      <c r="B520" s="264"/>
      <c r="C520" s="264"/>
      <c r="D520" s="264"/>
      <c r="E520" s="264"/>
      <c r="F520" s="264"/>
      <c r="G520" s="264"/>
      <c r="H520" s="264"/>
    </row>
    <row r="521" spans="1:8">
      <c r="A521" s="264"/>
      <c r="B521" s="264"/>
      <c r="C521" s="264"/>
      <c r="D521" s="264"/>
      <c r="E521" s="264"/>
      <c r="F521" s="264"/>
      <c r="G521" s="264"/>
      <c r="H521" s="264"/>
    </row>
    <row r="522" spans="1:8">
      <c r="A522" s="264"/>
      <c r="B522" s="264"/>
      <c r="C522" s="264"/>
      <c r="D522" s="264"/>
      <c r="E522" s="264"/>
      <c r="F522" s="264"/>
      <c r="G522" s="264"/>
      <c r="H522" s="264"/>
    </row>
    <row r="523" spans="1:8">
      <c r="A523" s="264"/>
      <c r="B523" s="264"/>
      <c r="C523" s="264"/>
      <c r="D523" s="264"/>
      <c r="E523" s="264"/>
      <c r="F523" s="264"/>
      <c r="G523" s="264"/>
      <c r="H523" s="264"/>
    </row>
    <row r="524" spans="1:8">
      <c r="A524" s="264"/>
      <c r="B524" s="264"/>
      <c r="C524" s="264"/>
      <c r="D524" s="264"/>
      <c r="E524" s="264"/>
      <c r="F524" s="264"/>
      <c r="G524" s="264"/>
      <c r="H524" s="264"/>
    </row>
    <row r="525" spans="1:8">
      <c r="A525" s="264"/>
      <c r="B525" s="264"/>
      <c r="C525" s="264"/>
      <c r="D525" s="264"/>
      <c r="E525" s="264"/>
      <c r="F525" s="264"/>
      <c r="G525" s="264"/>
      <c r="H525" s="264"/>
    </row>
    <row r="526" spans="1:8">
      <c r="A526" s="264"/>
      <c r="B526" s="264"/>
      <c r="C526" s="264"/>
      <c r="D526" s="264"/>
      <c r="E526" s="264"/>
      <c r="F526" s="264"/>
      <c r="G526" s="264"/>
      <c r="H526" s="264"/>
    </row>
    <row r="527" spans="1:8">
      <c r="A527" s="264"/>
      <c r="B527" s="264"/>
      <c r="C527" s="264"/>
      <c r="D527" s="264"/>
      <c r="E527" s="264"/>
      <c r="F527" s="264"/>
      <c r="G527" s="264"/>
      <c r="H527" s="264"/>
    </row>
    <row r="528" spans="1:8">
      <c r="A528" s="264"/>
      <c r="B528" s="264"/>
      <c r="C528" s="264"/>
      <c r="D528" s="264"/>
      <c r="E528" s="264"/>
      <c r="F528" s="264"/>
      <c r="G528" s="264"/>
      <c r="H528" s="264"/>
    </row>
    <row r="529" spans="1:8">
      <c r="A529" s="264"/>
      <c r="B529" s="264"/>
      <c r="C529" s="264"/>
      <c r="D529" s="264"/>
      <c r="E529" s="264"/>
      <c r="F529" s="264"/>
      <c r="G529" s="264"/>
      <c r="H529" s="264"/>
    </row>
    <row r="530" spans="1:8">
      <c r="A530" s="264"/>
      <c r="B530" s="264"/>
      <c r="C530" s="264"/>
      <c r="D530" s="264"/>
      <c r="E530" s="264"/>
      <c r="F530" s="264"/>
      <c r="G530" s="264"/>
      <c r="H530" s="264"/>
    </row>
    <row r="531" spans="1:8">
      <c r="A531" s="264"/>
      <c r="B531" s="264"/>
      <c r="C531" s="264"/>
      <c r="D531" s="264"/>
      <c r="E531" s="264"/>
      <c r="F531" s="264"/>
      <c r="G531" s="264"/>
      <c r="H531" s="264"/>
    </row>
    <row r="532" spans="1:8">
      <c r="A532" s="264"/>
      <c r="B532" s="264"/>
      <c r="C532" s="264"/>
      <c r="D532" s="264"/>
      <c r="E532" s="264"/>
      <c r="F532" s="264"/>
      <c r="G532" s="264"/>
      <c r="H532" s="264"/>
    </row>
    <row r="533" spans="1:8">
      <c r="A533" s="264"/>
      <c r="B533" s="264"/>
      <c r="C533" s="264"/>
      <c r="D533" s="264"/>
      <c r="E533" s="264"/>
      <c r="F533" s="264"/>
      <c r="G533" s="264"/>
      <c r="H533" s="264"/>
    </row>
    <row r="534" spans="1:8">
      <c r="A534" s="264"/>
      <c r="B534" s="264"/>
      <c r="C534" s="264"/>
      <c r="D534" s="264"/>
      <c r="E534" s="264"/>
      <c r="F534" s="264"/>
      <c r="G534" s="264"/>
      <c r="H534" s="264"/>
    </row>
    <row r="535" spans="1:8">
      <c r="A535" s="264"/>
      <c r="B535" s="264"/>
      <c r="C535" s="264"/>
      <c r="D535" s="264"/>
      <c r="E535" s="264"/>
      <c r="F535" s="264"/>
      <c r="G535" s="264"/>
      <c r="H535" s="264"/>
    </row>
    <row r="536" spans="1:8">
      <c r="A536" s="264"/>
      <c r="B536" s="264"/>
      <c r="C536" s="264"/>
      <c r="D536" s="264"/>
      <c r="E536" s="264"/>
      <c r="F536" s="264"/>
      <c r="G536" s="264"/>
      <c r="H536" s="264"/>
    </row>
    <row r="537" spans="1:8">
      <c r="A537" s="264"/>
      <c r="B537" s="264"/>
      <c r="C537" s="264"/>
      <c r="D537" s="264"/>
      <c r="E537" s="264"/>
      <c r="F537" s="264"/>
      <c r="G537" s="264"/>
      <c r="H537" s="264"/>
    </row>
    <row r="538" spans="1:8">
      <c r="A538" s="264"/>
      <c r="B538" s="264"/>
      <c r="C538" s="264"/>
      <c r="D538" s="264"/>
      <c r="E538" s="264"/>
      <c r="F538" s="264"/>
      <c r="G538" s="264"/>
      <c r="H538" s="264"/>
    </row>
    <row r="539" spans="1:8">
      <c r="A539" s="264"/>
      <c r="B539" s="264"/>
      <c r="C539" s="264"/>
      <c r="D539" s="264"/>
      <c r="E539" s="264"/>
      <c r="F539" s="264"/>
      <c r="G539" s="264"/>
      <c r="H539" s="264"/>
    </row>
    <row r="540" spans="1:8">
      <c r="A540" s="264"/>
      <c r="B540" s="264"/>
      <c r="C540" s="264"/>
      <c r="D540" s="264"/>
      <c r="E540" s="264"/>
      <c r="F540" s="264"/>
      <c r="G540" s="264"/>
      <c r="H540" s="264"/>
    </row>
    <row r="541" spans="1:8">
      <c r="A541" s="264"/>
      <c r="B541" s="264"/>
      <c r="C541" s="264"/>
      <c r="D541" s="264"/>
      <c r="E541" s="264"/>
      <c r="F541" s="264"/>
      <c r="G541" s="264"/>
      <c r="H541" s="264"/>
    </row>
    <row r="542" spans="1:8">
      <c r="A542" s="264"/>
      <c r="B542" s="264"/>
      <c r="C542" s="264"/>
      <c r="D542" s="264"/>
      <c r="E542" s="264"/>
      <c r="F542" s="264"/>
      <c r="G542" s="264"/>
      <c r="H542" s="264"/>
    </row>
    <row r="543" spans="1:8">
      <c r="A543" s="264"/>
      <c r="B543" s="264"/>
      <c r="C543" s="264"/>
      <c r="D543" s="264"/>
      <c r="E543" s="264"/>
      <c r="F543" s="264"/>
      <c r="G543" s="264"/>
      <c r="H543" s="264"/>
    </row>
    <row r="544" spans="1:8">
      <c r="A544" s="264"/>
      <c r="B544" s="264"/>
      <c r="C544" s="264"/>
      <c r="D544" s="264"/>
      <c r="E544" s="264"/>
      <c r="F544" s="264"/>
      <c r="G544" s="264"/>
      <c r="H544" s="264"/>
    </row>
    <row r="545" spans="1:8">
      <c r="A545" s="264"/>
      <c r="B545" s="264"/>
      <c r="C545" s="264"/>
      <c r="D545" s="264"/>
      <c r="E545" s="264"/>
      <c r="F545" s="264"/>
      <c r="G545" s="264"/>
      <c r="H545" s="264"/>
    </row>
    <row r="546" spans="1:8">
      <c r="A546" s="264"/>
      <c r="B546" s="264"/>
      <c r="C546" s="264"/>
      <c r="D546" s="264"/>
      <c r="E546" s="264"/>
      <c r="F546" s="264"/>
      <c r="G546" s="264"/>
      <c r="H546" s="264"/>
    </row>
    <row r="547" spans="1:8">
      <c r="A547" s="264"/>
      <c r="B547" s="264"/>
      <c r="C547" s="264"/>
      <c r="D547" s="264"/>
      <c r="E547" s="264"/>
      <c r="F547" s="264"/>
      <c r="G547" s="264"/>
      <c r="H547" s="264"/>
    </row>
    <row r="548" spans="1:8">
      <c r="A548" s="264"/>
      <c r="B548" s="264"/>
      <c r="C548" s="264"/>
      <c r="D548" s="264"/>
      <c r="E548" s="264"/>
      <c r="F548" s="264"/>
      <c r="G548" s="264"/>
      <c r="H548" s="264"/>
    </row>
    <row r="549" spans="1:8">
      <c r="A549" s="264"/>
      <c r="B549" s="264"/>
      <c r="C549" s="264"/>
      <c r="D549" s="264"/>
      <c r="E549" s="264"/>
      <c r="F549" s="264"/>
      <c r="G549" s="264"/>
      <c r="H549" s="264"/>
    </row>
    <row r="550" spans="1:8">
      <c r="A550" s="264"/>
      <c r="B550" s="264"/>
      <c r="C550" s="264"/>
      <c r="D550" s="264"/>
      <c r="E550" s="264"/>
      <c r="F550" s="264"/>
      <c r="G550" s="264"/>
      <c r="H550" s="264"/>
    </row>
    <row r="551" spans="1:8">
      <c r="A551" s="264"/>
      <c r="B551" s="264"/>
      <c r="C551" s="264"/>
      <c r="D551" s="264"/>
      <c r="E551" s="264"/>
      <c r="F551" s="264"/>
      <c r="G551" s="264"/>
      <c r="H551" s="264"/>
    </row>
    <row r="552" spans="1:8">
      <c r="A552" s="264"/>
      <c r="B552" s="264"/>
      <c r="C552" s="264"/>
      <c r="D552" s="264"/>
      <c r="E552" s="264"/>
      <c r="F552" s="264"/>
      <c r="G552" s="264"/>
      <c r="H552" s="264"/>
    </row>
    <row r="553" spans="1:8">
      <c r="A553" s="264"/>
      <c r="B553" s="264"/>
      <c r="C553" s="264"/>
      <c r="D553" s="264"/>
      <c r="E553" s="264"/>
      <c r="F553" s="264"/>
      <c r="G553" s="264"/>
      <c r="H553" s="264"/>
    </row>
    <row r="554" spans="1:8">
      <c r="A554" s="264"/>
      <c r="B554" s="264"/>
      <c r="C554" s="264"/>
      <c r="D554" s="264"/>
      <c r="E554" s="264"/>
      <c r="F554" s="264"/>
      <c r="G554" s="264"/>
      <c r="H554" s="264"/>
    </row>
    <row r="555" spans="1:8">
      <c r="A555" s="264"/>
      <c r="B555" s="264"/>
      <c r="C555" s="264"/>
      <c r="D555" s="264"/>
      <c r="E555" s="264"/>
      <c r="F555" s="264"/>
      <c r="G555" s="264"/>
      <c r="H555" s="264"/>
    </row>
    <row r="556" spans="1:8">
      <c r="A556" s="264"/>
      <c r="B556" s="264"/>
      <c r="C556" s="264"/>
      <c r="D556" s="264"/>
      <c r="E556" s="264"/>
      <c r="F556" s="264"/>
      <c r="G556" s="264"/>
      <c r="H556" s="264"/>
    </row>
    <row r="557" spans="1:8">
      <c r="A557" s="264"/>
      <c r="B557" s="264"/>
      <c r="C557" s="264"/>
      <c r="D557" s="264"/>
      <c r="E557" s="264"/>
      <c r="F557" s="264"/>
      <c r="G557" s="264"/>
      <c r="H557" s="264"/>
    </row>
    <row r="558" spans="1:8">
      <c r="A558" s="264"/>
      <c r="B558" s="264"/>
      <c r="C558" s="264"/>
      <c r="D558" s="264"/>
      <c r="E558" s="264"/>
      <c r="F558" s="264"/>
      <c r="G558" s="264"/>
      <c r="H558" s="264"/>
    </row>
    <row r="559" spans="1:8">
      <c r="A559" s="264"/>
      <c r="B559" s="264"/>
      <c r="C559" s="264"/>
      <c r="D559" s="264"/>
      <c r="E559" s="264"/>
      <c r="F559" s="264"/>
      <c r="G559" s="264"/>
      <c r="H559" s="264"/>
    </row>
    <row r="560" spans="1:8">
      <c r="A560" s="264"/>
      <c r="B560" s="264"/>
      <c r="C560" s="264"/>
      <c r="D560" s="264"/>
      <c r="E560" s="264"/>
      <c r="F560" s="264"/>
      <c r="G560" s="264"/>
      <c r="H560" s="264"/>
    </row>
    <row r="561" spans="1:8">
      <c r="A561" s="264"/>
      <c r="B561" s="264"/>
      <c r="C561" s="264"/>
      <c r="D561" s="264"/>
      <c r="E561" s="264"/>
      <c r="F561" s="264"/>
      <c r="G561" s="264"/>
      <c r="H561" s="264"/>
    </row>
    <row r="562" spans="1:8">
      <c r="A562" s="264"/>
      <c r="B562" s="264"/>
      <c r="C562" s="264"/>
      <c r="D562" s="264"/>
      <c r="E562" s="264"/>
      <c r="F562" s="264"/>
      <c r="G562" s="264"/>
      <c r="H562" s="264"/>
    </row>
    <row r="563" spans="1:8">
      <c r="A563" s="264"/>
      <c r="B563" s="264"/>
      <c r="C563" s="264"/>
      <c r="D563" s="264"/>
      <c r="E563" s="264"/>
      <c r="F563" s="264"/>
      <c r="G563" s="264"/>
      <c r="H563" s="264"/>
    </row>
    <row r="564" spans="1:8">
      <c r="A564" s="264"/>
      <c r="B564" s="264"/>
      <c r="C564" s="264"/>
      <c r="D564" s="264"/>
      <c r="E564" s="264"/>
      <c r="F564" s="264"/>
      <c r="G564" s="264"/>
      <c r="H564" s="264"/>
    </row>
    <row r="565" spans="1:8">
      <c r="A565" s="264"/>
      <c r="B565" s="264"/>
      <c r="C565" s="264"/>
      <c r="D565" s="264"/>
      <c r="E565" s="264"/>
      <c r="F565" s="264"/>
      <c r="G565" s="264"/>
      <c r="H565" s="264"/>
    </row>
    <row r="566" spans="1:8">
      <c r="A566" s="264"/>
      <c r="B566" s="264"/>
      <c r="C566" s="264"/>
      <c r="D566" s="264"/>
      <c r="E566" s="264"/>
      <c r="F566" s="264"/>
      <c r="G566" s="264"/>
      <c r="H566" s="264"/>
    </row>
    <row r="567" spans="1:8">
      <c r="A567" s="264"/>
      <c r="B567" s="264"/>
      <c r="C567" s="264"/>
      <c r="D567" s="264"/>
      <c r="E567" s="264"/>
      <c r="F567" s="264"/>
      <c r="G567" s="264"/>
      <c r="H567" s="264"/>
    </row>
    <row r="568" spans="1:8">
      <c r="A568" s="264"/>
      <c r="B568" s="264"/>
      <c r="C568" s="264"/>
      <c r="D568" s="264"/>
      <c r="E568" s="264"/>
      <c r="F568" s="264"/>
      <c r="G568" s="264"/>
      <c r="H568" s="264"/>
    </row>
    <row r="569" spans="1:8">
      <c r="A569" s="264"/>
      <c r="B569" s="264"/>
      <c r="C569" s="264"/>
      <c r="D569" s="264"/>
      <c r="E569" s="264"/>
      <c r="F569" s="264"/>
      <c r="G569" s="264"/>
      <c r="H569" s="264"/>
    </row>
    <row r="570" spans="1:8">
      <c r="A570" s="264"/>
      <c r="B570" s="264"/>
      <c r="C570" s="264"/>
      <c r="D570" s="264"/>
      <c r="E570" s="264"/>
      <c r="F570" s="264"/>
      <c r="G570" s="264"/>
      <c r="H570" s="264"/>
    </row>
    <row r="571" spans="1:8">
      <c r="A571" s="264"/>
      <c r="B571" s="264"/>
      <c r="C571" s="264"/>
      <c r="D571" s="264"/>
      <c r="E571" s="264"/>
      <c r="F571" s="264"/>
      <c r="G571" s="264"/>
      <c r="H571" s="264"/>
    </row>
    <row r="572" spans="1:8">
      <c r="A572" s="264"/>
      <c r="B572" s="264"/>
      <c r="C572" s="264"/>
      <c r="D572" s="264"/>
      <c r="E572" s="264"/>
      <c r="F572" s="264"/>
      <c r="G572" s="264"/>
      <c r="H572" s="264"/>
    </row>
    <row r="573" spans="1:8">
      <c r="A573" s="264"/>
      <c r="B573" s="264"/>
      <c r="C573" s="264"/>
      <c r="D573" s="264"/>
      <c r="E573" s="264"/>
      <c r="F573" s="264"/>
      <c r="G573" s="264"/>
      <c r="H573" s="264"/>
    </row>
    <row r="574" spans="1:8">
      <c r="A574" s="264"/>
      <c r="B574" s="264"/>
      <c r="C574" s="264"/>
      <c r="D574" s="264"/>
      <c r="E574" s="264"/>
      <c r="F574" s="264"/>
      <c r="G574" s="264"/>
      <c r="H574" s="264"/>
    </row>
    <row r="575" spans="1:8">
      <c r="A575" s="264"/>
      <c r="B575" s="264"/>
      <c r="C575" s="264"/>
      <c r="D575" s="264"/>
      <c r="E575" s="264"/>
      <c r="F575" s="264"/>
      <c r="G575" s="264"/>
      <c r="H575" s="264"/>
    </row>
    <row r="576" spans="1:8">
      <c r="A576" s="264"/>
      <c r="B576" s="264"/>
      <c r="C576" s="264"/>
      <c r="D576" s="264"/>
      <c r="E576" s="264"/>
      <c r="F576" s="264"/>
      <c r="G576" s="264"/>
      <c r="H576" s="264"/>
    </row>
    <row r="577" spans="1:8">
      <c r="A577" s="264"/>
      <c r="B577" s="264"/>
      <c r="C577" s="264"/>
      <c r="D577" s="264"/>
      <c r="E577" s="264"/>
      <c r="F577" s="264"/>
      <c r="G577" s="264"/>
      <c r="H577" s="264"/>
    </row>
    <row r="578" spans="1:8">
      <c r="A578" s="264"/>
      <c r="B578" s="264"/>
      <c r="C578" s="264"/>
      <c r="D578" s="264"/>
      <c r="E578" s="264"/>
      <c r="F578" s="264"/>
      <c r="G578" s="264"/>
      <c r="H578" s="264"/>
    </row>
    <row r="579" spans="1:8">
      <c r="A579" s="264"/>
      <c r="B579" s="264"/>
      <c r="C579" s="264"/>
      <c r="D579" s="264"/>
      <c r="E579" s="264"/>
      <c r="F579" s="264"/>
      <c r="G579" s="264"/>
      <c r="H579" s="264"/>
    </row>
    <row r="580" spans="1:8">
      <c r="A580" s="264"/>
      <c r="B580" s="264"/>
      <c r="C580" s="264"/>
      <c r="D580" s="264"/>
      <c r="E580" s="264"/>
      <c r="F580" s="264"/>
      <c r="G580" s="264"/>
      <c r="H580" s="264"/>
    </row>
    <row r="581" spans="1:8">
      <c r="A581" s="264"/>
      <c r="B581" s="264"/>
      <c r="C581" s="264"/>
      <c r="D581" s="264"/>
      <c r="E581" s="264"/>
      <c r="F581" s="264"/>
      <c r="G581" s="264"/>
      <c r="H581" s="264"/>
    </row>
    <row r="582" spans="1:8">
      <c r="A582" s="264"/>
      <c r="B582" s="264"/>
      <c r="C582" s="264"/>
      <c r="D582" s="264"/>
      <c r="E582" s="264"/>
      <c r="F582" s="264"/>
      <c r="G582" s="264"/>
      <c r="H582" s="264"/>
    </row>
    <row r="583" spans="1:8">
      <c r="A583" s="264"/>
      <c r="B583" s="264"/>
      <c r="C583" s="264"/>
      <c r="D583" s="264"/>
      <c r="E583" s="264"/>
      <c r="F583" s="264"/>
      <c r="G583" s="264"/>
      <c r="H583" s="264"/>
    </row>
    <row r="584" spans="1:8">
      <c r="A584" s="264"/>
      <c r="B584" s="264"/>
      <c r="C584" s="264"/>
      <c r="D584" s="264"/>
      <c r="E584" s="264"/>
      <c r="F584" s="264"/>
      <c r="G584" s="264"/>
      <c r="H584" s="264"/>
    </row>
    <row r="585" spans="1:8">
      <c r="A585" s="264"/>
      <c r="B585" s="264"/>
      <c r="C585" s="264"/>
      <c r="D585" s="264"/>
      <c r="E585" s="264"/>
      <c r="F585" s="264"/>
      <c r="G585" s="264"/>
      <c r="H585" s="264"/>
    </row>
    <row r="586" spans="1:8">
      <c r="A586" s="264"/>
      <c r="B586" s="264"/>
      <c r="C586" s="264"/>
      <c r="D586" s="264"/>
      <c r="E586" s="264"/>
      <c r="F586" s="264"/>
      <c r="G586" s="264"/>
      <c r="H586" s="264"/>
    </row>
    <row r="587" spans="1:8">
      <c r="A587" s="264"/>
      <c r="B587" s="264"/>
      <c r="C587" s="264"/>
      <c r="D587" s="264"/>
      <c r="E587" s="264"/>
      <c r="F587" s="264"/>
      <c r="G587" s="264"/>
      <c r="H587" s="264"/>
    </row>
    <row r="588" spans="1:8">
      <c r="A588" s="264"/>
      <c r="B588" s="264"/>
      <c r="C588" s="264"/>
      <c r="D588" s="264"/>
      <c r="E588" s="264"/>
      <c r="F588" s="264"/>
      <c r="G588" s="264"/>
      <c r="H588" s="264"/>
    </row>
    <row r="589" spans="1:8">
      <c r="A589" s="264"/>
      <c r="B589" s="264"/>
      <c r="C589" s="264"/>
      <c r="D589" s="264"/>
      <c r="E589" s="264"/>
      <c r="F589" s="264"/>
      <c r="G589" s="264"/>
      <c r="H589" s="264"/>
    </row>
    <row r="590" spans="1:8">
      <c r="A590" s="264"/>
      <c r="B590" s="264"/>
      <c r="C590" s="264"/>
      <c r="D590" s="264"/>
      <c r="E590" s="264"/>
      <c r="F590" s="264"/>
      <c r="G590" s="264"/>
      <c r="H590" s="264"/>
    </row>
    <row r="591" spans="1:8">
      <c r="A591" s="264"/>
      <c r="B591" s="264"/>
      <c r="C591" s="264"/>
      <c r="D591" s="264"/>
      <c r="E591" s="264"/>
      <c r="F591" s="264"/>
      <c r="G591" s="264"/>
      <c r="H591" s="264"/>
    </row>
    <row r="592" spans="1:8">
      <c r="A592" s="264"/>
      <c r="B592" s="264"/>
      <c r="C592" s="264"/>
      <c r="D592" s="264"/>
      <c r="E592" s="264"/>
      <c r="F592" s="264"/>
      <c r="G592" s="264"/>
      <c r="H592" s="264"/>
    </row>
    <row r="593" spans="1:8">
      <c r="A593" s="264"/>
      <c r="B593" s="264"/>
      <c r="C593" s="264"/>
      <c r="D593" s="264"/>
      <c r="E593" s="264"/>
      <c r="F593" s="264"/>
      <c r="G593" s="264"/>
      <c r="H593" s="264"/>
    </row>
    <row r="594" spans="1:8">
      <c r="A594" s="264"/>
      <c r="B594" s="264"/>
      <c r="C594" s="264"/>
      <c r="D594" s="264"/>
      <c r="E594" s="264"/>
      <c r="F594" s="264"/>
      <c r="G594" s="264"/>
      <c r="H594" s="264"/>
    </row>
    <row r="595" spans="1:8">
      <c r="A595" s="264"/>
      <c r="B595" s="264"/>
      <c r="C595" s="264"/>
      <c r="D595" s="264"/>
      <c r="E595" s="264"/>
      <c r="F595" s="264"/>
      <c r="G595" s="264"/>
      <c r="H595" s="264"/>
    </row>
    <row r="596" spans="1:8">
      <c r="A596" s="264"/>
      <c r="B596" s="264"/>
      <c r="C596" s="264"/>
      <c r="D596" s="264"/>
      <c r="E596" s="264"/>
      <c r="F596" s="264"/>
      <c r="G596" s="264"/>
      <c r="H596" s="264"/>
    </row>
    <row r="597" spans="1:8">
      <c r="A597" s="264"/>
      <c r="B597" s="264"/>
      <c r="C597" s="264"/>
      <c r="D597" s="264"/>
      <c r="E597" s="264"/>
      <c r="F597" s="264"/>
      <c r="G597" s="264"/>
      <c r="H597" s="264"/>
    </row>
    <row r="598" spans="1:8">
      <c r="A598" s="264"/>
      <c r="B598" s="264"/>
      <c r="C598" s="264"/>
      <c r="D598" s="264"/>
      <c r="E598" s="264"/>
      <c r="F598" s="264"/>
      <c r="G598" s="264"/>
      <c r="H598" s="264"/>
    </row>
    <row r="599" spans="1:8">
      <c r="A599" s="264"/>
      <c r="B599" s="264"/>
      <c r="C599" s="264"/>
      <c r="D599" s="264"/>
      <c r="E599" s="264"/>
      <c r="F599" s="264"/>
      <c r="G599" s="264"/>
      <c r="H599" s="264"/>
    </row>
    <row r="600" spans="1:8">
      <c r="A600" s="264"/>
      <c r="B600" s="264"/>
      <c r="C600" s="264"/>
      <c r="D600" s="264"/>
      <c r="E600" s="264"/>
      <c r="F600" s="264"/>
      <c r="G600" s="264"/>
      <c r="H600" s="264"/>
    </row>
    <row r="601" spans="1:8">
      <c r="A601" s="264"/>
      <c r="B601" s="264"/>
      <c r="C601" s="264"/>
      <c r="D601" s="264"/>
      <c r="E601" s="264"/>
      <c r="F601" s="264"/>
      <c r="G601" s="264"/>
      <c r="H601" s="264"/>
    </row>
    <row r="602" spans="1:8">
      <c r="A602" s="264"/>
      <c r="B602" s="264"/>
      <c r="C602" s="264"/>
      <c r="D602" s="264"/>
      <c r="E602" s="264"/>
      <c r="F602" s="264"/>
      <c r="G602" s="264"/>
      <c r="H602" s="264"/>
    </row>
    <row r="603" spans="1:8">
      <c r="A603" s="264"/>
      <c r="B603" s="264"/>
      <c r="C603" s="264"/>
      <c r="D603" s="264"/>
      <c r="E603" s="264"/>
      <c r="F603" s="264"/>
      <c r="G603" s="264"/>
      <c r="H603" s="264"/>
    </row>
    <row r="604" spans="1:8">
      <c r="A604" s="264"/>
      <c r="B604" s="264"/>
      <c r="C604" s="264"/>
      <c r="D604" s="264"/>
      <c r="E604" s="264"/>
      <c r="F604" s="264"/>
      <c r="G604" s="264"/>
      <c r="H604" s="264"/>
    </row>
    <row r="605" spans="1:8">
      <c r="A605" s="264"/>
      <c r="B605" s="264"/>
      <c r="C605" s="264"/>
      <c r="D605" s="264"/>
      <c r="E605" s="264"/>
      <c r="F605" s="264"/>
      <c r="G605" s="264"/>
      <c r="H605" s="264"/>
    </row>
    <row r="606" spans="1:8">
      <c r="A606" s="264"/>
      <c r="B606" s="264"/>
      <c r="C606" s="264"/>
      <c r="D606" s="264"/>
      <c r="E606" s="264"/>
      <c r="F606" s="264"/>
      <c r="G606" s="264"/>
      <c r="H606" s="264"/>
    </row>
    <row r="607" spans="1:8">
      <c r="A607" s="264"/>
      <c r="B607" s="264"/>
      <c r="C607" s="264"/>
      <c r="D607" s="264"/>
      <c r="E607" s="264"/>
      <c r="F607" s="264"/>
      <c r="G607" s="264"/>
      <c r="H607" s="264"/>
    </row>
    <row r="608" spans="1:8">
      <c r="A608" s="264"/>
      <c r="B608" s="264"/>
      <c r="C608" s="264"/>
      <c r="D608" s="264"/>
      <c r="E608" s="264"/>
      <c r="F608" s="264"/>
      <c r="G608" s="264"/>
      <c r="H608" s="264"/>
    </row>
    <row r="609" spans="1:8">
      <c r="A609" s="264"/>
      <c r="B609" s="264"/>
      <c r="C609" s="264"/>
      <c r="D609" s="264"/>
      <c r="E609" s="264"/>
      <c r="F609" s="264"/>
      <c r="G609" s="264"/>
      <c r="H609" s="264"/>
    </row>
    <row r="610" spans="1:8">
      <c r="A610" s="264"/>
      <c r="B610" s="264"/>
      <c r="C610" s="264"/>
      <c r="D610" s="264"/>
      <c r="E610" s="264"/>
      <c r="F610" s="264"/>
      <c r="G610" s="264"/>
      <c r="H610" s="264"/>
    </row>
    <row r="611" spans="1:8">
      <c r="A611" s="264"/>
      <c r="B611" s="264"/>
      <c r="C611" s="264"/>
      <c r="D611" s="264"/>
      <c r="E611" s="264"/>
      <c r="F611" s="264"/>
      <c r="G611" s="264"/>
      <c r="H611" s="264"/>
    </row>
    <row r="612" spans="1:8">
      <c r="A612" s="264"/>
      <c r="B612" s="264"/>
      <c r="C612" s="264"/>
      <c r="D612" s="264"/>
      <c r="E612" s="264"/>
      <c r="F612" s="264"/>
      <c r="G612" s="264"/>
      <c r="H612" s="264"/>
    </row>
    <row r="613" spans="1:8">
      <c r="A613" s="264"/>
      <c r="B613" s="264"/>
      <c r="C613" s="264"/>
      <c r="D613" s="264"/>
      <c r="E613" s="264"/>
      <c r="F613" s="264"/>
      <c r="G613" s="264"/>
      <c r="H613" s="264"/>
    </row>
    <row r="614" spans="1:8">
      <c r="A614" s="264"/>
      <c r="B614" s="264"/>
      <c r="C614" s="264"/>
      <c r="D614" s="264"/>
      <c r="E614" s="264"/>
      <c r="F614" s="264"/>
      <c r="G614" s="264"/>
      <c r="H614" s="264"/>
    </row>
    <row r="615" spans="1:8">
      <c r="A615" s="264"/>
      <c r="B615" s="264"/>
      <c r="C615" s="264"/>
      <c r="D615" s="264"/>
      <c r="E615" s="264"/>
      <c r="F615" s="264"/>
      <c r="G615" s="264"/>
      <c r="H615" s="264"/>
    </row>
    <row r="616" spans="1:8">
      <c r="A616" s="264"/>
      <c r="B616" s="264"/>
      <c r="C616" s="264"/>
      <c r="D616" s="264"/>
      <c r="E616" s="264"/>
      <c r="F616" s="264"/>
      <c r="G616" s="264"/>
      <c r="H616" s="264"/>
    </row>
    <row r="617" spans="1:8">
      <c r="A617" s="264"/>
      <c r="B617" s="264"/>
      <c r="C617" s="264"/>
      <c r="D617" s="264"/>
      <c r="E617" s="264"/>
      <c r="F617" s="264"/>
      <c r="G617" s="264"/>
      <c r="H617" s="264"/>
    </row>
    <row r="618" spans="1:8">
      <c r="A618" s="264"/>
      <c r="B618" s="264"/>
      <c r="C618" s="264"/>
      <c r="D618" s="264"/>
      <c r="E618" s="264"/>
      <c r="F618" s="264"/>
      <c r="G618" s="264"/>
      <c r="H618" s="264"/>
    </row>
    <row r="619" spans="1:8">
      <c r="A619" s="264"/>
      <c r="B619" s="264"/>
      <c r="C619" s="264"/>
      <c r="D619" s="264"/>
      <c r="E619" s="264"/>
      <c r="F619" s="264"/>
      <c r="G619" s="264"/>
      <c r="H619" s="264"/>
    </row>
    <row r="620" spans="1:8">
      <c r="A620" s="264"/>
      <c r="B620" s="264"/>
      <c r="C620" s="264"/>
      <c r="D620" s="264"/>
      <c r="E620" s="264"/>
      <c r="F620" s="264"/>
      <c r="G620" s="264"/>
      <c r="H620" s="264"/>
    </row>
    <row r="621" spans="1:8">
      <c r="A621" s="264"/>
      <c r="B621" s="264"/>
      <c r="C621" s="264"/>
      <c r="D621" s="264"/>
      <c r="E621" s="264"/>
      <c r="F621" s="264"/>
      <c r="G621" s="264"/>
      <c r="H621" s="264"/>
    </row>
    <row r="622" spans="1:8">
      <c r="A622" s="264"/>
      <c r="B622" s="264"/>
      <c r="C622" s="264"/>
      <c r="D622" s="264"/>
      <c r="E622" s="264"/>
      <c r="F622" s="264"/>
      <c r="G622" s="264"/>
      <c r="H622" s="264"/>
    </row>
    <row r="623" spans="1:8">
      <c r="A623" s="264"/>
      <c r="B623" s="264"/>
      <c r="C623" s="264"/>
      <c r="D623" s="264"/>
      <c r="E623" s="264"/>
      <c r="F623" s="264"/>
      <c r="G623" s="264"/>
      <c r="H623" s="264"/>
    </row>
    <row r="624" spans="1:8">
      <c r="A624" s="264"/>
      <c r="B624" s="264"/>
      <c r="C624" s="264"/>
      <c r="D624" s="264"/>
      <c r="E624" s="264"/>
      <c r="F624" s="264"/>
      <c r="G624" s="264"/>
      <c r="H624" s="264"/>
    </row>
    <row r="625" spans="1:8">
      <c r="A625" s="264"/>
      <c r="B625" s="264"/>
      <c r="C625" s="264"/>
      <c r="D625" s="264"/>
      <c r="E625" s="264"/>
      <c r="F625" s="264"/>
      <c r="G625" s="264"/>
      <c r="H625" s="264"/>
    </row>
    <row r="626" spans="1:8">
      <c r="A626" s="264"/>
      <c r="B626" s="264"/>
      <c r="C626" s="264"/>
      <c r="D626" s="264"/>
      <c r="E626" s="264"/>
      <c r="F626" s="264"/>
      <c r="G626" s="264"/>
      <c r="H626" s="264"/>
    </row>
    <row r="627" spans="1:8">
      <c r="A627" s="264"/>
      <c r="B627" s="264"/>
      <c r="C627" s="264"/>
      <c r="D627" s="264"/>
      <c r="E627" s="264"/>
      <c r="F627" s="264"/>
      <c r="G627" s="264"/>
      <c r="H627" s="264"/>
    </row>
    <row r="628" spans="1:8">
      <c r="A628" s="264"/>
      <c r="B628" s="264"/>
      <c r="C628" s="264"/>
      <c r="D628" s="264"/>
      <c r="E628" s="264"/>
      <c r="F628" s="264"/>
      <c r="G628" s="264"/>
      <c r="H628" s="264"/>
    </row>
    <row r="629" spans="1:8">
      <c r="A629" s="264"/>
      <c r="B629" s="264"/>
      <c r="C629" s="264"/>
      <c r="D629" s="264"/>
      <c r="E629" s="264"/>
      <c r="F629" s="264"/>
      <c r="G629" s="264"/>
      <c r="H629" s="264"/>
    </row>
    <row r="630" spans="1:8">
      <c r="A630" s="264"/>
      <c r="B630" s="264"/>
      <c r="C630" s="264"/>
      <c r="D630" s="264"/>
      <c r="E630" s="264"/>
      <c r="F630" s="264"/>
      <c r="G630" s="264"/>
      <c r="H630" s="264"/>
    </row>
    <row r="631" spans="1:8">
      <c r="A631" s="264"/>
      <c r="B631" s="264"/>
      <c r="C631" s="264"/>
      <c r="D631" s="264"/>
      <c r="E631" s="264"/>
      <c r="F631" s="264"/>
      <c r="G631" s="264"/>
      <c r="H631" s="264"/>
    </row>
    <row r="632" spans="1:8">
      <c r="A632" s="264"/>
      <c r="B632" s="264"/>
      <c r="C632" s="264"/>
      <c r="D632" s="264"/>
      <c r="E632" s="264"/>
      <c r="F632" s="264"/>
      <c r="G632" s="264"/>
      <c r="H632" s="264"/>
    </row>
    <row r="633" spans="1:8">
      <c r="A633" s="264"/>
      <c r="B633" s="264"/>
      <c r="C633" s="264"/>
      <c r="D633" s="264"/>
      <c r="E633" s="264"/>
      <c r="F633" s="264"/>
      <c r="G633" s="264"/>
      <c r="H633" s="264"/>
    </row>
    <row r="634" spans="1:8">
      <c r="A634" s="264"/>
      <c r="B634" s="264"/>
      <c r="C634" s="264"/>
      <c r="D634" s="264"/>
      <c r="E634" s="264"/>
      <c r="F634" s="264"/>
      <c r="G634" s="264"/>
      <c r="H634" s="264"/>
    </row>
    <row r="635" spans="1:8">
      <c r="A635" s="264"/>
      <c r="B635" s="264"/>
      <c r="C635" s="264"/>
      <c r="D635" s="264"/>
      <c r="E635" s="264"/>
      <c r="F635" s="264"/>
      <c r="G635" s="264"/>
      <c r="H635" s="264"/>
    </row>
    <row r="636" spans="1:8">
      <c r="A636" s="264"/>
      <c r="B636" s="264"/>
      <c r="C636" s="264"/>
      <c r="D636" s="264"/>
      <c r="E636" s="264"/>
      <c r="F636" s="264"/>
      <c r="G636" s="264"/>
      <c r="H636" s="264"/>
    </row>
    <row r="637" spans="1:8">
      <c r="A637" s="264"/>
      <c r="B637" s="264"/>
      <c r="C637" s="264"/>
      <c r="D637" s="264"/>
      <c r="E637" s="264"/>
      <c r="F637" s="264"/>
      <c r="G637" s="264"/>
      <c r="H637" s="264"/>
    </row>
    <row r="638" spans="1:8">
      <c r="A638" s="264"/>
      <c r="B638" s="264"/>
      <c r="C638" s="264"/>
      <c r="D638" s="264"/>
      <c r="E638" s="264"/>
      <c r="F638" s="264"/>
      <c r="G638" s="264"/>
      <c r="H638" s="264"/>
    </row>
    <row r="639" spans="1:8">
      <c r="A639" s="264"/>
      <c r="B639" s="264"/>
      <c r="C639" s="264"/>
      <c r="D639" s="264"/>
      <c r="E639" s="264"/>
      <c r="F639" s="264"/>
      <c r="G639" s="264"/>
      <c r="H639" s="264"/>
    </row>
    <row r="640" spans="1:8">
      <c r="A640" s="264"/>
      <c r="B640" s="264"/>
      <c r="C640" s="264"/>
      <c r="D640" s="264"/>
      <c r="E640" s="264"/>
      <c r="F640" s="264"/>
      <c r="G640" s="264"/>
      <c r="H640" s="264"/>
    </row>
    <row r="641" spans="1:8">
      <c r="A641" s="264"/>
      <c r="B641" s="264"/>
      <c r="C641" s="264"/>
      <c r="D641" s="264"/>
      <c r="E641" s="264"/>
      <c r="F641" s="264"/>
      <c r="G641" s="264"/>
      <c r="H641" s="264"/>
    </row>
    <row r="642" spans="1:8">
      <c r="A642" s="264"/>
      <c r="B642" s="264"/>
      <c r="C642" s="264"/>
      <c r="D642" s="264"/>
      <c r="E642" s="264"/>
      <c r="F642" s="264"/>
      <c r="G642" s="264"/>
      <c r="H642" s="264"/>
    </row>
    <row r="643" spans="1:8">
      <c r="A643" s="264"/>
      <c r="B643" s="264"/>
      <c r="C643" s="264"/>
      <c r="D643" s="264"/>
      <c r="E643" s="264"/>
      <c r="F643" s="264"/>
      <c r="G643" s="264"/>
      <c r="H643" s="264"/>
    </row>
    <row r="644" spans="1:8">
      <c r="A644" s="264"/>
      <c r="B644" s="264"/>
      <c r="C644" s="264"/>
      <c r="D644" s="264"/>
      <c r="E644" s="264"/>
      <c r="F644" s="264"/>
      <c r="G644" s="264"/>
      <c r="H644" s="264"/>
    </row>
    <row r="645" spans="1:8">
      <c r="A645" s="264"/>
      <c r="B645" s="264"/>
      <c r="C645" s="264"/>
      <c r="D645" s="264"/>
      <c r="E645" s="264"/>
      <c r="F645" s="264"/>
      <c r="G645" s="264"/>
      <c r="H645" s="264"/>
    </row>
    <row r="646" spans="1:8">
      <c r="A646" s="264"/>
      <c r="B646" s="264"/>
      <c r="C646" s="264"/>
      <c r="D646" s="264"/>
      <c r="E646" s="264"/>
      <c r="F646" s="264"/>
      <c r="G646" s="264"/>
      <c r="H646" s="264"/>
    </row>
    <row r="647" spans="1:8">
      <c r="A647" s="264"/>
      <c r="B647" s="264"/>
      <c r="C647" s="264"/>
      <c r="D647" s="264"/>
      <c r="E647" s="264"/>
      <c r="F647" s="264"/>
      <c r="G647" s="264"/>
      <c r="H647" s="264"/>
    </row>
    <row r="648" spans="1:8">
      <c r="A648" s="264"/>
      <c r="B648" s="264"/>
      <c r="C648" s="264"/>
      <c r="D648" s="264"/>
      <c r="E648" s="264"/>
      <c r="F648" s="264"/>
      <c r="G648" s="264"/>
      <c r="H648" s="264"/>
    </row>
    <row r="649" spans="1:8">
      <c r="A649" s="264"/>
      <c r="B649" s="264"/>
      <c r="C649" s="264"/>
      <c r="D649" s="264"/>
      <c r="E649" s="264"/>
      <c r="F649" s="264"/>
      <c r="G649" s="264"/>
      <c r="H649" s="264"/>
    </row>
    <row r="650" spans="1:8">
      <c r="A650" s="264"/>
      <c r="B650" s="264"/>
      <c r="C650" s="264"/>
      <c r="D650" s="264"/>
      <c r="E650" s="264"/>
      <c r="F650" s="264"/>
      <c r="G650" s="264"/>
      <c r="H650" s="264"/>
    </row>
    <row r="651" spans="1:8">
      <c r="A651" s="264"/>
      <c r="B651" s="264"/>
      <c r="C651" s="264"/>
      <c r="D651" s="264"/>
      <c r="E651" s="264"/>
      <c r="F651" s="264"/>
      <c r="G651" s="264"/>
      <c r="H651" s="264"/>
    </row>
    <row r="652" spans="1:8">
      <c r="A652" s="264"/>
      <c r="B652" s="264"/>
      <c r="C652" s="264"/>
      <c r="D652" s="264"/>
      <c r="E652" s="264"/>
      <c r="F652" s="264"/>
      <c r="G652" s="264"/>
      <c r="H652" s="264"/>
    </row>
    <row r="653" spans="1:8">
      <c r="A653" s="264"/>
      <c r="B653" s="264"/>
      <c r="C653" s="264"/>
      <c r="D653" s="264"/>
      <c r="E653" s="264"/>
      <c r="F653" s="264"/>
      <c r="G653" s="264"/>
      <c r="H653" s="264"/>
    </row>
    <row r="654" spans="1:8">
      <c r="A654" s="264"/>
      <c r="B654" s="264"/>
      <c r="C654" s="264"/>
      <c r="D654" s="264"/>
      <c r="E654" s="264"/>
      <c r="F654" s="264"/>
      <c r="G654" s="264"/>
      <c r="H654" s="264"/>
    </row>
    <row r="655" spans="1:8">
      <c r="A655" s="264"/>
      <c r="B655" s="264"/>
      <c r="C655" s="264"/>
      <c r="D655" s="264"/>
      <c r="E655" s="264"/>
      <c r="F655" s="264"/>
      <c r="G655" s="264"/>
      <c r="H655" s="264"/>
    </row>
    <row r="656" spans="1:8">
      <c r="A656" s="264"/>
      <c r="B656" s="264"/>
      <c r="C656" s="264"/>
      <c r="D656" s="264"/>
      <c r="E656" s="264"/>
      <c r="F656" s="264"/>
      <c r="G656" s="264"/>
      <c r="H656" s="264"/>
    </row>
    <row r="657" spans="1:8">
      <c r="A657" s="264"/>
      <c r="B657" s="264"/>
      <c r="C657" s="264"/>
      <c r="D657" s="264"/>
      <c r="E657" s="264"/>
      <c r="F657" s="264"/>
      <c r="G657" s="264"/>
      <c r="H657" s="264"/>
    </row>
    <row r="658" spans="1:8">
      <c r="A658" s="264"/>
      <c r="B658" s="264"/>
      <c r="C658" s="264"/>
      <c r="D658" s="264"/>
      <c r="E658" s="264"/>
      <c r="F658" s="264"/>
      <c r="G658" s="264"/>
      <c r="H658" s="264"/>
    </row>
    <row r="659" spans="1:8">
      <c r="A659" s="264"/>
      <c r="B659" s="264"/>
      <c r="C659" s="264"/>
      <c r="D659" s="264"/>
      <c r="E659" s="264"/>
      <c r="F659" s="264"/>
      <c r="G659" s="264"/>
      <c r="H659" s="264"/>
    </row>
    <row r="660" spans="1:8">
      <c r="A660" s="264"/>
      <c r="B660" s="264"/>
      <c r="C660" s="264"/>
      <c r="D660" s="264"/>
      <c r="E660" s="264"/>
      <c r="F660" s="264"/>
      <c r="G660" s="264"/>
      <c r="H660" s="264"/>
    </row>
    <row r="661" spans="1:8">
      <c r="A661" s="264"/>
      <c r="B661" s="264"/>
      <c r="C661" s="264"/>
      <c r="D661" s="264"/>
      <c r="E661" s="264"/>
      <c r="F661" s="264"/>
      <c r="G661" s="264"/>
      <c r="H661" s="264"/>
    </row>
    <row r="662" spans="1:8">
      <c r="A662" s="264"/>
      <c r="B662" s="264"/>
      <c r="C662" s="264"/>
      <c r="D662" s="264"/>
      <c r="E662" s="264"/>
      <c r="F662" s="264"/>
      <c r="G662" s="264"/>
      <c r="H662" s="264"/>
    </row>
    <row r="663" spans="1:8">
      <c r="A663" s="264"/>
      <c r="B663" s="264"/>
      <c r="C663" s="264"/>
      <c r="D663" s="264"/>
      <c r="E663" s="264"/>
      <c r="F663" s="264"/>
      <c r="G663" s="264"/>
      <c r="H663" s="264"/>
    </row>
    <row r="664" spans="1:8">
      <c r="A664" s="264"/>
      <c r="B664" s="264"/>
      <c r="C664" s="264"/>
      <c r="D664" s="264"/>
      <c r="E664" s="264"/>
      <c r="F664" s="264"/>
      <c r="G664" s="264"/>
      <c r="H664" s="264"/>
    </row>
    <row r="665" spans="1:8">
      <c r="A665" s="264"/>
      <c r="B665" s="264"/>
      <c r="C665" s="264"/>
      <c r="D665" s="264"/>
      <c r="E665" s="264"/>
      <c r="F665" s="264"/>
      <c r="G665" s="264"/>
      <c r="H665" s="264"/>
    </row>
    <row r="666" spans="1:8">
      <c r="A666" s="264"/>
      <c r="B666" s="264"/>
      <c r="C666" s="264"/>
      <c r="D666" s="264"/>
      <c r="E666" s="264"/>
      <c r="F666" s="264"/>
      <c r="G666" s="264"/>
      <c r="H666" s="264"/>
    </row>
    <row r="667" spans="1:8">
      <c r="A667" s="264"/>
      <c r="B667" s="264"/>
      <c r="C667" s="264"/>
      <c r="D667" s="264"/>
      <c r="E667" s="264"/>
      <c r="F667" s="264"/>
      <c r="G667" s="264"/>
      <c r="H667" s="264"/>
    </row>
    <row r="668" spans="1:8">
      <c r="A668" s="264"/>
      <c r="B668" s="264"/>
      <c r="C668" s="264"/>
      <c r="D668" s="264"/>
      <c r="E668" s="264"/>
      <c r="F668" s="264"/>
      <c r="G668" s="264"/>
      <c r="H668" s="264"/>
    </row>
    <row r="669" spans="1:8">
      <c r="A669" s="264"/>
      <c r="B669" s="264"/>
      <c r="C669" s="264"/>
      <c r="D669" s="264"/>
      <c r="E669" s="264"/>
      <c r="F669" s="264"/>
      <c r="G669" s="264"/>
      <c r="H669" s="264"/>
    </row>
    <row r="670" spans="1:8">
      <c r="A670" s="264"/>
      <c r="B670" s="264"/>
      <c r="C670" s="264"/>
      <c r="D670" s="264"/>
      <c r="E670" s="264"/>
      <c r="F670" s="264"/>
      <c r="G670" s="264"/>
      <c r="H670" s="264"/>
    </row>
    <row r="671" spans="1:8">
      <c r="A671" s="264"/>
      <c r="B671" s="264"/>
      <c r="C671" s="264"/>
      <c r="D671" s="264"/>
      <c r="E671" s="264"/>
      <c r="F671" s="264"/>
      <c r="G671" s="264"/>
      <c r="H671" s="264"/>
    </row>
    <row r="672" spans="1:8">
      <c r="A672" s="264"/>
      <c r="B672" s="264"/>
      <c r="C672" s="264"/>
      <c r="D672" s="264"/>
      <c r="E672" s="264"/>
      <c r="F672" s="264"/>
      <c r="G672" s="264"/>
      <c r="H672" s="264"/>
    </row>
    <row r="673" spans="1:8">
      <c r="A673" s="264"/>
      <c r="B673" s="264"/>
      <c r="C673" s="264"/>
      <c r="D673" s="264"/>
      <c r="E673" s="264"/>
      <c r="F673" s="264"/>
      <c r="G673" s="264"/>
      <c r="H673" s="264"/>
    </row>
    <row r="674" spans="1:8">
      <c r="A674" s="264"/>
      <c r="B674" s="264"/>
      <c r="C674" s="264"/>
      <c r="D674" s="264"/>
      <c r="E674" s="264"/>
      <c r="F674" s="264"/>
      <c r="G674" s="264"/>
      <c r="H674" s="264"/>
    </row>
    <row r="675" spans="1:8">
      <c r="A675" s="264"/>
      <c r="B675" s="264"/>
      <c r="C675" s="264"/>
      <c r="D675" s="264"/>
      <c r="E675" s="264"/>
      <c r="F675" s="264"/>
      <c r="G675" s="264"/>
      <c r="H675" s="264"/>
    </row>
    <row r="676" spans="1:8">
      <c r="A676" s="264"/>
      <c r="B676" s="264"/>
      <c r="C676" s="264"/>
      <c r="D676" s="264"/>
      <c r="E676" s="264"/>
      <c r="F676" s="264"/>
      <c r="G676" s="264"/>
      <c r="H676" s="264"/>
    </row>
    <row r="677" spans="1:8">
      <c r="A677" s="264"/>
      <c r="B677" s="264"/>
      <c r="C677" s="264"/>
      <c r="D677" s="264"/>
      <c r="E677" s="264"/>
      <c r="F677" s="264"/>
      <c r="G677" s="264"/>
      <c r="H677" s="264"/>
    </row>
    <row r="678" spans="1:8">
      <c r="A678" s="264"/>
      <c r="B678" s="264"/>
      <c r="C678" s="264"/>
      <c r="D678" s="264"/>
      <c r="E678" s="264"/>
      <c r="F678" s="264"/>
      <c r="G678" s="264"/>
      <c r="H678" s="264"/>
    </row>
    <row r="679" spans="1:8">
      <c r="A679" s="264"/>
      <c r="B679" s="264"/>
      <c r="C679" s="264"/>
      <c r="D679" s="264"/>
      <c r="E679" s="264"/>
      <c r="F679" s="264"/>
      <c r="G679" s="264"/>
      <c r="H679" s="264"/>
    </row>
    <row r="680" spans="1:8">
      <c r="A680" s="264"/>
      <c r="B680" s="264"/>
      <c r="C680" s="264"/>
      <c r="D680" s="264"/>
      <c r="E680" s="264"/>
      <c r="F680" s="264"/>
      <c r="G680" s="264"/>
      <c r="H680" s="264"/>
    </row>
    <row r="681" spans="1:8">
      <c r="A681" s="264"/>
      <c r="B681" s="264"/>
      <c r="C681" s="264"/>
      <c r="D681" s="264"/>
      <c r="E681" s="264"/>
      <c r="F681" s="264"/>
      <c r="G681" s="264"/>
      <c r="H681" s="264"/>
    </row>
    <row r="682" spans="1:8">
      <c r="A682" s="264"/>
      <c r="B682" s="264"/>
      <c r="C682" s="264"/>
      <c r="D682" s="264"/>
      <c r="E682" s="264"/>
      <c r="F682" s="264"/>
      <c r="G682" s="264"/>
      <c r="H682" s="264"/>
    </row>
    <row r="683" spans="1:8">
      <c r="A683" s="264"/>
      <c r="B683" s="264"/>
      <c r="C683" s="264"/>
      <c r="D683" s="264"/>
      <c r="E683" s="264"/>
      <c r="F683" s="264"/>
      <c r="G683" s="264"/>
      <c r="H683" s="264"/>
    </row>
    <row r="684" spans="1:8">
      <c r="A684" s="264"/>
      <c r="B684" s="264"/>
      <c r="C684" s="264"/>
      <c r="D684" s="264"/>
      <c r="E684" s="264"/>
      <c r="F684" s="264"/>
      <c r="G684" s="264"/>
      <c r="H684" s="264"/>
    </row>
    <row r="685" spans="1:8">
      <c r="A685" s="264"/>
      <c r="B685" s="264"/>
      <c r="C685" s="264"/>
      <c r="D685" s="264"/>
      <c r="E685" s="264"/>
      <c r="F685" s="264"/>
      <c r="G685" s="264"/>
      <c r="H685" s="264"/>
    </row>
    <row r="686" spans="1:8">
      <c r="A686" s="264"/>
      <c r="B686" s="264"/>
      <c r="C686" s="264"/>
      <c r="D686" s="264"/>
      <c r="E686" s="264"/>
      <c r="F686" s="264"/>
      <c r="G686" s="264"/>
      <c r="H686" s="264"/>
    </row>
    <row r="687" spans="1:8">
      <c r="A687" s="264"/>
      <c r="B687" s="264"/>
      <c r="C687" s="264"/>
      <c r="D687" s="264"/>
      <c r="E687" s="264"/>
      <c r="F687" s="264"/>
      <c r="G687" s="264"/>
      <c r="H687" s="264"/>
    </row>
    <row r="688" spans="1:8">
      <c r="A688" s="264"/>
      <c r="B688" s="264"/>
      <c r="C688" s="264"/>
      <c r="D688" s="264"/>
      <c r="E688" s="264"/>
      <c r="F688" s="264"/>
      <c r="G688" s="264"/>
      <c r="H688" s="264"/>
    </row>
    <row r="689" spans="1:8">
      <c r="A689" s="264"/>
      <c r="B689" s="264"/>
      <c r="C689" s="264"/>
      <c r="D689" s="264"/>
      <c r="E689" s="264"/>
      <c r="F689" s="264"/>
      <c r="G689" s="264"/>
      <c r="H689" s="264"/>
    </row>
    <row r="690" spans="1:8">
      <c r="A690" s="264"/>
      <c r="B690" s="264"/>
      <c r="C690" s="264"/>
      <c r="D690" s="264"/>
      <c r="E690" s="264"/>
      <c r="F690" s="264"/>
      <c r="G690" s="264"/>
      <c r="H690" s="264"/>
    </row>
    <row r="691" spans="1:8">
      <c r="A691" s="264"/>
      <c r="B691" s="264"/>
      <c r="C691" s="264"/>
      <c r="D691" s="264"/>
      <c r="E691" s="264"/>
      <c r="F691" s="264"/>
      <c r="G691" s="264"/>
      <c r="H691" s="264"/>
    </row>
    <row r="692" spans="1:8">
      <c r="A692" s="264"/>
      <c r="B692" s="264"/>
      <c r="C692" s="264"/>
      <c r="D692" s="264"/>
      <c r="E692" s="264"/>
      <c r="F692" s="264"/>
      <c r="G692" s="264"/>
      <c r="H692" s="264"/>
    </row>
    <row r="693" spans="1:8">
      <c r="A693" s="264"/>
      <c r="B693" s="264"/>
      <c r="C693" s="264"/>
      <c r="D693" s="264"/>
      <c r="E693" s="264"/>
      <c r="F693" s="264"/>
      <c r="G693" s="264"/>
      <c r="H693" s="264"/>
    </row>
    <row r="694" spans="1:8">
      <c r="A694" s="264"/>
      <c r="B694" s="264"/>
      <c r="C694" s="264"/>
      <c r="D694" s="264"/>
      <c r="E694" s="264"/>
      <c r="F694" s="264"/>
      <c r="G694" s="264"/>
      <c r="H694" s="264"/>
    </row>
    <row r="695" spans="1:8">
      <c r="A695" s="264"/>
      <c r="B695" s="264"/>
      <c r="C695" s="264"/>
      <c r="D695" s="264"/>
      <c r="E695" s="264"/>
      <c r="F695" s="264"/>
      <c r="G695" s="264"/>
      <c r="H695" s="264"/>
    </row>
    <row r="696" spans="1:8">
      <c r="A696" s="264"/>
      <c r="B696" s="264"/>
      <c r="C696" s="264"/>
      <c r="D696" s="264"/>
      <c r="E696" s="264"/>
      <c r="F696" s="264"/>
      <c r="G696" s="264"/>
      <c r="H696" s="264"/>
    </row>
    <row r="697" spans="1:8">
      <c r="A697" s="264"/>
      <c r="B697" s="264"/>
      <c r="C697" s="264"/>
      <c r="D697" s="264"/>
      <c r="E697" s="264"/>
      <c r="F697" s="264"/>
      <c r="G697" s="264"/>
      <c r="H697" s="264"/>
    </row>
    <row r="698" spans="1:8">
      <c r="A698" s="264"/>
      <c r="B698" s="264"/>
      <c r="C698" s="264"/>
      <c r="D698" s="264"/>
      <c r="E698" s="264"/>
      <c r="F698" s="264"/>
      <c r="G698" s="264"/>
      <c r="H698" s="264"/>
    </row>
    <row r="699" spans="1:8">
      <c r="A699" s="264"/>
      <c r="B699" s="264"/>
      <c r="C699" s="264"/>
      <c r="D699" s="264"/>
      <c r="E699" s="264"/>
      <c r="F699" s="264"/>
      <c r="G699" s="264"/>
      <c r="H699" s="264"/>
    </row>
    <row r="700" spans="1:8">
      <c r="A700" s="264"/>
      <c r="B700" s="264"/>
      <c r="C700" s="264"/>
      <c r="D700" s="264"/>
      <c r="E700" s="264"/>
      <c r="F700" s="264"/>
      <c r="G700" s="264"/>
      <c r="H700" s="264"/>
    </row>
    <row r="701" spans="1:8">
      <c r="A701" s="264"/>
      <c r="B701" s="264"/>
      <c r="C701" s="264"/>
      <c r="D701" s="264"/>
      <c r="E701" s="264"/>
      <c r="F701" s="264"/>
      <c r="G701" s="264"/>
      <c r="H701" s="264"/>
    </row>
    <row r="702" spans="1:8">
      <c r="A702" s="264"/>
      <c r="B702" s="264"/>
      <c r="C702" s="264"/>
      <c r="D702" s="264"/>
      <c r="E702" s="264"/>
      <c r="F702" s="264"/>
      <c r="G702" s="264"/>
      <c r="H702" s="264"/>
    </row>
    <row r="703" spans="1:8">
      <c r="A703" s="264"/>
      <c r="B703" s="264"/>
      <c r="C703" s="264"/>
      <c r="D703" s="264"/>
      <c r="E703" s="264"/>
      <c r="F703" s="264"/>
      <c r="G703" s="264"/>
      <c r="H703" s="264"/>
    </row>
    <row r="704" spans="1:8">
      <c r="A704" s="264"/>
      <c r="B704" s="264"/>
      <c r="C704" s="264"/>
      <c r="D704" s="264"/>
      <c r="E704" s="264"/>
      <c r="F704" s="264"/>
      <c r="G704" s="264"/>
      <c r="H704" s="264"/>
    </row>
    <row r="705" spans="1:8">
      <c r="A705" s="264"/>
      <c r="B705" s="264"/>
      <c r="C705" s="264"/>
      <c r="D705" s="264"/>
      <c r="E705" s="264"/>
      <c r="F705" s="264"/>
      <c r="G705" s="264"/>
      <c r="H705" s="264"/>
    </row>
    <row r="706" spans="1:8">
      <c r="A706" s="264"/>
      <c r="B706" s="264"/>
      <c r="C706" s="264"/>
      <c r="D706" s="264"/>
      <c r="E706" s="264"/>
      <c r="F706" s="264"/>
      <c r="G706" s="264"/>
      <c r="H706" s="264"/>
    </row>
    <row r="707" spans="1:8">
      <c r="A707" s="264"/>
      <c r="B707" s="264"/>
      <c r="C707" s="264"/>
      <c r="D707" s="264"/>
      <c r="E707" s="264"/>
      <c r="F707" s="264"/>
      <c r="G707" s="264"/>
      <c r="H707" s="264"/>
    </row>
    <row r="708" spans="1:8">
      <c r="A708" s="264"/>
      <c r="B708" s="264"/>
      <c r="C708" s="264"/>
      <c r="D708" s="264"/>
      <c r="E708" s="264"/>
      <c r="F708" s="264"/>
      <c r="G708" s="264"/>
      <c r="H708" s="264"/>
    </row>
    <row r="709" spans="1:8">
      <c r="A709" s="264"/>
      <c r="B709" s="264"/>
      <c r="C709" s="264"/>
      <c r="D709" s="264"/>
      <c r="E709" s="264"/>
      <c r="F709" s="264"/>
      <c r="G709" s="264"/>
      <c r="H709" s="264"/>
    </row>
    <row r="710" spans="1:8">
      <c r="A710" s="264"/>
      <c r="B710" s="264"/>
      <c r="C710" s="264"/>
      <c r="D710" s="264"/>
      <c r="E710" s="264"/>
      <c r="F710" s="264"/>
      <c r="G710" s="264"/>
      <c r="H710" s="264"/>
    </row>
    <row r="711" spans="1:8">
      <c r="A711" s="264"/>
      <c r="B711" s="264"/>
      <c r="C711" s="264"/>
      <c r="D711" s="264"/>
      <c r="E711" s="264"/>
      <c r="F711" s="264"/>
      <c r="G711" s="264"/>
      <c r="H711" s="264"/>
    </row>
    <row r="712" spans="1:8">
      <c r="A712" s="264"/>
      <c r="B712" s="264"/>
      <c r="C712" s="264"/>
      <c r="D712" s="264"/>
      <c r="E712" s="264"/>
      <c r="F712" s="264"/>
      <c r="G712" s="264"/>
      <c r="H712" s="264"/>
    </row>
    <row r="713" spans="1:8">
      <c r="A713" s="264"/>
      <c r="B713" s="264"/>
      <c r="C713" s="264"/>
      <c r="D713" s="264"/>
      <c r="E713" s="264"/>
      <c r="F713" s="264"/>
      <c r="G713" s="264"/>
      <c r="H713" s="264"/>
    </row>
    <row r="714" spans="1:8">
      <c r="A714" s="264"/>
      <c r="B714" s="264"/>
      <c r="C714" s="264"/>
      <c r="D714" s="264"/>
      <c r="E714" s="264"/>
      <c r="F714" s="264"/>
      <c r="G714" s="264"/>
      <c r="H714" s="264"/>
    </row>
    <row r="715" spans="1:8">
      <c r="A715" s="264"/>
      <c r="B715" s="264"/>
      <c r="C715" s="264"/>
      <c r="D715" s="264"/>
      <c r="E715" s="264"/>
      <c r="F715" s="264"/>
      <c r="G715" s="264"/>
      <c r="H715" s="264"/>
    </row>
    <row r="716" spans="1:8">
      <c r="A716" s="264"/>
      <c r="B716" s="264"/>
      <c r="C716" s="264"/>
      <c r="D716" s="264"/>
      <c r="E716" s="264"/>
      <c r="F716" s="264"/>
      <c r="G716" s="264"/>
      <c r="H716" s="264"/>
    </row>
    <row r="717" spans="1:8">
      <c r="A717" s="264"/>
      <c r="B717" s="264"/>
      <c r="C717" s="264"/>
      <c r="D717" s="264"/>
      <c r="E717" s="264"/>
      <c r="F717" s="264"/>
      <c r="G717" s="264"/>
      <c r="H717" s="264"/>
    </row>
    <row r="718" spans="1:8">
      <c r="A718" s="264"/>
      <c r="B718" s="264"/>
      <c r="C718" s="264"/>
      <c r="D718" s="264"/>
      <c r="E718" s="264"/>
      <c r="F718" s="264"/>
      <c r="G718" s="264"/>
      <c r="H718" s="264"/>
    </row>
    <row r="719" spans="1:8">
      <c r="A719" s="264"/>
      <c r="B719" s="264"/>
      <c r="C719" s="264"/>
      <c r="D719" s="264"/>
      <c r="E719" s="264"/>
      <c r="F719" s="264"/>
      <c r="G719" s="264"/>
      <c r="H719" s="264"/>
    </row>
    <row r="720" spans="1:8">
      <c r="A720" s="264"/>
      <c r="B720" s="264"/>
      <c r="C720" s="264"/>
      <c r="D720" s="264"/>
      <c r="E720" s="264"/>
      <c r="F720" s="264"/>
      <c r="G720" s="264"/>
      <c r="H720" s="264"/>
    </row>
    <row r="721" spans="1:8">
      <c r="A721" s="264"/>
      <c r="B721" s="264"/>
      <c r="C721" s="264"/>
      <c r="D721" s="264"/>
      <c r="E721" s="264"/>
      <c r="F721" s="264"/>
      <c r="G721" s="264"/>
      <c r="H721" s="264"/>
    </row>
    <row r="722" spans="1:8">
      <c r="A722" s="264"/>
      <c r="B722" s="264"/>
      <c r="C722" s="264"/>
      <c r="D722" s="264"/>
      <c r="E722" s="264"/>
      <c r="F722" s="264"/>
      <c r="G722" s="264"/>
      <c r="H722" s="264"/>
    </row>
    <row r="723" spans="1:8">
      <c r="A723" s="264"/>
      <c r="B723" s="264"/>
      <c r="C723" s="264"/>
      <c r="D723" s="264"/>
      <c r="E723" s="264"/>
      <c r="F723" s="264"/>
      <c r="G723" s="264"/>
      <c r="H723" s="264"/>
    </row>
    <row r="724" spans="1:8">
      <c r="A724" s="264"/>
      <c r="B724" s="264"/>
      <c r="C724" s="264"/>
      <c r="D724" s="264"/>
      <c r="E724" s="264"/>
      <c r="F724" s="264"/>
      <c r="G724" s="264"/>
      <c r="H724" s="264"/>
    </row>
    <row r="725" spans="1:8">
      <c r="A725" s="264"/>
      <c r="B725" s="264"/>
      <c r="C725" s="264"/>
      <c r="D725" s="264"/>
      <c r="E725" s="264"/>
      <c r="F725" s="264"/>
      <c r="G725" s="264"/>
      <c r="H725" s="264"/>
    </row>
    <row r="726" spans="1:8">
      <c r="A726" s="264"/>
      <c r="B726" s="264"/>
      <c r="C726" s="264"/>
      <c r="D726" s="264"/>
      <c r="E726" s="264"/>
      <c r="F726" s="264"/>
      <c r="G726" s="264"/>
      <c r="H726" s="264"/>
    </row>
    <row r="727" spans="1:8">
      <c r="A727" s="264"/>
      <c r="B727" s="264"/>
      <c r="C727" s="264"/>
      <c r="D727" s="264"/>
      <c r="E727" s="264"/>
      <c r="F727" s="264"/>
      <c r="G727" s="264"/>
      <c r="H727" s="264"/>
    </row>
    <row r="728" spans="1:8">
      <c r="A728" s="264"/>
      <c r="B728" s="264"/>
      <c r="C728" s="264"/>
      <c r="D728" s="264"/>
      <c r="E728" s="264"/>
      <c r="F728" s="264"/>
      <c r="G728" s="264"/>
      <c r="H728" s="264"/>
    </row>
    <row r="729" spans="1:8">
      <c r="A729" s="264"/>
      <c r="B729" s="264"/>
      <c r="C729" s="264"/>
      <c r="D729" s="264"/>
      <c r="E729" s="264"/>
      <c r="F729" s="264"/>
      <c r="G729" s="264"/>
      <c r="H729" s="264"/>
    </row>
    <row r="730" spans="1:8">
      <c r="A730" s="264"/>
      <c r="B730" s="264"/>
      <c r="C730" s="264"/>
      <c r="D730" s="264"/>
      <c r="E730" s="264"/>
      <c r="F730" s="264"/>
      <c r="G730" s="264"/>
      <c r="H730" s="264"/>
    </row>
    <row r="731" spans="1:8">
      <c r="A731" s="264"/>
      <c r="B731" s="264"/>
      <c r="C731" s="264"/>
      <c r="D731" s="264"/>
      <c r="E731" s="264"/>
      <c r="F731" s="264"/>
      <c r="G731" s="264"/>
      <c r="H731" s="264"/>
    </row>
    <row r="732" spans="1:8">
      <c r="A732" s="264"/>
      <c r="B732" s="264"/>
      <c r="C732" s="264"/>
      <c r="D732" s="264"/>
      <c r="E732" s="264"/>
      <c r="F732" s="264"/>
      <c r="G732" s="264"/>
      <c r="H732" s="264"/>
    </row>
    <row r="733" spans="1:8">
      <c r="A733" s="264"/>
      <c r="B733" s="264"/>
      <c r="C733" s="264"/>
      <c r="D733" s="264"/>
      <c r="E733" s="264"/>
      <c r="F733" s="264"/>
      <c r="G733" s="264"/>
      <c r="H733" s="264"/>
    </row>
    <row r="734" spans="1:8">
      <c r="A734" s="264"/>
      <c r="B734" s="264"/>
      <c r="C734" s="264"/>
      <c r="D734" s="264"/>
      <c r="E734" s="264"/>
      <c r="F734" s="264"/>
      <c r="G734" s="264"/>
      <c r="H734" s="264"/>
    </row>
    <row r="735" spans="1:8">
      <c r="A735" s="264"/>
      <c r="B735" s="264"/>
      <c r="C735" s="264"/>
      <c r="D735" s="264"/>
      <c r="E735" s="264"/>
      <c r="F735" s="264"/>
      <c r="G735" s="264"/>
      <c r="H735" s="264"/>
    </row>
    <row r="736" spans="1:8">
      <c r="A736" s="264"/>
      <c r="B736" s="264"/>
      <c r="C736" s="264"/>
      <c r="D736" s="264"/>
      <c r="E736" s="264"/>
      <c r="F736" s="264"/>
      <c r="G736" s="264"/>
      <c r="H736" s="264"/>
    </row>
    <row r="737" spans="1:8">
      <c r="A737" s="264"/>
      <c r="B737" s="264"/>
      <c r="C737" s="264"/>
      <c r="D737" s="264"/>
      <c r="E737" s="264"/>
      <c r="F737" s="264"/>
      <c r="G737" s="264"/>
      <c r="H737" s="264"/>
    </row>
    <row r="738" spans="1:8">
      <c r="A738" s="264"/>
      <c r="B738" s="264"/>
      <c r="C738" s="264"/>
      <c r="D738" s="264"/>
      <c r="E738" s="264"/>
      <c r="F738" s="264"/>
      <c r="G738" s="264"/>
      <c r="H738" s="264"/>
    </row>
    <row r="739" spans="1:8">
      <c r="A739" s="264"/>
      <c r="B739" s="264"/>
      <c r="C739" s="264"/>
      <c r="D739" s="264"/>
      <c r="E739" s="264"/>
      <c r="F739" s="264"/>
      <c r="G739" s="264"/>
      <c r="H739" s="264"/>
    </row>
    <row r="740" spans="1:8">
      <c r="A740" s="264"/>
      <c r="B740" s="264"/>
      <c r="C740" s="264"/>
      <c r="D740" s="264"/>
      <c r="E740" s="264"/>
      <c r="F740" s="264"/>
      <c r="G740" s="264"/>
      <c r="H740" s="264"/>
    </row>
    <row r="741" spans="1:8">
      <c r="A741" s="264"/>
      <c r="B741" s="264"/>
      <c r="C741" s="264"/>
      <c r="D741" s="264"/>
      <c r="E741" s="264"/>
      <c r="F741" s="264"/>
      <c r="G741" s="264"/>
      <c r="H741" s="264"/>
    </row>
    <row r="742" spans="1:8">
      <c r="A742" s="264"/>
      <c r="B742" s="264"/>
      <c r="C742" s="264"/>
      <c r="D742" s="264"/>
      <c r="E742" s="264"/>
      <c r="F742" s="264"/>
      <c r="G742" s="264"/>
      <c r="H742" s="264"/>
    </row>
    <row r="743" spans="1:8">
      <c r="A743" s="264"/>
      <c r="B743" s="264"/>
      <c r="C743" s="264"/>
      <c r="D743" s="264"/>
      <c r="E743" s="264"/>
      <c r="F743" s="264"/>
      <c r="G743" s="264"/>
      <c r="H743" s="264"/>
    </row>
    <row r="744" spans="1:8">
      <c r="A744" s="264"/>
      <c r="B744" s="264"/>
      <c r="C744" s="264"/>
      <c r="D744" s="264"/>
      <c r="E744" s="264"/>
      <c r="F744" s="264"/>
      <c r="G744" s="264"/>
      <c r="H744" s="264"/>
    </row>
    <row r="745" spans="1:8">
      <c r="A745" s="264"/>
      <c r="B745" s="264"/>
      <c r="C745" s="264"/>
      <c r="D745" s="264"/>
      <c r="E745" s="264"/>
      <c r="F745" s="264"/>
      <c r="G745" s="264"/>
      <c r="H745" s="264"/>
    </row>
    <row r="746" spans="1:8">
      <c r="A746" s="264"/>
      <c r="B746" s="264"/>
      <c r="C746" s="264"/>
      <c r="D746" s="264"/>
      <c r="E746" s="264"/>
      <c r="F746" s="264"/>
      <c r="G746" s="264"/>
      <c r="H746" s="264"/>
    </row>
    <row r="747" spans="1:8">
      <c r="A747" s="264"/>
      <c r="B747" s="264"/>
      <c r="C747" s="264"/>
      <c r="D747" s="264"/>
      <c r="E747" s="264"/>
      <c r="F747" s="264"/>
      <c r="G747" s="264"/>
      <c r="H747" s="264"/>
    </row>
    <row r="748" spans="1:8">
      <c r="A748" s="264"/>
      <c r="B748" s="264"/>
      <c r="C748" s="264"/>
      <c r="D748" s="264"/>
      <c r="E748" s="264"/>
      <c r="F748" s="264"/>
      <c r="G748" s="264"/>
      <c r="H748" s="264"/>
    </row>
    <row r="749" spans="1:8">
      <c r="A749" s="264"/>
      <c r="B749" s="264"/>
      <c r="C749" s="264"/>
      <c r="D749" s="264"/>
      <c r="E749" s="264"/>
      <c r="F749" s="264"/>
      <c r="G749" s="264"/>
      <c r="H749" s="264"/>
    </row>
    <row r="750" spans="1:8">
      <c r="A750" s="264"/>
      <c r="B750" s="264"/>
      <c r="C750" s="264"/>
      <c r="D750" s="264"/>
      <c r="E750" s="264"/>
      <c r="F750" s="264"/>
      <c r="G750" s="264"/>
      <c r="H750" s="264"/>
    </row>
    <row r="751" spans="1:8">
      <c r="A751" s="264"/>
      <c r="B751" s="264"/>
      <c r="C751" s="264"/>
      <c r="D751" s="264"/>
      <c r="E751" s="264"/>
      <c r="F751" s="264"/>
      <c r="G751" s="264"/>
      <c r="H751" s="264"/>
    </row>
    <row r="752" spans="1:8">
      <c r="A752" s="264"/>
      <c r="B752" s="264"/>
      <c r="C752" s="264"/>
      <c r="D752" s="264"/>
      <c r="E752" s="264"/>
      <c r="F752" s="264"/>
      <c r="G752" s="264"/>
      <c r="H752" s="264"/>
    </row>
    <row r="753" spans="1:8">
      <c r="A753" s="264"/>
      <c r="B753" s="264"/>
      <c r="C753" s="264"/>
      <c r="D753" s="264"/>
      <c r="E753" s="264"/>
      <c r="F753" s="264"/>
      <c r="G753" s="264"/>
      <c r="H753" s="264"/>
    </row>
    <row r="754" spans="1:8">
      <c r="A754" s="264"/>
      <c r="B754" s="264"/>
      <c r="C754" s="264"/>
      <c r="D754" s="264"/>
      <c r="E754" s="264"/>
      <c r="F754" s="264"/>
      <c r="G754" s="264"/>
      <c r="H754" s="264"/>
    </row>
    <row r="755" spans="1:8">
      <c r="A755" s="264"/>
      <c r="B755" s="264"/>
      <c r="C755" s="264"/>
      <c r="D755" s="264"/>
      <c r="E755" s="264"/>
      <c r="F755" s="264"/>
      <c r="G755" s="264"/>
      <c r="H755" s="264"/>
    </row>
    <row r="756" spans="1:8">
      <c r="A756" s="264"/>
      <c r="B756" s="264"/>
      <c r="C756" s="264"/>
      <c r="D756" s="264"/>
      <c r="E756" s="264"/>
      <c r="F756" s="264"/>
      <c r="G756" s="264"/>
      <c r="H756" s="264"/>
    </row>
    <row r="757" spans="1:8">
      <c r="A757" s="264"/>
      <c r="B757" s="264"/>
      <c r="C757" s="264"/>
      <c r="D757" s="264"/>
      <c r="E757" s="264"/>
      <c r="F757" s="264"/>
      <c r="G757" s="264"/>
      <c r="H757" s="264"/>
    </row>
    <row r="758" spans="1:8">
      <c r="A758" s="264"/>
      <c r="B758" s="264"/>
      <c r="C758" s="264"/>
      <c r="D758" s="264"/>
      <c r="E758" s="264"/>
      <c r="F758" s="264"/>
      <c r="G758" s="264"/>
      <c r="H758" s="264"/>
    </row>
    <row r="759" spans="1:8">
      <c r="A759" s="264"/>
      <c r="B759" s="264"/>
      <c r="C759" s="264"/>
      <c r="D759" s="264"/>
      <c r="E759" s="264"/>
      <c r="F759" s="264"/>
      <c r="G759" s="264"/>
      <c r="H759" s="264"/>
    </row>
    <row r="760" spans="1:8">
      <c r="A760" s="264"/>
      <c r="B760" s="264"/>
      <c r="C760" s="264"/>
      <c r="D760" s="264"/>
      <c r="E760" s="264"/>
      <c r="F760" s="264"/>
      <c r="G760" s="264"/>
      <c r="H760" s="264"/>
    </row>
    <row r="761" spans="1:8">
      <c r="A761" s="264"/>
      <c r="B761" s="264"/>
      <c r="C761" s="264"/>
      <c r="D761" s="264"/>
      <c r="E761" s="264"/>
      <c r="F761" s="264"/>
      <c r="G761" s="264"/>
      <c r="H761" s="264"/>
    </row>
    <row r="762" spans="1:8">
      <c r="A762" s="264"/>
      <c r="B762" s="264"/>
      <c r="C762" s="264"/>
      <c r="D762" s="264"/>
      <c r="E762" s="264"/>
      <c r="F762" s="264"/>
      <c r="G762" s="264"/>
      <c r="H762" s="264"/>
    </row>
    <row r="763" spans="1:8">
      <c r="A763" s="264"/>
      <c r="B763" s="264"/>
      <c r="C763" s="264"/>
      <c r="D763" s="264"/>
      <c r="E763" s="264"/>
      <c r="F763" s="264"/>
      <c r="G763" s="264"/>
      <c r="H763" s="264"/>
    </row>
    <row r="764" spans="1:8">
      <c r="A764" s="264"/>
      <c r="B764" s="264"/>
      <c r="C764" s="264"/>
      <c r="D764" s="264"/>
      <c r="E764" s="264"/>
      <c r="F764" s="264"/>
      <c r="G764" s="264"/>
      <c r="H764" s="264"/>
    </row>
    <row r="765" spans="1:8">
      <c r="A765" s="264"/>
      <c r="B765" s="264"/>
      <c r="C765" s="264"/>
      <c r="D765" s="264"/>
      <c r="E765" s="264"/>
      <c r="F765" s="264"/>
      <c r="G765" s="264"/>
      <c r="H765" s="264"/>
    </row>
    <row r="766" spans="1:8">
      <c r="A766" s="264"/>
      <c r="B766" s="264"/>
      <c r="C766" s="264"/>
      <c r="D766" s="264"/>
      <c r="E766" s="264"/>
      <c r="F766" s="264"/>
      <c r="G766" s="264"/>
      <c r="H766" s="264"/>
    </row>
    <row r="767" spans="1:8">
      <c r="A767" s="264"/>
      <c r="B767" s="264"/>
      <c r="C767" s="264"/>
      <c r="D767" s="264"/>
      <c r="E767" s="264"/>
      <c r="F767" s="264"/>
      <c r="G767" s="264"/>
      <c r="H767" s="264"/>
    </row>
    <row r="768" spans="1:8">
      <c r="A768" s="264"/>
      <c r="B768" s="264"/>
      <c r="C768" s="264"/>
      <c r="D768" s="264"/>
      <c r="E768" s="264"/>
      <c r="F768" s="264"/>
      <c r="G768" s="264"/>
      <c r="H768" s="264"/>
    </row>
    <row r="769" spans="1:8">
      <c r="A769" s="264"/>
      <c r="B769" s="264"/>
      <c r="C769" s="264"/>
      <c r="D769" s="264"/>
      <c r="E769" s="264"/>
      <c r="F769" s="264"/>
      <c r="G769" s="264"/>
      <c r="H769" s="264"/>
    </row>
    <row r="770" spans="1:8">
      <c r="A770" s="264"/>
      <c r="B770" s="264"/>
      <c r="C770" s="264"/>
      <c r="D770" s="264"/>
      <c r="E770" s="264"/>
      <c r="F770" s="264"/>
      <c r="G770" s="264"/>
      <c r="H770" s="264"/>
    </row>
    <row r="771" spans="1:8">
      <c r="A771" s="264"/>
      <c r="B771" s="264"/>
      <c r="C771" s="264"/>
      <c r="D771" s="264"/>
      <c r="E771" s="264"/>
      <c r="F771" s="264"/>
      <c r="G771" s="264"/>
      <c r="H771" s="264"/>
    </row>
    <row r="772" spans="1:8">
      <c r="A772" s="264"/>
      <c r="B772" s="264"/>
      <c r="C772" s="264"/>
      <c r="D772" s="264"/>
      <c r="E772" s="264"/>
      <c r="F772" s="264"/>
      <c r="G772" s="264"/>
      <c r="H772" s="264"/>
    </row>
    <row r="773" spans="1:8">
      <c r="A773" s="264"/>
      <c r="B773" s="264"/>
      <c r="C773" s="264"/>
      <c r="D773" s="264"/>
      <c r="E773" s="264"/>
      <c r="F773" s="264"/>
      <c r="G773" s="264"/>
      <c r="H773" s="264"/>
    </row>
    <row r="774" spans="1:8">
      <c r="A774" s="264"/>
      <c r="B774" s="264"/>
      <c r="C774" s="264"/>
      <c r="D774" s="264"/>
      <c r="E774" s="264"/>
      <c r="F774" s="264"/>
      <c r="G774" s="264"/>
      <c r="H774" s="264"/>
    </row>
    <row r="775" spans="1:8">
      <c r="A775" s="264"/>
      <c r="B775" s="264"/>
      <c r="C775" s="264"/>
      <c r="D775" s="264"/>
      <c r="E775" s="264"/>
      <c r="F775" s="264"/>
      <c r="G775" s="264"/>
      <c r="H775" s="264"/>
    </row>
    <row r="776" spans="1:8">
      <c r="A776" s="264"/>
      <c r="B776" s="264"/>
      <c r="C776" s="264"/>
      <c r="D776" s="264"/>
      <c r="E776" s="264"/>
      <c r="F776" s="264"/>
      <c r="G776" s="264"/>
      <c r="H776" s="264"/>
    </row>
    <row r="777" spans="1:8">
      <c r="A777" s="264"/>
      <c r="B777" s="264"/>
      <c r="C777" s="264"/>
      <c r="D777" s="264"/>
      <c r="E777" s="264"/>
      <c r="F777" s="264"/>
      <c r="G777" s="264"/>
      <c r="H777" s="264"/>
    </row>
    <row r="778" spans="1:8">
      <c r="A778" s="264"/>
      <c r="B778" s="264"/>
      <c r="C778" s="264"/>
      <c r="D778" s="264"/>
      <c r="E778" s="264"/>
      <c r="F778" s="264"/>
      <c r="G778" s="264"/>
      <c r="H778" s="264"/>
    </row>
    <row r="779" spans="1:8">
      <c r="A779" s="264"/>
      <c r="B779" s="264"/>
      <c r="C779" s="264"/>
      <c r="D779" s="264"/>
      <c r="E779" s="264"/>
      <c r="F779" s="264"/>
      <c r="G779" s="264"/>
      <c r="H779" s="264"/>
    </row>
    <row r="780" spans="1:8">
      <c r="A780" s="264"/>
      <c r="B780" s="264"/>
      <c r="C780" s="264"/>
      <c r="D780" s="264"/>
      <c r="E780" s="264"/>
      <c r="F780" s="264"/>
      <c r="G780" s="264"/>
      <c r="H780" s="264"/>
    </row>
    <row r="781" spans="1:8">
      <c r="A781" s="264"/>
      <c r="B781" s="264"/>
      <c r="C781" s="264"/>
      <c r="D781" s="264"/>
      <c r="E781" s="264"/>
      <c r="F781" s="264"/>
      <c r="G781" s="264"/>
      <c r="H781" s="264"/>
    </row>
    <row r="782" spans="1:8">
      <c r="A782" s="264"/>
      <c r="B782" s="264"/>
      <c r="C782" s="264"/>
      <c r="D782" s="264"/>
      <c r="E782" s="264"/>
      <c r="F782" s="264"/>
      <c r="G782" s="264"/>
      <c r="H782" s="264"/>
    </row>
    <row r="783" spans="1:8">
      <c r="A783" s="264"/>
      <c r="B783" s="264"/>
      <c r="C783" s="264"/>
      <c r="D783" s="264"/>
      <c r="E783" s="264"/>
      <c r="F783" s="264"/>
      <c r="G783" s="264"/>
      <c r="H783" s="264"/>
    </row>
    <row r="784" spans="1:8">
      <c r="A784" s="264"/>
      <c r="B784" s="264"/>
      <c r="C784" s="264"/>
      <c r="D784" s="264"/>
      <c r="E784" s="264"/>
      <c r="F784" s="264"/>
      <c r="G784" s="264"/>
      <c r="H784" s="264"/>
    </row>
    <row r="785" spans="1:8">
      <c r="A785" s="264"/>
      <c r="B785" s="264"/>
      <c r="C785" s="264"/>
      <c r="D785" s="264"/>
      <c r="E785" s="264"/>
      <c r="F785" s="264"/>
      <c r="G785" s="264"/>
      <c r="H785" s="264"/>
    </row>
    <row r="786" spans="1:8">
      <c r="A786" s="264"/>
      <c r="B786" s="264"/>
      <c r="C786" s="264"/>
      <c r="D786" s="264"/>
      <c r="E786" s="264"/>
      <c r="F786" s="264"/>
      <c r="G786" s="264"/>
      <c r="H786" s="264"/>
    </row>
    <row r="787" spans="1:8">
      <c r="A787" s="264"/>
      <c r="B787" s="264"/>
      <c r="C787" s="264"/>
      <c r="D787" s="264"/>
      <c r="E787" s="264"/>
      <c r="F787" s="264"/>
      <c r="G787" s="264"/>
      <c r="H787" s="264"/>
    </row>
    <row r="788" spans="1:8">
      <c r="A788" s="264"/>
      <c r="B788" s="264"/>
      <c r="C788" s="264"/>
      <c r="D788" s="264"/>
      <c r="E788" s="264"/>
      <c r="F788" s="264"/>
      <c r="G788" s="264"/>
      <c r="H788" s="264"/>
    </row>
    <row r="789" spans="1:8">
      <c r="A789" s="264"/>
      <c r="B789" s="264"/>
      <c r="C789" s="264"/>
      <c r="D789" s="264"/>
      <c r="E789" s="264"/>
      <c r="F789" s="264"/>
      <c r="G789" s="264"/>
      <c r="H789" s="264"/>
    </row>
    <row r="790" spans="1:8">
      <c r="A790" s="264"/>
      <c r="B790" s="264"/>
      <c r="C790" s="264"/>
      <c r="D790" s="264"/>
      <c r="E790" s="264"/>
      <c r="F790" s="264"/>
      <c r="G790" s="264"/>
      <c r="H790" s="264"/>
    </row>
    <row r="791" spans="1:8">
      <c r="A791" s="264"/>
      <c r="B791" s="264"/>
      <c r="C791" s="264"/>
      <c r="D791" s="264"/>
      <c r="E791" s="264"/>
      <c r="F791" s="264"/>
      <c r="G791" s="264"/>
      <c r="H791" s="264"/>
    </row>
    <row r="792" spans="1:8">
      <c r="A792" s="264"/>
      <c r="B792" s="264"/>
      <c r="C792" s="264"/>
      <c r="D792" s="264"/>
      <c r="E792" s="264"/>
      <c r="F792" s="264"/>
      <c r="G792" s="264"/>
      <c r="H792" s="264"/>
    </row>
    <row r="793" spans="1:8">
      <c r="A793" s="264"/>
      <c r="B793" s="264"/>
      <c r="C793" s="264"/>
      <c r="D793" s="264"/>
      <c r="E793" s="264"/>
      <c r="F793" s="264"/>
      <c r="G793" s="264"/>
      <c r="H793" s="264"/>
    </row>
    <row r="794" spans="1:8">
      <c r="A794" s="264"/>
      <c r="B794" s="264"/>
      <c r="C794" s="264"/>
      <c r="D794" s="264"/>
      <c r="E794" s="264"/>
      <c r="F794" s="264"/>
      <c r="G794" s="264"/>
      <c r="H794" s="264"/>
    </row>
    <row r="795" spans="1:8">
      <c r="A795" s="264"/>
      <c r="B795" s="264"/>
      <c r="C795" s="264"/>
      <c r="D795" s="264"/>
      <c r="E795" s="264"/>
      <c r="F795" s="264"/>
      <c r="G795" s="264"/>
      <c r="H795" s="264"/>
    </row>
    <row r="796" spans="1:8">
      <c r="A796" s="264"/>
      <c r="B796" s="264"/>
      <c r="C796" s="264"/>
      <c r="D796" s="264"/>
      <c r="E796" s="264"/>
      <c r="F796" s="264"/>
      <c r="G796" s="264"/>
      <c r="H796" s="264"/>
    </row>
    <row r="797" spans="1:8">
      <c r="A797" s="264"/>
      <c r="B797" s="264"/>
      <c r="C797" s="264"/>
      <c r="D797" s="264"/>
      <c r="E797" s="264"/>
      <c r="F797" s="264"/>
      <c r="G797" s="264"/>
      <c r="H797" s="264"/>
    </row>
    <row r="798" spans="1:8">
      <c r="A798" s="264"/>
      <c r="B798" s="264"/>
      <c r="C798" s="264"/>
      <c r="D798" s="264"/>
      <c r="E798" s="264"/>
      <c r="F798" s="264"/>
      <c r="G798" s="264"/>
      <c r="H798" s="264"/>
    </row>
    <row r="799" spans="1:8">
      <c r="A799" s="264"/>
      <c r="B799" s="264"/>
      <c r="C799" s="264"/>
      <c r="D799" s="264"/>
      <c r="E799" s="264"/>
      <c r="F799" s="264"/>
      <c r="G799" s="264"/>
      <c r="H799" s="264"/>
    </row>
    <row r="800" spans="1:8">
      <c r="A800" s="264"/>
      <c r="B800" s="264"/>
      <c r="C800" s="264"/>
      <c r="D800" s="264"/>
      <c r="E800" s="264"/>
      <c r="F800" s="264"/>
      <c r="G800" s="264"/>
      <c r="H800" s="264"/>
    </row>
    <row r="801" spans="1:8">
      <c r="A801" s="264"/>
      <c r="B801" s="264"/>
      <c r="C801" s="264"/>
      <c r="D801" s="264"/>
      <c r="E801" s="264"/>
      <c r="F801" s="264"/>
      <c r="G801" s="264"/>
      <c r="H801" s="264"/>
    </row>
    <row r="802" spans="1:8">
      <c r="A802" s="264"/>
      <c r="B802" s="264"/>
      <c r="C802" s="264"/>
      <c r="D802" s="264"/>
      <c r="E802" s="264"/>
      <c r="F802" s="264"/>
      <c r="G802" s="264"/>
      <c r="H802" s="264"/>
    </row>
    <row r="803" spans="1:8">
      <c r="A803" s="264"/>
      <c r="B803" s="264"/>
      <c r="C803" s="264"/>
      <c r="D803" s="264"/>
      <c r="E803" s="264"/>
      <c r="F803" s="264"/>
      <c r="G803" s="264"/>
      <c r="H803" s="264"/>
    </row>
    <row r="804" spans="1:8">
      <c r="A804" s="264"/>
      <c r="B804" s="264"/>
      <c r="C804" s="264"/>
      <c r="D804" s="264"/>
      <c r="E804" s="264"/>
      <c r="F804" s="264"/>
      <c r="G804" s="264"/>
      <c r="H804" s="264"/>
    </row>
    <row r="805" spans="1:8">
      <c r="A805" s="264"/>
      <c r="B805" s="264"/>
      <c r="C805" s="264"/>
      <c r="D805" s="264"/>
      <c r="E805" s="264"/>
      <c r="F805" s="264"/>
      <c r="G805" s="264"/>
      <c r="H805" s="264"/>
    </row>
    <row r="806" spans="1:8">
      <c r="A806" s="264"/>
      <c r="B806" s="264"/>
      <c r="C806" s="264"/>
      <c r="D806" s="264"/>
      <c r="E806" s="264"/>
      <c r="F806" s="264"/>
      <c r="G806" s="264"/>
      <c r="H806" s="264"/>
    </row>
    <row r="807" spans="1:8">
      <c r="A807" s="264"/>
      <c r="B807" s="264"/>
      <c r="C807" s="264"/>
      <c r="D807" s="264"/>
      <c r="E807" s="264"/>
      <c r="F807" s="264"/>
      <c r="G807" s="264"/>
      <c r="H807" s="264"/>
    </row>
    <row r="808" spans="1:8">
      <c r="A808" s="264"/>
      <c r="B808" s="264"/>
      <c r="C808" s="264"/>
      <c r="D808" s="264"/>
      <c r="E808" s="264"/>
      <c r="F808" s="264"/>
      <c r="G808" s="264"/>
      <c r="H808" s="264"/>
    </row>
    <row r="809" spans="1:8">
      <c r="A809" s="264"/>
      <c r="B809" s="264"/>
      <c r="C809" s="264"/>
      <c r="D809" s="264"/>
      <c r="E809" s="264"/>
      <c r="F809" s="264"/>
      <c r="G809" s="264"/>
      <c r="H809" s="264"/>
    </row>
    <row r="810" spans="1:8">
      <c r="A810" s="264"/>
      <c r="B810" s="264"/>
      <c r="C810" s="264"/>
      <c r="D810" s="264"/>
      <c r="E810" s="264"/>
      <c r="F810" s="264"/>
      <c r="G810" s="264"/>
      <c r="H810" s="264"/>
    </row>
    <row r="811" spans="1:8">
      <c r="A811" s="264"/>
      <c r="B811" s="264"/>
      <c r="C811" s="264"/>
      <c r="D811" s="264"/>
      <c r="E811" s="264"/>
      <c r="F811" s="264"/>
      <c r="G811" s="264"/>
      <c r="H811" s="264"/>
    </row>
    <row r="812" spans="1:8">
      <c r="A812" s="264"/>
      <c r="B812" s="264"/>
      <c r="C812" s="264"/>
      <c r="D812" s="264"/>
      <c r="E812" s="264"/>
      <c r="F812" s="264"/>
      <c r="G812" s="264"/>
      <c r="H812" s="264"/>
    </row>
    <row r="813" spans="1:8">
      <c r="A813" s="264"/>
      <c r="B813" s="264"/>
      <c r="C813" s="264"/>
      <c r="D813" s="264"/>
      <c r="E813" s="264"/>
      <c r="F813" s="264"/>
      <c r="G813" s="264"/>
      <c r="H813" s="264"/>
    </row>
    <row r="814" spans="1:8">
      <c r="A814" s="264"/>
      <c r="B814" s="264"/>
      <c r="C814" s="264"/>
      <c r="D814" s="264"/>
      <c r="E814" s="264"/>
      <c r="F814" s="264"/>
      <c r="G814" s="264"/>
      <c r="H814" s="264"/>
    </row>
    <row r="815" spans="1:8">
      <c r="A815" s="264"/>
      <c r="B815" s="264"/>
      <c r="C815" s="264"/>
      <c r="D815" s="264"/>
      <c r="E815" s="264"/>
      <c r="F815" s="264"/>
      <c r="G815" s="264"/>
      <c r="H815" s="264"/>
    </row>
    <row r="816" spans="1:8">
      <c r="A816" s="264"/>
      <c r="B816" s="264"/>
      <c r="C816" s="264"/>
      <c r="D816" s="264"/>
      <c r="E816" s="264"/>
      <c r="F816" s="264"/>
      <c r="G816" s="264"/>
      <c r="H816" s="264"/>
    </row>
    <row r="817" spans="1:8">
      <c r="A817" s="264"/>
      <c r="B817" s="264"/>
      <c r="C817" s="264"/>
      <c r="D817" s="264"/>
      <c r="E817" s="264"/>
      <c r="F817" s="264"/>
      <c r="G817" s="264"/>
      <c r="H817" s="264"/>
    </row>
    <row r="818" spans="1:8">
      <c r="A818" s="264"/>
      <c r="B818" s="264"/>
      <c r="C818" s="264"/>
      <c r="D818" s="264"/>
      <c r="E818" s="264"/>
      <c r="F818" s="264"/>
      <c r="G818" s="264"/>
      <c r="H818" s="264"/>
    </row>
    <row r="819" spans="1:8">
      <c r="A819" s="264"/>
      <c r="B819" s="264"/>
      <c r="C819" s="264"/>
      <c r="D819" s="264"/>
      <c r="E819" s="264"/>
      <c r="F819" s="264"/>
      <c r="G819" s="264"/>
      <c r="H819" s="264"/>
    </row>
    <row r="820" spans="1:8">
      <c r="A820" s="264"/>
      <c r="B820" s="264"/>
      <c r="C820" s="264"/>
      <c r="D820" s="264"/>
      <c r="E820" s="264"/>
      <c r="F820" s="264"/>
      <c r="G820" s="264"/>
      <c r="H820" s="264"/>
    </row>
    <row r="821" spans="1:8">
      <c r="A821" s="264"/>
      <c r="B821" s="264"/>
      <c r="C821" s="264"/>
      <c r="D821" s="264"/>
      <c r="E821" s="264"/>
      <c r="F821" s="264"/>
      <c r="G821" s="264"/>
      <c r="H821" s="264"/>
    </row>
    <row r="822" spans="1:8">
      <c r="A822" s="264"/>
      <c r="B822" s="264"/>
      <c r="C822" s="264"/>
      <c r="D822" s="264"/>
      <c r="E822" s="264"/>
      <c r="F822" s="264"/>
      <c r="G822" s="264"/>
      <c r="H822" s="264"/>
    </row>
    <row r="823" spans="1:8">
      <c r="A823" s="264"/>
      <c r="B823" s="264"/>
      <c r="C823" s="264"/>
      <c r="D823" s="264"/>
      <c r="E823" s="264"/>
      <c r="F823" s="264"/>
      <c r="G823" s="264"/>
      <c r="H823" s="264"/>
    </row>
    <row r="824" spans="1:8">
      <c r="A824" s="264"/>
      <c r="B824" s="264"/>
      <c r="C824" s="264"/>
      <c r="D824" s="264"/>
      <c r="E824" s="264"/>
      <c r="F824" s="264"/>
      <c r="G824" s="264"/>
      <c r="H824" s="264"/>
    </row>
    <row r="825" spans="1:8">
      <c r="A825" s="264"/>
      <c r="B825" s="264"/>
      <c r="C825" s="264"/>
      <c r="D825" s="264"/>
      <c r="E825" s="264"/>
      <c r="F825" s="264"/>
      <c r="G825" s="264"/>
      <c r="H825" s="264"/>
    </row>
    <row r="826" spans="1:8">
      <c r="A826" s="264"/>
      <c r="B826" s="264"/>
      <c r="C826" s="264"/>
      <c r="D826" s="264"/>
      <c r="E826" s="264"/>
      <c r="F826" s="264"/>
      <c r="G826" s="264"/>
      <c r="H826" s="264"/>
    </row>
    <row r="827" spans="1:8">
      <c r="A827" s="264"/>
      <c r="B827" s="264"/>
      <c r="C827" s="264"/>
      <c r="D827" s="264"/>
      <c r="E827" s="264"/>
      <c r="F827" s="264"/>
      <c r="G827" s="264"/>
      <c r="H827" s="264"/>
    </row>
    <row r="828" spans="1:8">
      <c r="A828" s="264"/>
      <c r="B828" s="264"/>
      <c r="C828" s="264"/>
      <c r="D828" s="264"/>
      <c r="E828" s="264"/>
      <c r="F828" s="264"/>
      <c r="G828" s="264"/>
      <c r="H828" s="264"/>
    </row>
    <row r="829" spans="1:8">
      <c r="A829" s="264"/>
      <c r="B829" s="264"/>
      <c r="C829" s="264"/>
      <c r="D829" s="264"/>
      <c r="E829" s="264"/>
      <c r="F829" s="264"/>
      <c r="G829" s="264"/>
      <c r="H829" s="264"/>
    </row>
    <row r="830" spans="1:8">
      <c r="A830" s="264"/>
      <c r="B830" s="264"/>
      <c r="C830" s="264"/>
      <c r="D830" s="264"/>
      <c r="E830" s="264"/>
      <c r="F830" s="264"/>
      <c r="G830" s="264"/>
      <c r="H830" s="264"/>
    </row>
    <row r="831" spans="1:8">
      <c r="A831" s="264"/>
      <c r="B831" s="264"/>
      <c r="C831" s="264"/>
      <c r="D831" s="264"/>
      <c r="E831" s="264"/>
      <c r="F831" s="264"/>
      <c r="G831" s="264"/>
      <c r="H831" s="264"/>
    </row>
    <row r="832" spans="1:8">
      <c r="A832" s="264"/>
      <c r="B832" s="264"/>
      <c r="C832" s="264"/>
      <c r="D832" s="264"/>
      <c r="E832" s="264"/>
      <c r="F832" s="264"/>
      <c r="G832" s="264"/>
      <c r="H832" s="264"/>
    </row>
    <row r="833" spans="1:8">
      <c r="A833" s="264"/>
      <c r="B833" s="264"/>
      <c r="C833" s="264"/>
      <c r="D833" s="264"/>
      <c r="E833" s="264"/>
      <c r="F833" s="264"/>
      <c r="G833" s="264"/>
      <c r="H833" s="264"/>
    </row>
    <row r="834" spans="1:8">
      <c r="A834" s="264"/>
      <c r="B834" s="264"/>
      <c r="C834" s="264"/>
      <c r="D834" s="264"/>
      <c r="E834" s="264"/>
      <c r="F834" s="264"/>
      <c r="G834" s="264"/>
      <c r="H834" s="264"/>
    </row>
    <row r="835" spans="1:8">
      <c r="A835" s="264"/>
      <c r="B835" s="264"/>
      <c r="C835" s="264"/>
      <c r="D835" s="264"/>
      <c r="E835" s="264"/>
      <c r="F835" s="264"/>
      <c r="G835" s="264"/>
      <c r="H835" s="264"/>
    </row>
    <row r="836" spans="1:8">
      <c r="A836" s="264"/>
      <c r="B836" s="264"/>
      <c r="C836" s="264"/>
      <c r="D836" s="264"/>
      <c r="E836" s="264"/>
      <c r="F836" s="264"/>
      <c r="G836" s="264"/>
      <c r="H836" s="264"/>
    </row>
    <row r="837" spans="1:8">
      <c r="A837" s="264"/>
      <c r="B837" s="264"/>
      <c r="C837" s="264"/>
      <c r="D837" s="264"/>
      <c r="E837" s="264"/>
      <c r="F837" s="264"/>
      <c r="G837" s="264"/>
      <c r="H837" s="264"/>
    </row>
    <row r="838" spans="1:8">
      <c r="A838" s="264"/>
      <c r="B838" s="264"/>
      <c r="C838" s="264"/>
      <c r="D838" s="264"/>
      <c r="E838" s="264"/>
      <c r="F838" s="264"/>
      <c r="G838" s="264"/>
      <c r="H838" s="264"/>
    </row>
    <row r="839" spans="1:8">
      <c r="A839" s="264"/>
      <c r="B839" s="264"/>
      <c r="C839" s="264"/>
      <c r="D839" s="264"/>
      <c r="E839" s="264"/>
      <c r="F839" s="264"/>
      <c r="G839" s="264"/>
      <c r="H839" s="264"/>
    </row>
    <row r="840" spans="1:8">
      <c r="A840" s="264"/>
      <c r="B840" s="264"/>
      <c r="C840" s="264"/>
      <c r="D840" s="264"/>
      <c r="E840" s="264"/>
      <c r="F840" s="264"/>
      <c r="G840" s="264"/>
      <c r="H840" s="264"/>
    </row>
    <row r="841" spans="1:8">
      <c r="A841" s="264"/>
      <c r="B841" s="264"/>
      <c r="C841" s="264"/>
      <c r="D841" s="264"/>
      <c r="E841" s="264"/>
      <c r="F841" s="264"/>
      <c r="G841" s="264"/>
      <c r="H841" s="264"/>
    </row>
    <row r="842" spans="1:8">
      <c r="A842" s="264"/>
      <c r="B842" s="264"/>
      <c r="C842" s="264"/>
      <c r="D842" s="264"/>
      <c r="E842" s="264"/>
      <c r="F842" s="264"/>
      <c r="G842" s="264"/>
      <c r="H842" s="264"/>
    </row>
    <row r="843" spans="1:8">
      <c r="A843" s="264"/>
      <c r="B843" s="264"/>
      <c r="C843" s="264"/>
      <c r="D843" s="264"/>
      <c r="E843" s="264"/>
      <c r="F843" s="264"/>
      <c r="G843" s="264"/>
      <c r="H843" s="264"/>
    </row>
    <row r="844" spans="1:8">
      <c r="A844" s="264"/>
      <c r="B844" s="264"/>
      <c r="C844" s="264"/>
      <c r="D844" s="264"/>
      <c r="E844" s="264"/>
      <c r="F844" s="264"/>
      <c r="G844" s="264"/>
      <c r="H844" s="264"/>
    </row>
    <row r="845" spans="1:8">
      <c r="A845" s="264"/>
      <c r="B845" s="264"/>
      <c r="C845" s="264"/>
      <c r="D845" s="264"/>
      <c r="E845" s="264"/>
      <c r="F845" s="264"/>
      <c r="G845" s="264"/>
      <c r="H845" s="264"/>
    </row>
    <row r="846" spans="1:8">
      <c r="A846" s="264"/>
      <c r="B846" s="264"/>
      <c r="C846" s="264"/>
      <c r="D846" s="264"/>
      <c r="E846" s="264"/>
      <c r="F846" s="264"/>
      <c r="G846" s="264"/>
      <c r="H846" s="264"/>
    </row>
    <row r="847" spans="1:8">
      <c r="A847" s="264"/>
      <c r="B847" s="264"/>
      <c r="C847" s="264"/>
      <c r="D847" s="264"/>
      <c r="E847" s="264"/>
      <c r="F847" s="264"/>
      <c r="G847" s="264"/>
      <c r="H847" s="264"/>
    </row>
    <row r="848" spans="1:8">
      <c r="A848" s="264"/>
      <c r="B848" s="264"/>
      <c r="C848" s="264"/>
      <c r="D848" s="264"/>
      <c r="E848" s="264"/>
      <c r="F848" s="264"/>
      <c r="G848" s="264"/>
      <c r="H848" s="264"/>
    </row>
    <row r="849" spans="1:8">
      <c r="A849" s="264"/>
      <c r="B849" s="264"/>
      <c r="C849" s="264"/>
      <c r="D849" s="264"/>
      <c r="E849" s="264"/>
      <c r="F849" s="264"/>
      <c r="G849" s="264"/>
      <c r="H849" s="264"/>
    </row>
    <row r="850" spans="1:8">
      <c r="A850" s="264"/>
      <c r="B850" s="264"/>
      <c r="C850" s="264"/>
      <c r="D850" s="264"/>
      <c r="E850" s="264"/>
      <c r="F850" s="264"/>
      <c r="G850" s="264"/>
      <c r="H850" s="264"/>
    </row>
    <row r="851" spans="1:8">
      <c r="A851" s="264"/>
      <c r="B851" s="264"/>
      <c r="C851" s="264"/>
      <c r="D851" s="264"/>
      <c r="E851" s="264"/>
      <c r="F851" s="264"/>
      <c r="G851" s="264"/>
      <c r="H851" s="264"/>
    </row>
    <row r="852" spans="1:8">
      <c r="A852" s="264"/>
      <c r="B852" s="264"/>
      <c r="C852" s="264"/>
      <c r="D852" s="264"/>
      <c r="E852" s="264"/>
      <c r="F852" s="264"/>
      <c r="G852" s="264"/>
      <c r="H852" s="264"/>
    </row>
    <row r="853" spans="1:8">
      <c r="A853" s="264"/>
      <c r="B853" s="264"/>
      <c r="C853" s="264"/>
      <c r="D853" s="264"/>
      <c r="E853" s="264"/>
      <c r="F853" s="264"/>
      <c r="G853" s="264"/>
      <c r="H853" s="264"/>
    </row>
    <row r="854" spans="1:8">
      <c r="A854" s="264"/>
      <c r="B854" s="264"/>
      <c r="C854" s="264"/>
      <c r="D854" s="264"/>
      <c r="E854" s="264"/>
      <c r="F854" s="264"/>
      <c r="G854" s="264"/>
      <c r="H854" s="264"/>
    </row>
    <row r="855" spans="1:8">
      <c r="A855" s="264"/>
      <c r="B855" s="264"/>
      <c r="C855" s="264"/>
      <c r="D855" s="264"/>
      <c r="E855" s="264"/>
      <c r="F855" s="264"/>
      <c r="G855" s="264"/>
      <c r="H855" s="264"/>
    </row>
    <row r="856" spans="1:8">
      <c r="A856" s="264"/>
      <c r="B856" s="264"/>
      <c r="C856" s="264"/>
      <c r="D856" s="264"/>
      <c r="E856" s="264"/>
      <c r="F856" s="264"/>
      <c r="G856" s="264"/>
      <c r="H856" s="264"/>
    </row>
    <row r="857" spans="1:8">
      <c r="A857" s="264"/>
      <c r="B857" s="264"/>
      <c r="C857" s="264"/>
      <c r="D857" s="264"/>
      <c r="E857" s="264"/>
      <c r="F857" s="264"/>
      <c r="G857" s="264"/>
      <c r="H857" s="264"/>
    </row>
    <row r="858" spans="1:8">
      <c r="A858" s="264"/>
      <c r="B858" s="264"/>
      <c r="C858" s="264"/>
      <c r="D858" s="264"/>
      <c r="E858" s="264"/>
      <c r="F858" s="264"/>
      <c r="G858" s="264"/>
      <c r="H858" s="264"/>
    </row>
    <row r="859" spans="1:8">
      <c r="A859" s="264"/>
      <c r="B859" s="264"/>
      <c r="C859" s="264"/>
      <c r="D859" s="264"/>
      <c r="E859" s="264"/>
      <c r="F859" s="264"/>
      <c r="G859" s="264"/>
      <c r="H859" s="264"/>
    </row>
    <row r="860" spans="1:8">
      <c r="A860" s="264"/>
      <c r="B860" s="264"/>
      <c r="C860" s="264"/>
      <c r="D860" s="264"/>
      <c r="E860" s="264"/>
      <c r="F860" s="264"/>
      <c r="G860" s="264"/>
      <c r="H860" s="264"/>
    </row>
    <row r="861" spans="1:8">
      <c r="A861" s="264"/>
      <c r="B861" s="264"/>
      <c r="C861" s="264"/>
      <c r="D861" s="264"/>
      <c r="E861" s="264"/>
      <c r="F861" s="264"/>
      <c r="G861" s="264"/>
      <c r="H861" s="264"/>
    </row>
    <row r="862" spans="1:8">
      <c r="A862" s="264"/>
      <c r="B862" s="264"/>
      <c r="C862" s="264"/>
      <c r="D862" s="264"/>
      <c r="E862" s="264"/>
      <c r="F862" s="264"/>
      <c r="G862" s="264"/>
      <c r="H862" s="264"/>
    </row>
    <row r="863" spans="1:8">
      <c r="A863" s="264"/>
      <c r="B863" s="264"/>
      <c r="C863" s="264"/>
      <c r="D863" s="264"/>
      <c r="E863" s="264"/>
      <c r="F863" s="264"/>
      <c r="G863" s="264"/>
      <c r="H863" s="264"/>
    </row>
    <row r="864" spans="1:8">
      <c r="A864" s="264"/>
      <c r="B864" s="264"/>
      <c r="C864" s="264"/>
      <c r="D864" s="264"/>
      <c r="E864" s="264"/>
      <c r="F864" s="264"/>
      <c r="G864" s="264"/>
      <c r="H864" s="264"/>
    </row>
    <row r="865" spans="1:8">
      <c r="A865" s="264"/>
      <c r="B865" s="264"/>
      <c r="C865" s="264"/>
      <c r="D865" s="264"/>
      <c r="E865" s="264"/>
      <c r="F865" s="264"/>
      <c r="G865" s="264"/>
      <c r="H865" s="264"/>
    </row>
    <row r="866" spans="1:8">
      <c r="A866" s="264"/>
      <c r="B866" s="264"/>
      <c r="C866" s="264"/>
      <c r="D866" s="264"/>
      <c r="E866" s="264"/>
      <c r="F866" s="264"/>
      <c r="G866" s="264"/>
      <c r="H866" s="264"/>
    </row>
    <row r="867" spans="1:8">
      <c r="A867" s="264"/>
      <c r="B867" s="264"/>
      <c r="C867" s="264"/>
      <c r="D867" s="264"/>
      <c r="E867" s="264"/>
      <c r="F867" s="264"/>
      <c r="G867" s="264"/>
      <c r="H867" s="264"/>
    </row>
    <row r="868" spans="1:8">
      <c r="A868" s="264"/>
      <c r="B868" s="264"/>
      <c r="C868" s="264"/>
      <c r="D868" s="264"/>
      <c r="E868" s="264"/>
      <c r="F868" s="264"/>
      <c r="G868" s="264"/>
      <c r="H868" s="264"/>
    </row>
    <row r="869" spans="1:8">
      <c r="A869" s="264"/>
      <c r="B869" s="264"/>
      <c r="C869" s="264"/>
      <c r="D869" s="264"/>
      <c r="E869" s="264"/>
      <c r="F869" s="264"/>
      <c r="G869" s="264"/>
      <c r="H869" s="264"/>
    </row>
    <row r="870" spans="1:8">
      <c r="A870" s="264"/>
      <c r="B870" s="264"/>
      <c r="C870" s="264"/>
      <c r="D870" s="264"/>
      <c r="E870" s="264"/>
      <c r="F870" s="264"/>
      <c r="G870" s="264"/>
      <c r="H870" s="264"/>
    </row>
    <row r="871" spans="1:8">
      <c r="A871" s="264"/>
      <c r="B871" s="264"/>
      <c r="C871" s="264"/>
      <c r="D871" s="264"/>
      <c r="E871" s="264"/>
      <c r="F871" s="264"/>
      <c r="G871" s="264"/>
      <c r="H871" s="264"/>
    </row>
    <row r="872" spans="1:8">
      <c r="A872" s="264"/>
      <c r="B872" s="264"/>
      <c r="C872" s="264"/>
      <c r="D872" s="264"/>
      <c r="E872" s="264"/>
      <c r="F872" s="264"/>
      <c r="G872" s="264"/>
      <c r="H872" s="264"/>
    </row>
    <row r="873" spans="1:8">
      <c r="A873" s="264"/>
      <c r="B873" s="264"/>
      <c r="C873" s="264"/>
      <c r="D873" s="264"/>
      <c r="E873" s="264"/>
      <c r="F873" s="264"/>
      <c r="G873" s="264"/>
      <c r="H873" s="264"/>
    </row>
    <row r="874" spans="1:8">
      <c r="A874" s="264"/>
      <c r="B874" s="264"/>
      <c r="C874" s="264"/>
      <c r="D874" s="264"/>
      <c r="E874" s="264"/>
      <c r="F874" s="264"/>
      <c r="G874" s="264"/>
      <c r="H874" s="264"/>
    </row>
    <row r="875" spans="1:8">
      <c r="A875" s="264"/>
      <c r="B875" s="264"/>
      <c r="C875" s="264"/>
      <c r="D875" s="264"/>
      <c r="E875" s="264"/>
      <c r="F875" s="264"/>
      <c r="G875" s="264"/>
      <c r="H875" s="264"/>
    </row>
    <row r="876" spans="1:8">
      <c r="A876" s="264"/>
      <c r="B876" s="264"/>
      <c r="C876" s="264"/>
      <c r="D876" s="264"/>
      <c r="E876" s="264"/>
      <c r="F876" s="264"/>
      <c r="G876" s="264"/>
      <c r="H876" s="264"/>
    </row>
    <row r="877" spans="1:8">
      <c r="A877" s="264"/>
      <c r="B877" s="264"/>
      <c r="C877" s="264"/>
      <c r="D877" s="264"/>
      <c r="E877" s="264"/>
      <c r="F877" s="264"/>
      <c r="G877" s="264"/>
      <c r="H877" s="264"/>
    </row>
    <row r="878" spans="1:8">
      <c r="A878" s="264"/>
      <c r="B878" s="264"/>
      <c r="C878" s="264"/>
      <c r="D878" s="264"/>
      <c r="E878" s="264"/>
      <c r="F878" s="264"/>
      <c r="G878" s="264"/>
      <c r="H878" s="264"/>
    </row>
    <row r="879" spans="1:8">
      <c r="A879" s="264"/>
      <c r="B879" s="264"/>
      <c r="C879" s="264"/>
      <c r="D879" s="264"/>
      <c r="E879" s="264"/>
      <c r="F879" s="264"/>
      <c r="G879" s="264"/>
      <c r="H879" s="264"/>
    </row>
    <row r="880" spans="1:8">
      <c r="A880" s="264"/>
      <c r="B880" s="264"/>
      <c r="C880" s="264"/>
      <c r="D880" s="264"/>
      <c r="E880" s="264"/>
      <c r="F880" s="264"/>
      <c r="G880" s="264"/>
      <c r="H880" s="264"/>
    </row>
    <row r="881" spans="1:8">
      <c r="A881" s="264"/>
      <c r="B881" s="264"/>
      <c r="C881" s="264"/>
      <c r="D881" s="264"/>
      <c r="E881" s="264"/>
      <c r="F881" s="264"/>
      <c r="G881" s="264"/>
      <c r="H881" s="264"/>
    </row>
    <row r="882" spans="1:8">
      <c r="A882" s="264"/>
      <c r="B882" s="264"/>
      <c r="C882" s="264"/>
      <c r="D882" s="264"/>
      <c r="E882" s="264"/>
      <c r="F882" s="264"/>
      <c r="G882" s="264"/>
      <c r="H882" s="264"/>
    </row>
    <row r="883" spans="1:8">
      <c r="A883" s="264"/>
      <c r="B883" s="264"/>
      <c r="C883" s="264"/>
      <c r="D883" s="264"/>
      <c r="E883" s="264"/>
      <c r="F883" s="264"/>
      <c r="G883" s="264"/>
      <c r="H883" s="264"/>
    </row>
    <row r="884" spans="1:8">
      <c r="A884" s="264"/>
      <c r="B884" s="264"/>
      <c r="C884" s="264"/>
      <c r="D884" s="264"/>
      <c r="E884" s="264"/>
      <c r="F884" s="264"/>
      <c r="G884" s="264"/>
      <c r="H884" s="264"/>
    </row>
    <row r="885" spans="1:8">
      <c r="A885" s="264"/>
      <c r="B885" s="264"/>
      <c r="C885" s="264"/>
      <c r="D885" s="264"/>
      <c r="E885" s="264"/>
      <c r="F885" s="264"/>
      <c r="G885" s="264"/>
      <c r="H885" s="264"/>
    </row>
    <row r="886" spans="1:8">
      <c r="A886" s="264"/>
      <c r="B886" s="264"/>
      <c r="C886" s="264"/>
      <c r="D886" s="264"/>
      <c r="E886" s="264"/>
      <c r="F886" s="264"/>
      <c r="G886" s="264"/>
      <c r="H886" s="264"/>
    </row>
    <row r="887" spans="1:8">
      <c r="A887" s="264"/>
      <c r="B887" s="264"/>
      <c r="C887" s="264"/>
      <c r="D887" s="264"/>
      <c r="E887" s="264"/>
      <c r="F887" s="264"/>
      <c r="G887" s="264"/>
      <c r="H887" s="264"/>
    </row>
    <row r="888" spans="1:8">
      <c r="A888" s="264"/>
      <c r="B888" s="264"/>
      <c r="C888" s="264"/>
      <c r="D888" s="264"/>
      <c r="E888" s="264"/>
      <c r="F888" s="264"/>
      <c r="G888" s="264"/>
      <c r="H888" s="264"/>
    </row>
    <row r="889" spans="1:8">
      <c r="A889" s="264"/>
      <c r="B889" s="264"/>
      <c r="C889" s="264"/>
      <c r="D889" s="264"/>
      <c r="E889" s="264"/>
      <c r="F889" s="264"/>
      <c r="G889" s="264"/>
      <c r="H889" s="264"/>
    </row>
    <row r="890" spans="1:8">
      <c r="A890" s="264"/>
      <c r="B890" s="264"/>
      <c r="C890" s="264"/>
      <c r="D890" s="264"/>
      <c r="E890" s="264"/>
      <c r="F890" s="264"/>
      <c r="G890" s="264"/>
      <c r="H890" s="264"/>
    </row>
    <row r="891" spans="1:8">
      <c r="A891" s="264"/>
      <c r="B891" s="264"/>
      <c r="C891" s="264"/>
      <c r="D891" s="264"/>
      <c r="E891" s="264"/>
      <c r="F891" s="264"/>
      <c r="G891" s="264"/>
      <c r="H891" s="264"/>
    </row>
    <row r="892" spans="1:8">
      <c r="A892" s="264"/>
      <c r="B892" s="264"/>
      <c r="C892" s="264"/>
      <c r="D892" s="264"/>
      <c r="E892" s="264"/>
      <c r="F892" s="264"/>
      <c r="G892" s="264"/>
      <c r="H892" s="264"/>
    </row>
    <row r="893" spans="1:8">
      <c r="A893" s="264"/>
      <c r="B893" s="264"/>
      <c r="C893" s="264"/>
      <c r="D893" s="264"/>
      <c r="E893" s="264"/>
      <c r="F893" s="264"/>
      <c r="G893" s="264"/>
      <c r="H893" s="264"/>
    </row>
    <row r="894" spans="1:8">
      <c r="A894" s="264"/>
      <c r="B894" s="264"/>
      <c r="C894" s="264"/>
      <c r="D894" s="264"/>
      <c r="E894" s="264"/>
      <c r="F894" s="264"/>
      <c r="G894" s="264"/>
      <c r="H894" s="264"/>
    </row>
    <row r="895" spans="1:8">
      <c r="A895" s="264"/>
      <c r="B895" s="264"/>
      <c r="C895" s="264"/>
      <c r="D895" s="264"/>
      <c r="E895" s="264"/>
      <c r="F895" s="264"/>
      <c r="G895" s="264"/>
      <c r="H895" s="264"/>
    </row>
    <row r="896" spans="1:8">
      <c r="A896" s="264"/>
      <c r="B896" s="264"/>
      <c r="C896" s="264"/>
      <c r="D896" s="264"/>
      <c r="E896" s="264"/>
      <c r="F896" s="264"/>
      <c r="G896" s="264"/>
      <c r="H896" s="264"/>
    </row>
    <row r="897" spans="1:8">
      <c r="A897" s="264"/>
      <c r="B897" s="264"/>
      <c r="C897" s="264"/>
      <c r="D897" s="264"/>
      <c r="E897" s="264"/>
      <c r="F897" s="264"/>
      <c r="G897" s="264"/>
      <c r="H897" s="264"/>
    </row>
    <row r="898" spans="1:8">
      <c r="A898" s="264"/>
      <c r="B898" s="264"/>
      <c r="C898" s="264"/>
      <c r="D898" s="264"/>
      <c r="E898" s="264"/>
      <c r="F898" s="264"/>
      <c r="G898" s="264"/>
      <c r="H898" s="264"/>
    </row>
    <row r="899" spans="1:8">
      <c r="A899" s="264"/>
      <c r="B899" s="264"/>
      <c r="C899" s="264"/>
      <c r="D899" s="264"/>
      <c r="E899" s="264"/>
      <c r="F899" s="264"/>
      <c r="G899" s="264"/>
      <c r="H899" s="264"/>
    </row>
    <row r="900" spans="1:8">
      <c r="A900" s="264"/>
      <c r="B900" s="264"/>
      <c r="C900" s="264"/>
      <c r="D900" s="264"/>
      <c r="E900" s="264"/>
      <c r="F900" s="264"/>
      <c r="G900" s="264"/>
      <c r="H900" s="264"/>
    </row>
    <row r="901" spans="1:8">
      <c r="A901" s="264"/>
      <c r="B901" s="264"/>
      <c r="C901" s="264"/>
      <c r="D901" s="264"/>
      <c r="E901" s="264"/>
      <c r="F901" s="264"/>
      <c r="G901" s="264"/>
      <c r="H901" s="264"/>
    </row>
    <row r="902" spans="1:8">
      <c r="A902" s="264"/>
      <c r="B902" s="264"/>
      <c r="C902" s="264"/>
      <c r="D902" s="264"/>
      <c r="E902" s="264"/>
      <c r="F902" s="264"/>
      <c r="G902" s="264"/>
      <c r="H902" s="264"/>
    </row>
    <row r="903" spans="1:8">
      <c r="A903" s="264"/>
      <c r="B903" s="264"/>
      <c r="C903" s="264"/>
      <c r="D903" s="264"/>
      <c r="E903" s="264"/>
      <c r="F903" s="264"/>
      <c r="G903" s="264"/>
      <c r="H903" s="264"/>
    </row>
    <row r="904" spans="1:8">
      <c r="A904" s="264"/>
      <c r="B904" s="264"/>
      <c r="C904" s="264"/>
      <c r="D904" s="264"/>
      <c r="E904" s="264"/>
      <c r="F904" s="264"/>
      <c r="G904" s="264"/>
      <c r="H904" s="264"/>
    </row>
    <row r="905" spans="1:8">
      <c r="A905" s="264"/>
      <c r="B905" s="264"/>
      <c r="C905" s="264"/>
      <c r="D905" s="264"/>
      <c r="E905" s="264"/>
      <c r="F905" s="264"/>
      <c r="G905" s="264"/>
      <c r="H905" s="264"/>
    </row>
    <row r="906" spans="1:8">
      <c r="A906" s="264"/>
      <c r="B906" s="264"/>
      <c r="C906" s="264"/>
      <c r="D906" s="264"/>
      <c r="E906" s="264"/>
      <c r="F906" s="264"/>
      <c r="G906" s="264"/>
      <c r="H906" s="264"/>
    </row>
    <row r="907" spans="1:8">
      <c r="A907" s="264"/>
      <c r="B907" s="264"/>
      <c r="C907" s="264"/>
      <c r="D907" s="264"/>
      <c r="E907" s="264"/>
      <c r="F907" s="264"/>
      <c r="G907" s="264"/>
      <c r="H907" s="264"/>
    </row>
    <row r="908" spans="1:8">
      <c r="A908" s="264"/>
      <c r="B908" s="264"/>
      <c r="C908" s="264"/>
      <c r="D908" s="264"/>
      <c r="E908" s="264"/>
      <c r="F908" s="264"/>
      <c r="G908" s="264"/>
      <c r="H908" s="264"/>
    </row>
    <row r="909" spans="1:8">
      <c r="A909" s="264"/>
      <c r="B909" s="264"/>
      <c r="C909" s="264"/>
      <c r="D909" s="264"/>
      <c r="E909" s="264"/>
      <c r="F909" s="264"/>
      <c r="G909" s="264"/>
      <c r="H909" s="264"/>
    </row>
    <row r="910" spans="1:8">
      <c r="A910" s="264"/>
      <c r="B910" s="264"/>
      <c r="C910" s="264"/>
      <c r="D910" s="264"/>
      <c r="E910" s="264"/>
      <c r="F910" s="264"/>
      <c r="G910" s="264"/>
      <c r="H910" s="264"/>
    </row>
    <row r="911" spans="1:8">
      <c r="A911" s="264"/>
      <c r="B911" s="264"/>
      <c r="C911" s="264"/>
      <c r="D911" s="264"/>
      <c r="E911" s="264"/>
      <c r="F911" s="264"/>
      <c r="G911" s="264"/>
      <c r="H911" s="264"/>
    </row>
    <row r="912" spans="1:8">
      <c r="A912" s="264"/>
      <c r="B912" s="264"/>
      <c r="C912" s="264"/>
      <c r="D912" s="264"/>
      <c r="E912" s="264"/>
      <c r="F912" s="264"/>
      <c r="G912" s="264"/>
      <c r="H912" s="264"/>
    </row>
    <row r="913" spans="1:8">
      <c r="A913" s="264"/>
      <c r="B913" s="264"/>
      <c r="C913" s="264"/>
      <c r="D913" s="264"/>
      <c r="E913" s="264"/>
      <c r="F913" s="264"/>
      <c r="G913" s="264"/>
      <c r="H913" s="264"/>
    </row>
    <row r="914" spans="1:8">
      <c r="A914" s="264"/>
      <c r="B914" s="264"/>
      <c r="C914" s="264"/>
      <c r="D914" s="264"/>
      <c r="E914" s="264"/>
      <c r="F914" s="264"/>
      <c r="G914" s="264"/>
      <c r="H914" s="264"/>
    </row>
    <row r="915" spans="1:8">
      <c r="A915" s="264"/>
      <c r="B915" s="264"/>
      <c r="C915" s="264"/>
      <c r="D915" s="264"/>
      <c r="E915" s="264"/>
      <c r="F915" s="264"/>
      <c r="G915" s="264"/>
      <c r="H915" s="264"/>
    </row>
    <row r="916" spans="1:8">
      <c r="A916" s="264"/>
      <c r="B916" s="264"/>
      <c r="C916" s="264"/>
      <c r="D916" s="264"/>
      <c r="E916" s="264"/>
      <c r="F916" s="264"/>
      <c r="G916" s="264"/>
      <c r="H916" s="264"/>
    </row>
    <row r="917" spans="1:8">
      <c r="A917" s="264"/>
      <c r="B917" s="264"/>
      <c r="C917" s="264"/>
      <c r="D917" s="264"/>
      <c r="E917" s="264"/>
      <c r="F917" s="264"/>
      <c r="G917" s="264"/>
      <c r="H917" s="264"/>
    </row>
    <row r="918" spans="1:8">
      <c r="A918" s="264"/>
      <c r="B918" s="264"/>
      <c r="C918" s="264"/>
      <c r="D918" s="264"/>
      <c r="E918" s="264"/>
      <c r="F918" s="264"/>
      <c r="G918" s="264"/>
      <c r="H918" s="264"/>
    </row>
    <row r="919" spans="1:8">
      <c r="A919" s="264"/>
      <c r="B919" s="264"/>
      <c r="C919" s="264"/>
      <c r="D919" s="264"/>
      <c r="E919" s="264"/>
      <c r="F919" s="264"/>
      <c r="G919" s="264"/>
      <c r="H919" s="264"/>
    </row>
    <row r="920" spans="1:8">
      <c r="A920" s="264"/>
      <c r="B920" s="264"/>
      <c r="C920" s="264"/>
      <c r="D920" s="264"/>
      <c r="E920" s="264"/>
      <c r="F920" s="264"/>
      <c r="G920" s="264"/>
      <c r="H920" s="264"/>
    </row>
    <row r="921" spans="1:8">
      <c r="A921" s="264"/>
      <c r="B921" s="264"/>
      <c r="C921" s="264"/>
      <c r="D921" s="264"/>
      <c r="E921" s="264"/>
      <c r="F921" s="264"/>
      <c r="G921" s="264"/>
      <c r="H921" s="264"/>
    </row>
    <row r="922" spans="1:8">
      <c r="A922" s="264"/>
      <c r="B922" s="264"/>
      <c r="C922" s="264"/>
      <c r="D922" s="264"/>
      <c r="E922" s="264"/>
      <c r="F922" s="264"/>
      <c r="G922" s="264"/>
      <c r="H922" s="264"/>
    </row>
    <row r="923" spans="1:8">
      <c r="A923" s="264"/>
      <c r="B923" s="264"/>
      <c r="C923" s="264"/>
      <c r="D923" s="264"/>
      <c r="E923" s="264"/>
      <c r="F923" s="264"/>
      <c r="G923" s="264"/>
      <c r="H923" s="264"/>
    </row>
    <row r="924" spans="1:8">
      <c r="A924" s="264"/>
      <c r="B924" s="264"/>
      <c r="C924" s="264"/>
      <c r="D924" s="264"/>
      <c r="E924" s="264"/>
      <c r="F924" s="264"/>
      <c r="G924" s="264"/>
      <c r="H924" s="264"/>
    </row>
    <row r="925" spans="1:8">
      <c r="A925" s="264"/>
      <c r="B925" s="264"/>
      <c r="C925" s="264"/>
      <c r="D925" s="264"/>
      <c r="E925" s="264"/>
      <c r="F925" s="264"/>
      <c r="G925" s="264"/>
      <c r="H925" s="264"/>
    </row>
    <row r="926" spans="1:8">
      <c r="A926" s="264"/>
      <c r="B926" s="264"/>
      <c r="C926" s="264"/>
      <c r="D926" s="264"/>
      <c r="E926" s="264"/>
      <c r="F926" s="264"/>
      <c r="G926" s="264"/>
      <c r="H926" s="264"/>
    </row>
    <row r="927" spans="1:8">
      <c r="A927" s="264"/>
      <c r="B927" s="264"/>
      <c r="C927" s="264"/>
      <c r="D927" s="264"/>
      <c r="E927" s="264"/>
      <c r="F927" s="264"/>
      <c r="G927" s="264"/>
      <c r="H927" s="264"/>
    </row>
    <row r="928" spans="1:8">
      <c r="A928" s="264"/>
      <c r="B928" s="264"/>
      <c r="C928" s="264"/>
      <c r="D928" s="264"/>
      <c r="E928" s="264"/>
      <c r="F928" s="264"/>
      <c r="G928" s="264"/>
      <c r="H928" s="264"/>
    </row>
    <row r="929" spans="1:8">
      <c r="A929" s="264"/>
      <c r="B929" s="264"/>
      <c r="C929" s="264"/>
      <c r="D929" s="264"/>
      <c r="E929" s="264"/>
      <c r="F929" s="264"/>
      <c r="G929" s="264"/>
      <c r="H929" s="264"/>
    </row>
    <row r="930" spans="1:8">
      <c r="A930" s="264"/>
      <c r="B930" s="264"/>
      <c r="C930" s="264"/>
      <c r="D930" s="264"/>
      <c r="E930" s="264"/>
      <c r="F930" s="264"/>
      <c r="G930" s="264"/>
      <c r="H930" s="264"/>
    </row>
    <row r="931" spans="1:8">
      <c r="A931" s="264"/>
      <c r="B931" s="264"/>
      <c r="C931" s="264"/>
      <c r="D931" s="264"/>
      <c r="E931" s="264"/>
      <c r="F931" s="264"/>
      <c r="G931" s="264"/>
      <c r="H931" s="264"/>
    </row>
    <row r="932" spans="1:8">
      <c r="A932" s="264"/>
      <c r="B932" s="264"/>
      <c r="C932" s="264"/>
      <c r="D932" s="264"/>
      <c r="E932" s="264"/>
      <c r="F932" s="264"/>
      <c r="G932" s="264"/>
      <c r="H932" s="264"/>
    </row>
    <row r="933" spans="1:8">
      <c r="A933" s="264"/>
      <c r="B933" s="264"/>
      <c r="C933" s="264"/>
      <c r="D933" s="264"/>
      <c r="E933" s="264"/>
      <c r="F933" s="264"/>
      <c r="G933" s="264"/>
      <c r="H933" s="264"/>
    </row>
    <row r="934" spans="1:8">
      <c r="A934" s="264"/>
      <c r="B934" s="264"/>
      <c r="C934" s="264"/>
      <c r="D934" s="264"/>
      <c r="E934" s="264"/>
      <c r="F934" s="264"/>
      <c r="G934" s="264"/>
      <c r="H934" s="264"/>
    </row>
    <row r="935" spans="1:8">
      <c r="A935" s="264"/>
      <c r="B935" s="264"/>
      <c r="C935" s="264"/>
      <c r="D935" s="264"/>
      <c r="E935" s="264"/>
      <c r="F935" s="264"/>
      <c r="G935" s="264"/>
      <c r="H935" s="264"/>
    </row>
    <row r="936" spans="1:8">
      <c r="A936" s="264"/>
      <c r="B936" s="264"/>
      <c r="C936" s="264"/>
      <c r="D936" s="264"/>
      <c r="E936" s="264"/>
      <c r="F936" s="264"/>
      <c r="G936" s="264"/>
      <c r="H936" s="264"/>
    </row>
    <row r="937" spans="1:8">
      <c r="A937" s="264"/>
      <c r="B937" s="264"/>
      <c r="C937" s="264"/>
      <c r="D937" s="264"/>
      <c r="E937" s="264"/>
      <c r="F937" s="264"/>
      <c r="G937" s="264"/>
      <c r="H937" s="264"/>
    </row>
    <row r="938" spans="1:8">
      <c r="A938" s="264"/>
      <c r="B938" s="264"/>
      <c r="C938" s="264"/>
      <c r="D938" s="264"/>
      <c r="E938" s="264"/>
      <c r="F938" s="264"/>
      <c r="G938" s="264"/>
      <c r="H938" s="264"/>
    </row>
    <row r="939" spans="1:8">
      <c r="A939" s="264"/>
      <c r="B939" s="264"/>
      <c r="C939" s="264"/>
      <c r="D939" s="264"/>
      <c r="E939" s="264"/>
      <c r="F939" s="264"/>
      <c r="G939" s="264"/>
      <c r="H939" s="264"/>
    </row>
    <row r="940" spans="1:8">
      <c r="A940" s="264"/>
      <c r="B940" s="264"/>
      <c r="C940" s="264"/>
      <c r="D940" s="264"/>
      <c r="E940" s="264"/>
      <c r="F940" s="264"/>
      <c r="G940" s="264"/>
      <c r="H940" s="264"/>
    </row>
    <row r="941" spans="1:8">
      <c r="A941" s="264"/>
      <c r="B941" s="264"/>
      <c r="C941" s="264"/>
      <c r="D941" s="264"/>
      <c r="E941" s="264"/>
      <c r="F941" s="264"/>
      <c r="G941" s="264"/>
      <c r="H941" s="264"/>
    </row>
    <row r="942" spans="1:8">
      <c r="A942" s="264"/>
      <c r="B942" s="264"/>
      <c r="C942" s="264"/>
      <c r="D942" s="264"/>
      <c r="E942" s="264"/>
      <c r="F942" s="264"/>
      <c r="G942" s="264"/>
      <c r="H942" s="264"/>
    </row>
    <row r="943" spans="1:8">
      <c r="A943" s="264"/>
      <c r="B943" s="264"/>
      <c r="C943" s="264"/>
      <c r="D943" s="264"/>
      <c r="E943" s="264"/>
      <c r="F943" s="264"/>
      <c r="G943" s="264"/>
      <c r="H943" s="264"/>
    </row>
    <row r="944" spans="1:8">
      <c r="A944" s="264"/>
      <c r="B944" s="264"/>
      <c r="C944" s="264"/>
      <c r="D944" s="264"/>
      <c r="E944" s="264"/>
      <c r="F944" s="264"/>
      <c r="G944" s="264"/>
      <c r="H944" s="264"/>
    </row>
    <row r="945" spans="1:8">
      <c r="A945" s="264"/>
      <c r="B945" s="264"/>
      <c r="C945" s="264"/>
      <c r="D945" s="264"/>
      <c r="E945" s="264"/>
      <c r="F945" s="264"/>
      <c r="G945" s="264"/>
      <c r="H945" s="264"/>
    </row>
    <row r="946" spans="1:8">
      <c r="A946" s="264"/>
      <c r="B946" s="264"/>
      <c r="C946" s="264"/>
      <c r="D946" s="264"/>
      <c r="E946" s="264"/>
      <c r="F946" s="264"/>
      <c r="G946" s="264"/>
      <c r="H946" s="264"/>
    </row>
    <row r="947" spans="1:8">
      <c r="A947" s="264"/>
      <c r="B947" s="264"/>
      <c r="C947" s="264"/>
      <c r="D947" s="264"/>
      <c r="E947" s="264"/>
      <c r="F947" s="264"/>
      <c r="G947" s="264"/>
      <c r="H947" s="264"/>
    </row>
    <row r="948" spans="1:8">
      <c r="A948" s="264"/>
      <c r="B948" s="264"/>
      <c r="C948" s="264"/>
      <c r="D948" s="264"/>
      <c r="E948" s="264"/>
      <c r="F948" s="264"/>
      <c r="G948" s="264"/>
      <c r="H948" s="264"/>
    </row>
    <row r="949" spans="1:8">
      <c r="A949" s="264"/>
      <c r="B949" s="264"/>
      <c r="C949" s="264"/>
      <c r="D949" s="264"/>
      <c r="E949" s="264"/>
      <c r="F949" s="264"/>
      <c r="G949" s="264"/>
      <c r="H949" s="264"/>
    </row>
    <row r="950" spans="1:8">
      <c r="A950" s="264"/>
      <c r="B950" s="264"/>
      <c r="C950" s="264"/>
      <c r="D950" s="264"/>
      <c r="E950" s="264"/>
      <c r="F950" s="264"/>
      <c r="G950" s="264"/>
      <c r="H950" s="264"/>
    </row>
    <row r="951" spans="1:8">
      <c r="A951" s="264"/>
      <c r="B951" s="264"/>
      <c r="C951" s="264"/>
      <c r="D951" s="264"/>
      <c r="E951" s="264"/>
      <c r="F951" s="264"/>
      <c r="G951" s="264"/>
      <c r="H951" s="264"/>
    </row>
    <row r="952" spans="1:8">
      <c r="A952" s="264"/>
      <c r="B952" s="264"/>
      <c r="C952" s="264"/>
      <c r="D952" s="264"/>
      <c r="E952" s="264"/>
      <c r="F952" s="264"/>
      <c r="G952" s="264"/>
      <c r="H952" s="264"/>
    </row>
    <row r="953" spans="1:8">
      <c r="A953" s="264"/>
      <c r="B953" s="264"/>
      <c r="C953" s="264"/>
      <c r="D953" s="264"/>
      <c r="E953" s="264"/>
      <c r="F953" s="264"/>
      <c r="G953" s="264"/>
      <c r="H953" s="264"/>
    </row>
    <row r="954" spans="1:8">
      <c r="A954" s="264"/>
      <c r="B954" s="264"/>
      <c r="C954" s="264"/>
      <c r="D954" s="264"/>
      <c r="E954" s="264"/>
      <c r="F954" s="264"/>
      <c r="G954" s="264"/>
      <c r="H954" s="264"/>
    </row>
    <row r="955" spans="1:8">
      <c r="A955" s="264"/>
      <c r="B955" s="264"/>
      <c r="C955" s="264"/>
      <c r="D955" s="264"/>
      <c r="E955" s="264"/>
      <c r="F955" s="264"/>
      <c r="G955" s="264"/>
      <c r="H955" s="264"/>
    </row>
    <row r="956" spans="1:8">
      <c r="A956" s="264"/>
      <c r="B956" s="264"/>
      <c r="C956" s="264"/>
      <c r="D956" s="264"/>
      <c r="E956" s="264"/>
      <c r="F956" s="264"/>
      <c r="G956" s="264"/>
      <c r="H956" s="264"/>
    </row>
    <row r="957" spans="1:8">
      <c r="A957" s="264"/>
      <c r="B957" s="264"/>
      <c r="C957" s="264"/>
      <c r="D957" s="264"/>
      <c r="E957" s="264"/>
      <c r="F957" s="264"/>
      <c r="G957" s="264"/>
      <c r="H957" s="264"/>
    </row>
    <row r="958" spans="1:8">
      <c r="A958" s="264"/>
      <c r="B958" s="264"/>
      <c r="C958" s="264"/>
      <c r="D958" s="264"/>
      <c r="E958" s="264"/>
      <c r="F958" s="264"/>
      <c r="G958" s="264"/>
      <c r="H958" s="264"/>
    </row>
    <row r="959" spans="1:8">
      <c r="A959" s="264"/>
      <c r="B959" s="264"/>
      <c r="C959" s="264"/>
      <c r="D959" s="264"/>
      <c r="E959" s="264"/>
      <c r="F959" s="264"/>
      <c r="G959" s="264"/>
      <c r="H959" s="264"/>
    </row>
    <row r="960" spans="1:8">
      <c r="A960" s="264"/>
      <c r="B960" s="264"/>
      <c r="C960" s="264"/>
      <c r="D960" s="264"/>
      <c r="E960" s="264"/>
      <c r="F960" s="264"/>
      <c r="G960" s="264"/>
      <c r="H960" s="264"/>
    </row>
    <row r="961" spans="1:8">
      <c r="A961" s="264"/>
      <c r="B961" s="264"/>
      <c r="C961" s="264"/>
      <c r="D961" s="264"/>
      <c r="E961" s="264"/>
      <c r="F961" s="264"/>
      <c r="G961" s="264"/>
      <c r="H961" s="264"/>
    </row>
    <row r="962" spans="1:8">
      <c r="A962" s="264"/>
      <c r="B962" s="264"/>
      <c r="C962" s="264"/>
      <c r="D962" s="264"/>
      <c r="E962" s="264"/>
      <c r="F962" s="264"/>
      <c r="G962" s="264"/>
      <c r="H962" s="264"/>
    </row>
    <row r="963" spans="1:8">
      <c r="A963" s="264"/>
      <c r="B963" s="264"/>
      <c r="C963" s="264"/>
      <c r="D963" s="264"/>
      <c r="E963" s="264"/>
      <c r="F963" s="264"/>
      <c r="G963" s="264"/>
      <c r="H963" s="264"/>
    </row>
    <row r="964" spans="1:8">
      <c r="A964" s="264"/>
      <c r="B964" s="264"/>
      <c r="C964" s="264"/>
      <c r="D964" s="264"/>
      <c r="E964" s="264"/>
      <c r="F964" s="264"/>
      <c r="G964" s="264"/>
      <c r="H964" s="264"/>
    </row>
    <row r="965" spans="1:8">
      <c r="A965" s="264"/>
      <c r="B965" s="264"/>
      <c r="C965" s="264"/>
      <c r="D965" s="264"/>
      <c r="E965" s="264"/>
      <c r="F965" s="264"/>
      <c r="G965" s="264"/>
      <c r="H965" s="264"/>
    </row>
    <row r="966" spans="1:8">
      <c r="A966" s="264"/>
      <c r="B966" s="264"/>
      <c r="C966" s="264"/>
      <c r="D966" s="264"/>
      <c r="E966" s="264"/>
      <c r="F966" s="264"/>
      <c r="G966" s="264"/>
      <c r="H966" s="264"/>
    </row>
    <row r="967" spans="1:8">
      <c r="A967" s="264"/>
      <c r="B967" s="264"/>
      <c r="C967" s="264"/>
      <c r="D967" s="264"/>
      <c r="E967" s="264"/>
      <c r="F967" s="264"/>
      <c r="G967" s="264"/>
      <c r="H967" s="264"/>
    </row>
    <row r="968" spans="1:8">
      <c r="A968" s="264"/>
      <c r="B968" s="264"/>
      <c r="C968" s="264"/>
      <c r="D968" s="264"/>
      <c r="E968" s="264"/>
      <c r="F968" s="264"/>
      <c r="G968" s="264"/>
      <c r="H968" s="264"/>
    </row>
    <row r="969" spans="1:8">
      <c r="A969" s="264"/>
      <c r="B969" s="264"/>
      <c r="C969" s="264"/>
      <c r="D969" s="264"/>
      <c r="E969" s="264"/>
      <c r="F969" s="264"/>
      <c r="G969" s="264"/>
      <c r="H969" s="264"/>
    </row>
    <row r="970" spans="1:8">
      <c r="A970" s="264"/>
      <c r="B970" s="264"/>
      <c r="C970" s="264"/>
      <c r="D970" s="264"/>
      <c r="E970" s="264"/>
      <c r="F970" s="264"/>
      <c r="G970" s="264"/>
      <c r="H970" s="264"/>
    </row>
    <row r="971" spans="1:8">
      <c r="A971" s="264"/>
      <c r="B971" s="264"/>
      <c r="C971" s="264"/>
      <c r="D971" s="264"/>
      <c r="E971" s="264"/>
      <c r="F971" s="264"/>
      <c r="G971" s="264"/>
      <c r="H971" s="264"/>
    </row>
    <row r="972" spans="1:8">
      <c r="A972" s="264"/>
      <c r="B972" s="264"/>
      <c r="C972" s="264"/>
      <c r="D972" s="264"/>
      <c r="E972" s="264"/>
      <c r="F972" s="264"/>
      <c r="G972" s="264"/>
      <c r="H972" s="264"/>
    </row>
    <row r="973" spans="1:8">
      <c r="A973" s="264"/>
      <c r="B973" s="264"/>
      <c r="C973" s="264"/>
      <c r="D973" s="264"/>
      <c r="E973" s="264"/>
      <c r="F973" s="264"/>
      <c r="G973" s="264"/>
      <c r="H973" s="264"/>
    </row>
    <row r="974" spans="1:8">
      <c r="A974" s="264"/>
      <c r="B974" s="264"/>
      <c r="C974" s="264"/>
      <c r="D974" s="264"/>
      <c r="E974" s="264"/>
      <c r="F974" s="264"/>
      <c r="G974" s="264"/>
      <c r="H974" s="264"/>
    </row>
    <row r="975" spans="1:8">
      <c r="A975" s="264"/>
      <c r="B975" s="264"/>
      <c r="C975" s="264"/>
      <c r="D975" s="264"/>
      <c r="E975" s="264"/>
      <c r="F975" s="264"/>
      <c r="G975" s="264"/>
      <c r="H975" s="264"/>
    </row>
    <row r="976" spans="1:8">
      <c r="A976" s="264"/>
      <c r="B976" s="264"/>
      <c r="C976" s="264"/>
      <c r="D976" s="264"/>
      <c r="E976" s="264"/>
      <c r="F976" s="264"/>
      <c r="G976" s="264"/>
      <c r="H976" s="264"/>
    </row>
    <row r="977" spans="1:8">
      <c r="A977" s="264"/>
      <c r="B977" s="264"/>
      <c r="C977" s="264"/>
      <c r="D977" s="264"/>
      <c r="E977" s="264"/>
      <c r="F977" s="264"/>
      <c r="G977" s="264"/>
      <c r="H977" s="264"/>
    </row>
    <row r="978" spans="1:8">
      <c r="A978" s="264"/>
      <c r="B978" s="264"/>
      <c r="C978" s="264"/>
      <c r="D978" s="264"/>
      <c r="E978" s="264"/>
      <c r="F978" s="264"/>
      <c r="G978" s="264"/>
      <c r="H978" s="264"/>
    </row>
    <row r="979" spans="1:8">
      <c r="A979" s="264"/>
      <c r="B979" s="264"/>
      <c r="C979" s="264"/>
      <c r="D979" s="264"/>
      <c r="E979" s="264"/>
      <c r="F979" s="264"/>
      <c r="G979" s="264"/>
      <c r="H979" s="264"/>
    </row>
    <row r="980" spans="1:8">
      <c r="A980" s="264"/>
      <c r="B980" s="264"/>
      <c r="C980" s="264"/>
      <c r="D980" s="264"/>
      <c r="E980" s="264"/>
      <c r="F980" s="264"/>
      <c r="G980" s="264"/>
      <c r="H980" s="264"/>
    </row>
    <row r="981" spans="1:8">
      <c r="A981" s="264"/>
      <c r="B981" s="264"/>
      <c r="C981" s="264"/>
      <c r="D981" s="264"/>
      <c r="E981" s="264"/>
      <c r="F981" s="264"/>
      <c r="G981" s="264"/>
      <c r="H981" s="264"/>
    </row>
    <row r="982" spans="1:8">
      <c r="A982" s="264"/>
      <c r="B982" s="264"/>
      <c r="C982" s="264"/>
      <c r="D982" s="264"/>
      <c r="E982" s="264"/>
      <c r="F982" s="264"/>
      <c r="G982" s="264"/>
      <c r="H982" s="264"/>
    </row>
    <row r="983" spans="1:8">
      <c r="A983" s="264"/>
      <c r="B983" s="264"/>
      <c r="C983" s="264"/>
      <c r="D983" s="264"/>
      <c r="E983" s="264"/>
      <c r="F983" s="264"/>
      <c r="G983" s="264"/>
      <c r="H983" s="264"/>
    </row>
    <row r="984" spans="1:8">
      <c r="A984" s="264"/>
      <c r="B984" s="264"/>
      <c r="C984" s="264"/>
      <c r="D984" s="264"/>
      <c r="E984" s="264"/>
      <c r="F984" s="264"/>
      <c r="G984" s="264"/>
      <c r="H984" s="264"/>
    </row>
    <row r="985" spans="1:8">
      <c r="A985" s="264"/>
      <c r="B985" s="264"/>
      <c r="C985" s="264"/>
      <c r="D985" s="264"/>
      <c r="E985" s="264"/>
      <c r="F985" s="264"/>
      <c r="G985" s="264"/>
      <c r="H985" s="264"/>
    </row>
    <row r="986" spans="1:8">
      <c r="A986" s="264"/>
      <c r="B986" s="264"/>
      <c r="C986" s="264"/>
      <c r="D986" s="264"/>
      <c r="E986" s="264"/>
      <c r="F986" s="264"/>
      <c r="G986" s="264"/>
      <c r="H986" s="264"/>
    </row>
    <row r="987" spans="1:8">
      <c r="A987" s="264"/>
      <c r="B987" s="264"/>
      <c r="C987" s="264"/>
      <c r="D987" s="264"/>
      <c r="E987" s="264"/>
      <c r="F987" s="264"/>
      <c r="G987" s="264"/>
      <c r="H987" s="264"/>
    </row>
    <row r="988" spans="1:8">
      <c r="A988" s="264"/>
      <c r="B988" s="264"/>
      <c r="C988" s="264"/>
      <c r="D988" s="264"/>
      <c r="E988" s="264"/>
      <c r="F988" s="264"/>
      <c r="G988" s="264"/>
      <c r="H988" s="264"/>
    </row>
    <row r="989" spans="1:8">
      <c r="A989" s="264"/>
      <c r="B989" s="264"/>
      <c r="C989" s="264"/>
      <c r="D989" s="264"/>
      <c r="E989" s="264"/>
      <c r="F989" s="264"/>
      <c r="G989" s="264"/>
      <c r="H989" s="264"/>
    </row>
    <row r="990" spans="1:8">
      <c r="A990" s="264"/>
      <c r="B990" s="264"/>
      <c r="C990" s="264"/>
      <c r="D990" s="264"/>
      <c r="E990" s="264"/>
      <c r="F990" s="264"/>
      <c r="G990" s="264"/>
      <c r="H990" s="264"/>
    </row>
    <row r="991" spans="1:8">
      <c r="A991" s="264"/>
      <c r="B991" s="264"/>
      <c r="C991" s="264"/>
      <c r="D991" s="264"/>
      <c r="E991" s="264"/>
      <c r="F991" s="264"/>
      <c r="G991" s="264"/>
      <c r="H991" s="264"/>
    </row>
    <row r="992" spans="1:8">
      <c r="A992" s="264"/>
      <c r="B992" s="264"/>
      <c r="C992" s="264"/>
      <c r="D992" s="264"/>
      <c r="E992" s="264"/>
      <c r="F992" s="264"/>
      <c r="G992" s="264"/>
      <c r="H992" s="264"/>
    </row>
    <row r="993" spans="1:11">
      <c r="A993" s="264"/>
      <c r="B993" s="264"/>
      <c r="C993" s="264"/>
      <c r="D993" s="264"/>
      <c r="E993" s="264"/>
      <c r="F993" s="264"/>
      <c r="G993" s="264"/>
      <c r="H993" s="264"/>
    </row>
    <row r="994" spans="1:11">
      <c r="A994" s="264"/>
      <c r="B994" s="264"/>
      <c r="C994" s="264"/>
      <c r="D994" s="264"/>
      <c r="E994" s="264"/>
      <c r="F994" s="264"/>
      <c r="G994" s="264"/>
      <c r="H994" s="264"/>
    </row>
    <row r="995" spans="1:11">
      <c r="A995" s="264"/>
      <c r="B995" s="264"/>
      <c r="C995" s="264"/>
      <c r="D995" s="264"/>
      <c r="E995" s="264"/>
      <c r="F995" s="264"/>
      <c r="G995" s="264"/>
      <c r="H995" s="264"/>
    </row>
    <row r="996" spans="1:11">
      <c r="A996" s="264"/>
      <c r="B996" s="264"/>
      <c r="C996" s="264"/>
      <c r="D996" s="264"/>
      <c r="E996" s="264"/>
      <c r="F996" s="264"/>
      <c r="G996" s="264"/>
      <c r="H996" s="264"/>
    </row>
    <row r="997" spans="1:11">
      <c r="A997" s="264"/>
      <c r="B997" s="264"/>
      <c r="C997" s="264"/>
      <c r="D997" s="264"/>
      <c r="E997" s="264"/>
      <c r="F997" s="264"/>
      <c r="G997" s="264"/>
      <c r="H997" s="264"/>
    </row>
    <row r="998" spans="1:11">
      <c r="A998" s="264"/>
      <c r="B998" s="264"/>
      <c r="C998" s="264"/>
      <c r="D998" s="264"/>
      <c r="E998" s="264"/>
      <c r="F998" s="264"/>
      <c r="G998" s="264"/>
      <c r="H998" s="264"/>
    </row>
    <row r="999" spans="1:11">
      <c r="A999" s="264"/>
      <c r="B999" s="264"/>
      <c r="C999" s="264"/>
      <c r="D999" s="264"/>
      <c r="E999" s="264"/>
      <c r="F999" s="264"/>
      <c r="G999" s="264"/>
      <c r="H999" s="264"/>
    </row>
    <row r="1000" spans="1:11">
      <c r="A1000" s="264"/>
      <c r="B1000" s="264"/>
      <c r="C1000" s="264"/>
      <c r="D1000" s="264"/>
      <c r="E1000" s="264"/>
      <c r="F1000" s="264"/>
      <c r="G1000" s="264"/>
      <c r="H1000" s="264"/>
    </row>
    <row r="1006" spans="1:11">
      <c r="K1006" s="310" t="s">
        <v>650</v>
      </c>
    </row>
    <row r="1007" spans="1:11">
      <c r="K1007" s="310" t="s">
        <v>659</v>
      </c>
    </row>
    <row r="1008" spans="1:11">
      <c r="K1008" s="310" t="s">
        <v>659</v>
      </c>
    </row>
  </sheetData>
  <mergeCells count="8">
    <mergeCell ref="H3:H4"/>
    <mergeCell ref="A2:H2"/>
    <mergeCell ref="A3:A4"/>
    <mergeCell ref="D3:E3"/>
    <mergeCell ref="F3:F4"/>
    <mergeCell ref="G3:G4"/>
    <mergeCell ref="C3:C4"/>
    <mergeCell ref="B3:B4"/>
  </mergeCells>
  <hyperlinks>
    <hyperlink ref="K1006" location="QTDT!$B$5" display="DHQGHN"/>
    <hyperlink ref="K1007" location="QTDT!$B$6" display="dhqg"/>
    <hyperlink ref="K1008" location="QTDT!$B$7" display="dhqg"/>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01"/>
  <sheetViews>
    <sheetView zoomScale="85" zoomScaleNormal="85" workbookViewId="0">
      <selection activeCell="B11" sqref="B11"/>
    </sheetView>
  </sheetViews>
  <sheetFormatPr defaultRowHeight="15"/>
  <cols>
    <col min="1" max="1" width="17.85546875" style="268" customWidth="1"/>
    <col min="2" max="2" width="97.140625" style="268" customWidth="1"/>
  </cols>
  <sheetData>
    <row r="1" spans="1:2" ht="26.25">
      <c r="A1" s="618" t="s">
        <v>669</v>
      </c>
      <c r="B1" s="618"/>
    </row>
    <row r="2" spans="1:2">
      <c r="A2" s="270" t="s">
        <v>9</v>
      </c>
      <c r="B2" s="270" t="s">
        <v>669</v>
      </c>
    </row>
    <row r="3" spans="1:2">
      <c r="A3" s="269" t="s">
        <v>549</v>
      </c>
      <c r="B3" s="269"/>
    </row>
    <row r="4" spans="1:2">
      <c r="A4" s="269"/>
      <c r="B4" s="269"/>
    </row>
    <row r="5" spans="1:2">
      <c r="A5" s="269"/>
      <c r="B5" s="269"/>
    </row>
    <row r="6" spans="1:2">
      <c r="A6" s="271"/>
      <c r="B6" s="271"/>
    </row>
    <row r="7" spans="1:2">
      <c r="A7" s="269"/>
      <c r="B7" s="269"/>
    </row>
    <row r="8" spans="1:2">
      <c r="A8" s="271"/>
      <c r="B8" s="271"/>
    </row>
    <row r="9" spans="1:2">
      <c r="A9" s="269"/>
      <c r="B9" s="269"/>
    </row>
    <row r="10" spans="1:2">
      <c r="A10" s="269"/>
      <c r="B10" s="269"/>
    </row>
    <row r="11" spans="1:2">
      <c r="A11" s="269"/>
      <c r="B11" s="269"/>
    </row>
    <row r="12" spans="1:2">
      <c r="A12" s="269"/>
      <c r="B12" s="269"/>
    </row>
    <row r="13" spans="1:2">
      <c r="A13" s="269"/>
      <c r="B13" s="269"/>
    </row>
    <row r="14" spans="1:2">
      <c r="A14" s="269"/>
      <c r="B14" s="269"/>
    </row>
    <row r="15" spans="1:2">
      <c r="A15" s="269"/>
      <c r="B15" s="269"/>
    </row>
    <row r="16" spans="1:2">
      <c r="A16" s="269"/>
      <c r="B16" s="269"/>
    </row>
    <row r="17" spans="1:2">
      <c r="A17" s="269"/>
      <c r="B17" s="269"/>
    </row>
    <row r="18" spans="1:2">
      <c r="A18" s="269"/>
      <c r="B18" s="269"/>
    </row>
    <row r="19" spans="1:2">
      <c r="A19" s="269"/>
      <c r="B19" s="269"/>
    </row>
    <row r="20" spans="1:2">
      <c r="A20" s="269"/>
      <c r="B20" s="269"/>
    </row>
    <row r="21" spans="1:2">
      <c r="A21" s="269"/>
      <c r="B21" s="269"/>
    </row>
    <row r="22" spans="1:2">
      <c r="A22" s="269"/>
      <c r="B22" s="269"/>
    </row>
    <row r="23" spans="1:2">
      <c r="A23" s="269"/>
      <c r="B23" s="269"/>
    </row>
    <row r="24" spans="1:2">
      <c r="A24" s="269"/>
      <c r="B24" s="269"/>
    </row>
    <row r="25" spans="1:2">
      <c r="A25" s="269"/>
      <c r="B25" s="269"/>
    </row>
    <row r="26" spans="1:2">
      <c r="A26" s="269"/>
      <c r="B26" s="269"/>
    </row>
    <row r="27" spans="1:2">
      <c r="A27" s="269"/>
      <c r="B27" s="269"/>
    </row>
    <row r="28" spans="1:2">
      <c r="A28" s="269"/>
      <c r="B28" s="269"/>
    </row>
    <row r="29" spans="1:2">
      <c r="A29" s="269"/>
      <c r="B29" s="269"/>
    </row>
    <row r="30" spans="1:2">
      <c r="A30" s="269"/>
      <c r="B30" s="269"/>
    </row>
    <row r="31" spans="1:2">
      <c r="A31" s="269"/>
      <c r="B31" s="269"/>
    </row>
    <row r="32" spans="1:2">
      <c r="A32" s="269"/>
      <c r="B32" s="269"/>
    </row>
    <row r="33" spans="1:2">
      <c r="A33" s="269"/>
      <c r="B33" s="269"/>
    </row>
    <row r="34" spans="1:2">
      <c r="A34" s="269"/>
      <c r="B34" s="269"/>
    </row>
    <row r="35" spans="1:2">
      <c r="A35" s="269"/>
      <c r="B35" s="269"/>
    </row>
    <row r="36" spans="1:2">
      <c r="A36" s="269"/>
      <c r="B36" s="269"/>
    </row>
    <row r="37" spans="1:2">
      <c r="A37" s="269"/>
      <c r="B37" s="269"/>
    </row>
    <row r="38" spans="1:2">
      <c r="A38" s="269"/>
      <c r="B38" s="269"/>
    </row>
    <row r="39" spans="1:2">
      <c r="A39" s="269"/>
      <c r="B39" s="269"/>
    </row>
    <row r="40" spans="1:2">
      <c r="A40" s="269"/>
      <c r="B40" s="269"/>
    </row>
    <row r="41" spans="1:2">
      <c r="A41" s="269"/>
      <c r="B41" s="269"/>
    </row>
    <row r="42" spans="1:2">
      <c r="A42" s="269"/>
      <c r="B42" s="269"/>
    </row>
    <row r="43" spans="1:2">
      <c r="A43" s="269"/>
      <c r="B43" s="269"/>
    </row>
    <row r="44" spans="1:2">
      <c r="A44" s="269"/>
      <c r="B44" s="269"/>
    </row>
    <row r="45" spans="1:2">
      <c r="A45" s="269"/>
      <c r="B45" s="269"/>
    </row>
    <row r="46" spans="1:2">
      <c r="A46" s="269"/>
      <c r="B46" s="269"/>
    </row>
    <row r="47" spans="1:2">
      <c r="A47" s="269"/>
      <c r="B47" s="269"/>
    </row>
    <row r="48" spans="1:2">
      <c r="A48" s="269"/>
      <c r="B48" s="269"/>
    </row>
    <row r="49" spans="1:16">
      <c r="A49" s="269"/>
      <c r="B49" s="269"/>
    </row>
    <row r="50" spans="1:16">
      <c r="A50" s="269"/>
      <c r="B50" s="269"/>
    </row>
    <row r="51" spans="1:16">
      <c r="A51" s="269"/>
      <c r="B51" s="269"/>
    </row>
    <row r="52" spans="1:16">
      <c r="A52" s="269"/>
      <c r="B52" s="269"/>
    </row>
    <row r="53" spans="1:16">
      <c r="A53" s="269"/>
      <c r="B53" s="269"/>
    </row>
    <row r="54" spans="1:16">
      <c r="A54" s="269"/>
      <c r="B54" s="269"/>
    </row>
    <row r="55" spans="1:16">
      <c r="A55" s="269"/>
      <c r="B55" s="269"/>
    </row>
    <row r="56" spans="1:16">
      <c r="A56" s="269"/>
      <c r="B56" s="269"/>
    </row>
    <row r="57" spans="1:16">
      <c r="A57" s="269"/>
      <c r="B57" s="269"/>
    </row>
    <row r="58" spans="1:16">
      <c r="A58" s="269"/>
      <c r="B58" s="269"/>
    </row>
    <row r="59" spans="1:16">
      <c r="A59" s="269"/>
      <c r="B59" s="269"/>
    </row>
    <row r="60" spans="1:16">
      <c r="A60" s="269"/>
      <c r="B60" s="269"/>
      <c r="C60" s="268"/>
      <c r="D60" s="268"/>
      <c r="E60" s="268"/>
      <c r="F60" s="268"/>
      <c r="G60" s="268"/>
      <c r="H60" s="268"/>
      <c r="I60" s="268"/>
      <c r="J60" s="268"/>
      <c r="K60" s="268"/>
      <c r="L60" s="268"/>
      <c r="M60" s="268"/>
      <c r="N60" s="268"/>
      <c r="O60" s="268"/>
      <c r="P60" s="268"/>
    </row>
    <row r="61" spans="1:16">
      <c r="A61" s="269"/>
      <c r="B61" s="269"/>
      <c r="C61" s="268"/>
      <c r="D61" s="268"/>
      <c r="E61" s="268"/>
      <c r="F61" s="268"/>
      <c r="G61" s="268"/>
      <c r="H61" s="268"/>
      <c r="I61" s="268"/>
      <c r="J61" s="268"/>
      <c r="K61" s="268"/>
      <c r="L61" s="268"/>
      <c r="M61" s="268"/>
      <c r="N61" s="268"/>
      <c r="O61" s="268"/>
      <c r="P61" s="268"/>
    </row>
    <row r="62" spans="1:16">
      <c r="A62" s="269"/>
      <c r="B62" s="269"/>
    </row>
    <row r="63" spans="1:16">
      <c r="A63" s="269"/>
      <c r="B63" s="269"/>
    </row>
    <row r="64" spans="1:16">
      <c r="A64" s="269"/>
      <c r="B64" s="269"/>
    </row>
    <row r="65" spans="1:2">
      <c r="A65" s="269"/>
      <c r="B65" s="269"/>
    </row>
    <row r="66" spans="1:2">
      <c r="A66" s="269"/>
      <c r="B66" s="269"/>
    </row>
    <row r="67" spans="1:2">
      <c r="A67" s="269"/>
      <c r="B67" s="269"/>
    </row>
    <row r="68" spans="1:2">
      <c r="A68" s="269"/>
      <c r="B68" s="269"/>
    </row>
    <row r="69" spans="1:2">
      <c r="A69" s="269"/>
      <c r="B69" s="269"/>
    </row>
    <row r="70" spans="1:2">
      <c r="A70" s="269"/>
      <c r="B70" s="269"/>
    </row>
    <row r="71" spans="1:2">
      <c r="A71" s="269"/>
      <c r="B71" s="269"/>
    </row>
    <row r="72" spans="1:2">
      <c r="A72" s="269"/>
      <c r="B72" s="269"/>
    </row>
    <row r="73" spans="1:2">
      <c r="A73" s="269"/>
      <c r="B73" s="269"/>
    </row>
    <row r="74" spans="1:2">
      <c r="A74" s="269"/>
      <c r="B74" s="269"/>
    </row>
    <row r="75" spans="1:2">
      <c r="A75" s="269"/>
      <c r="B75" s="269"/>
    </row>
    <row r="76" spans="1:2">
      <c r="A76" s="269"/>
      <c r="B76" s="269"/>
    </row>
    <row r="77" spans="1:2">
      <c r="A77" s="269"/>
      <c r="B77" s="269"/>
    </row>
    <row r="78" spans="1:2">
      <c r="A78" s="269"/>
      <c r="B78" s="269"/>
    </row>
    <row r="79" spans="1:2">
      <c r="A79" s="269"/>
      <c r="B79" s="269"/>
    </row>
    <row r="80" spans="1:2">
      <c r="A80" s="269"/>
      <c r="B80" s="269"/>
    </row>
    <row r="81" spans="1:2">
      <c r="A81" s="269"/>
      <c r="B81" s="269"/>
    </row>
    <row r="82" spans="1:2">
      <c r="A82" s="269"/>
      <c r="B82" s="269"/>
    </row>
    <row r="83" spans="1:2">
      <c r="A83" s="269"/>
      <c r="B83" s="269"/>
    </row>
    <row r="84" spans="1:2">
      <c r="A84" s="269"/>
      <c r="B84" s="269"/>
    </row>
    <row r="85" spans="1:2">
      <c r="A85" s="269"/>
      <c r="B85" s="269"/>
    </row>
    <row r="86" spans="1:2">
      <c r="A86" s="269"/>
      <c r="B86" s="269"/>
    </row>
    <row r="87" spans="1:2">
      <c r="A87" s="269"/>
      <c r="B87" s="269"/>
    </row>
    <row r="88" spans="1:2">
      <c r="A88" s="269"/>
      <c r="B88" s="269"/>
    </row>
    <row r="89" spans="1:2">
      <c r="A89" s="269"/>
      <c r="B89" s="269"/>
    </row>
    <row r="90" spans="1:2">
      <c r="A90" s="269"/>
      <c r="B90" s="269"/>
    </row>
    <row r="91" spans="1:2">
      <c r="A91" s="269"/>
      <c r="B91" s="269"/>
    </row>
    <row r="92" spans="1:2">
      <c r="A92" s="269"/>
      <c r="B92" s="269"/>
    </row>
    <row r="93" spans="1:2">
      <c r="A93" s="269"/>
      <c r="B93" s="269"/>
    </row>
    <row r="94" spans="1:2">
      <c r="A94" s="269"/>
      <c r="B94" s="269"/>
    </row>
    <row r="95" spans="1:2">
      <c r="A95" s="269"/>
      <c r="B95" s="269"/>
    </row>
    <row r="96" spans="1:2">
      <c r="A96" s="269"/>
      <c r="B96" s="269"/>
    </row>
    <row r="97" spans="1:2">
      <c r="A97" s="269"/>
      <c r="B97" s="269"/>
    </row>
    <row r="98" spans="1:2">
      <c r="A98" s="269"/>
      <c r="B98" s="269"/>
    </row>
    <row r="99" spans="1:2">
      <c r="A99" s="269"/>
      <c r="B99" s="269"/>
    </row>
    <row r="100" spans="1:2">
      <c r="A100" s="269"/>
      <c r="B100" s="269"/>
    </row>
    <row r="101" spans="1:2">
      <c r="A101" s="269"/>
      <c r="B101" s="269"/>
    </row>
    <row r="102" spans="1:2">
      <c r="A102" s="269"/>
      <c r="B102" s="269"/>
    </row>
    <row r="103" spans="1:2">
      <c r="A103" s="269"/>
      <c r="B103" s="269"/>
    </row>
    <row r="104" spans="1:2">
      <c r="A104" s="269"/>
      <c r="B104" s="269"/>
    </row>
    <row r="105" spans="1:2">
      <c r="A105" s="269"/>
      <c r="B105" s="269"/>
    </row>
    <row r="106" spans="1:2">
      <c r="A106" s="269"/>
      <c r="B106" s="269"/>
    </row>
    <row r="107" spans="1:2">
      <c r="A107" s="269"/>
      <c r="B107" s="269"/>
    </row>
    <row r="108" spans="1:2">
      <c r="A108" s="269"/>
      <c r="B108" s="269"/>
    </row>
    <row r="109" spans="1:2">
      <c r="A109" s="269"/>
      <c r="B109" s="269"/>
    </row>
    <row r="110" spans="1:2">
      <c r="A110" s="269"/>
      <c r="B110" s="269"/>
    </row>
    <row r="111" spans="1:2">
      <c r="A111" s="269"/>
      <c r="B111" s="269"/>
    </row>
    <row r="112" spans="1:2">
      <c r="A112" s="269"/>
      <c r="B112" s="269"/>
    </row>
    <row r="113" spans="1:2">
      <c r="A113" s="269"/>
      <c r="B113" s="269"/>
    </row>
    <row r="114" spans="1:2">
      <c r="A114" s="269"/>
      <c r="B114" s="269"/>
    </row>
    <row r="115" spans="1:2">
      <c r="A115" s="269"/>
      <c r="B115" s="269"/>
    </row>
    <row r="116" spans="1:2">
      <c r="A116" s="269"/>
      <c r="B116" s="269"/>
    </row>
    <row r="117" spans="1:2">
      <c r="A117" s="269"/>
      <c r="B117" s="269"/>
    </row>
    <row r="118" spans="1:2">
      <c r="A118" s="269"/>
      <c r="B118" s="269"/>
    </row>
    <row r="119" spans="1:2">
      <c r="A119" s="269"/>
      <c r="B119" s="269"/>
    </row>
    <row r="120" spans="1:2">
      <c r="A120" s="269"/>
      <c r="B120" s="269"/>
    </row>
    <row r="121" spans="1:2">
      <c r="A121" s="269"/>
      <c r="B121" s="269"/>
    </row>
    <row r="122" spans="1:2">
      <c r="A122" s="269"/>
      <c r="B122" s="269"/>
    </row>
    <row r="123" spans="1:2">
      <c r="A123" s="269"/>
      <c r="B123" s="269"/>
    </row>
    <row r="124" spans="1:2">
      <c r="A124" s="269"/>
      <c r="B124" s="269"/>
    </row>
    <row r="125" spans="1:2">
      <c r="A125" s="269"/>
      <c r="B125" s="269"/>
    </row>
    <row r="126" spans="1:2">
      <c r="A126" s="269"/>
      <c r="B126" s="269"/>
    </row>
    <row r="127" spans="1:2">
      <c r="A127" s="269"/>
      <c r="B127" s="269"/>
    </row>
    <row r="128" spans="1:2">
      <c r="A128" s="269"/>
      <c r="B128" s="269"/>
    </row>
    <row r="129" spans="1:2">
      <c r="A129" s="269"/>
      <c r="B129" s="269"/>
    </row>
    <row r="130" spans="1:2">
      <c r="A130" s="269"/>
      <c r="B130" s="269"/>
    </row>
    <row r="131" spans="1:2">
      <c r="A131" s="269"/>
      <c r="B131" s="269"/>
    </row>
    <row r="132" spans="1:2">
      <c r="A132" s="269"/>
      <c r="B132" s="269"/>
    </row>
    <row r="133" spans="1:2">
      <c r="A133" s="269"/>
      <c r="B133" s="269"/>
    </row>
    <row r="134" spans="1:2">
      <c r="A134" s="269"/>
      <c r="B134" s="269"/>
    </row>
    <row r="135" spans="1:2">
      <c r="A135" s="269"/>
      <c r="B135" s="269"/>
    </row>
    <row r="136" spans="1:2">
      <c r="A136" s="269"/>
      <c r="B136" s="269"/>
    </row>
    <row r="137" spans="1:2">
      <c r="A137" s="269"/>
      <c r="B137" s="269"/>
    </row>
    <row r="138" spans="1:2">
      <c r="A138" s="269"/>
      <c r="B138" s="269"/>
    </row>
    <row r="139" spans="1:2">
      <c r="A139" s="269"/>
      <c r="B139" s="269"/>
    </row>
    <row r="140" spans="1:2">
      <c r="A140" s="269"/>
      <c r="B140" s="269"/>
    </row>
    <row r="141" spans="1:2">
      <c r="A141" s="269"/>
      <c r="B141" s="269"/>
    </row>
    <row r="142" spans="1:2">
      <c r="A142" s="269"/>
      <c r="B142" s="269"/>
    </row>
    <row r="143" spans="1:2">
      <c r="A143" s="269"/>
      <c r="B143" s="269"/>
    </row>
    <row r="144" spans="1:2">
      <c r="A144" s="269"/>
      <c r="B144" s="269"/>
    </row>
    <row r="145" spans="1:2">
      <c r="A145" s="269"/>
      <c r="B145" s="269"/>
    </row>
    <row r="146" spans="1:2">
      <c r="A146" s="269"/>
      <c r="B146" s="269"/>
    </row>
    <row r="147" spans="1:2">
      <c r="A147" s="269"/>
      <c r="B147" s="269"/>
    </row>
    <row r="148" spans="1:2">
      <c r="A148" s="269"/>
      <c r="B148" s="269"/>
    </row>
    <row r="149" spans="1:2">
      <c r="A149" s="269"/>
      <c r="B149" s="269"/>
    </row>
    <row r="150" spans="1:2">
      <c r="A150" s="269"/>
      <c r="B150" s="269"/>
    </row>
    <row r="151" spans="1:2">
      <c r="A151" s="269"/>
      <c r="B151" s="269"/>
    </row>
    <row r="152" spans="1:2">
      <c r="A152" s="269"/>
      <c r="B152" s="269"/>
    </row>
    <row r="153" spans="1:2">
      <c r="A153" s="269"/>
      <c r="B153" s="269"/>
    </row>
    <row r="154" spans="1:2">
      <c r="A154" s="269"/>
      <c r="B154" s="269"/>
    </row>
    <row r="155" spans="1:2">
      <c r="A155" s="269"/>
      <c r="B155" s="269"/>
    </row>
    <row r="156" spans="1:2">
      <c r="A156" s="269"/>
      <c r="B156" s="269"/>
    </row>
    <row r="157" spans="1:2">
      <c r="A157" s="269"/>
      <c r="B157" s="269"/>
    </row>
    <row r="158" spans="1:2">
      <c r="A158" s="269"/>
      <c r="B158" s="269"/>
    </row>
    <row r="159" spans="1:2">
      <c r="A159" s="269"/>
      <c r="B159" s="269"/>
    </row>
    <row r="160" spans="1:2">
      <c r="A160" s="269"/>
      <c r="B160" s="269"/>
    </row>
    <row r="161" spans="1:2">
      <c r="A161" s="269"/>
      <c r="B161" s="269"/>
    </row>
    <row r="162" spans="1:2">
      <c r="A162" s="269"/>
      <c r="B162" s="269"/>
    </row>
    <row r="163" spans="1:2">
      <c r="A163" s="269"/>
      <c r="B163" s="269"/>
    </row>
    <row r="164" spans="1:2">
      <c r="A164" s="269"/>
      <c r="B164" s="269"/>
    </row>
    <row r="165" spans="1:2">
      <c r="A165" s="269"/>
      <c r="B165" s="269"/>
    </row>
    <row r="166" spans="1:2">
      <c r="A166" s="269"/>
      <c r="B166" s="269"/>
    </row>
    <row r="167" spans="1:2">
      <c r="A167" s="269"/>
      <c r="B167" s="269"/>
    </row>
    <row r="168" spans="1:2">
      <c r="A168" s="269"/>
      <c r="B168" s="269"/>
    </row>
    <row r="169" spans="1:2">
      <c r="A169" s="269"/>
      <c r="B169" s="269"/>
    </row>
    <row r="170" spans="1:2">
      <c r="A170" s="269"/>
      <c r="B170" s="269"/>
    </row>
    <row r="171" spans="1:2">
      <c r="A171" s="269"/>
      <c r="B171" s="269"/>
    </row>
    <row r="172" spans="1:2">
      <c r="A172" s="269"/>
      <c r="B172" s="269"/>
    </row>
    <row r="173" spans="1:2">
      <c r="A173" s="269"/>
      <c r="B173" s="269"/>
    </row>
    <row r="174" spans="1:2">
      <c r="A174" s="269"/>
      <c r="B174" s="269"/>
    </row>
    <row r="175" spans="1:2">
      <c r="A175" s="269"/>
      <c r="B175" s="269"/>
    </row>
    <row r="176" spans="1:2">
      <c r="A176" s="269"/>
      <c r="B176" s="269"/>
    </row>
    <row r="177" spans="1:2">
      <c r="A177" s="269"/>
      <c r="B177" s="269"/>
    </row>
    <row r="178" spans="1:2">
      <c r="A178" s="269"/>
      <c r="B178" s="269"/>
    </row>
    <row r="179" spans="1:2">
      <c r="A179" s="269"/>
      <c r="B179" s="269"/>
    </row>
    <row r="180" spans="1:2">
      <c r="A180" s="269"/>
      <c r="B180" s="269"/>
    </row>
    <row r="181" spans="1:2">
      <c r="A181" s="269"/>
      <c r="B181" s="269"/>
    </row>
    <row r="182" spans="1:2">
      <c r="A182" s="269"/>
      <c r="B182" s="269"/>
    </row>
    <row r="183" spans="1:2">
      <c r="A183" s="269"/>
      <c r="B183" s="269"/>
    </row>
    <row r="184" spans="1:2">
      <c r="A184" s="269"/>
      <c r="B184" s="269"/>
    </row>
    <row r="185" spans="1:2">
      <c r="A185" s="269"/>
      <c r="B185" s="269"/>
    </row>
    <row r="186" spans="1:2">
      <c r="A186" s="269"/>
      <c r="B186" s="269"/>
    </row>
    <row r="187" spans="1:2">
      <c r="A187" s="269"/>
      <c r="B187" s="269"/>
    </row>
    <row r="188" spans="1:2">
      <c r="A188" s="269"/>
      <c r="B188" s="269"/>
    </row>
    <row r="189" spans="1:2">
      <c r="A189" s="269"/>
      <c r="B189" s="269"/>
    </row>
    <row r="190" spans="1:2">
      <c r="A190" s="269"/>
      <c r="B190" s="269"/>
    </row>
    <row r="191" spans="1:2">
      <c r="A191" s="269"/>
      <c r="B191" s="269"/>
    </row>
    <row r="192" spans="1:2">
      <c r="A192" s="269"/>
      <c r="B192" s="269"/>
    </row>
    <row r="193" spans="1:2">
      <c r="A193" s="269"/>
      <c r="B193" s="269"/>
    </row>
    <row r="194" spans="1:2">
      <c r="A194" s="269"/>
      <c r="B194" s="269"/>
    </row>
    <row r="195" spans="1:2">
      <c r="A195" s="269"/>
      <c r="B195" s="269"/>
    </row>
    <row r="196" spans="1:2">
      <c r="A196" s="269"/>
      <c r="B196" s="269"/>
    </row>
    <row r="197" spans="1:2">
      <c r="A197" s="269"/>
      <c r="B197" s="269"/>
    </row>
    <row r="198" spans="1:2">
      <c r="A198" s="269"/>
      <c r="B198" s="269"/>
    </row>
    <row r="199" spans="1:2">
      <c r="A199" s="269"/>
      <c r="B199" s="269"/>
    </row>
    <row r="200" spans="1:2">
      <c r="A200" s="269"/>
      <c r="B200" s="269"/>
    </row>
    <row r="201" spans="1:2">
      <c r="A201" s="619" t="s">
        <v>672</v>
      </c>
      <c r="B201" s="619"/>
    </row>
  </sheetData>
  <mergeCells count="2">
    <mergeCell ref="A1:B1"/>
    <mergeCell ref="A201:B20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Q58"/>
  <sheetViews>
    <sheetView showGridLines="0" workbookViewId="0">
      <selection activeCell="D5" sqref="D5:F5"/>
    </sheetView>
  </sheetViews>
  <sheetFormatPr defaultRowHeight="15"/>
  <cols>
    <col min="1" max="1" width="23.5703125" style="352" customWidth="1"/>
    <col min="2" max="3" width="14.5703125" style="352" customWidth="1"/>
    <col min="4" max="4" width="18.140625" style="352" customWidth="1"/>
    <col min="5" max="6" width="9.140625" style="352"/>
    <col min="7" max="7" width="22.28515625" style="352" customWidth="1"/>
    <col min="8" max="11" width="9.140625" style="352"/>
    <col min="12" max="12" width="2.7109375" style="352" customWidth="1"/>
    <col min="13" max="16384" width="9.140625" style="352"/>
  </cols>
  <sheetData>
    <row r="1" spans="1:16" ht="46.5" customHeight="1"/>
    <row r="2" spans="1:16" ht="20.25" customHeight="1">
      <c r="A2" s="620" t="s">
        <v>740</v>
      </c>
      <c r="B2" s="621"/>
      <c r="C2" s="621"/>
      <c r="D2" s="621"/>
      <c r="E2" s="621"/>
      <c r="F2" s="621"/>
      <c r="G2" s="621"/>
      <c r="H2" s="621"/>
      <c r="I2" s="621"/>
      <c r="J2" s="621"/>
      <c r="K2" s="621"/>
      <c r="L2" s="622"/>
    </row>
    <row r="3" spans="1:16" ht="20.25" customHeight="1" thickBot="1">
      <c r="A3" s="623"/>
      <c r="B3" s="624"/>
      <c r="C3" s="624"/>
      <c r="D3" s="624"/>
      <c r="E3" s="624"/>
      <c r="F3" s="624"/>
      <c r="G3" s="624"/>
      <c r="H3" s="624"/>
      <c r="I3" s="624"/>
      <c r="J3" s="624"/>
      <c r="K3" s="624"/>
      <c r="L3" s="625"/>
    </row>
    <row r="4" spans="1:16" ht="20.25">
      <c r="A4" s="628" t="s">
        <v>174</v>
      </c>
      <c r="B4" s="404"/>
      <c r="C4" s="405"/>
      <c r="D4" s="405"/>
      <c r="E4" s="405"/>
      <c r="F4" s="405"/>
      <c r="G4" s="405"/>
      <c r="H4" s="405"/>
      <c r="I4" s="405"/>
      <c r="J4" s="405"/>
      <c r="K4" s="626"/>
      <c r="L4" s="627"/>
    </row>
    <row r="5" spans="1:16" ht="20.25">
      <c r="A5" s="628"/>
      <c r="B5" s="404"/>
      <c r="C5" s="406" t="s">
        <v>642</v>
      </c>
      <c r="D5" s="630" t="s">
        <v>736</v>
      </c>
      <c r="E5" s="630"/>
      <c r="F5" s="630"/>
      <c r="G5" s="631" t="s">
        <v>641</v>
      </c>
      <c r="H5" s="631"/>
      <c r="I5" s="631"/>
      <c r="J5" s="405"/>
      <c r="K5" s="627"/>
      <c r="L5" s="627"/>
    </row>
    <row r="6" spans="1:16" ht="20.25">
      <c r="A6" s="628"/>
      <c r="B6" s="404"/>
      <c r="C6" s="406"/>
      <c r="D6" s="267"/>
      <c r="E6" s="267"/>
      <c r="F6" s="267"/>
      <c r="G6" s="406"/>
      <c r="H6" s="406"/>
      <c r="I6" s="406"/>
      <c r="J6" s="405"/>
      <c r="K6" s="405"/>
      <c r="L6" s="407"/>
    </row>
    <row r="7" spans="1:16" ht="20.25">
      <c r="A7" s="628"/>
      <c r="B7" s="408"/>
      <c r="C7" s="409"/>
      <c r="D7" s="410"/>
      <c r="E7" s="410"/>
      <c r="F7" s="410"/>
      <c r="G7" s="410"/>
      <c r="H7" s="410"/>
      <c r="I7" s="410"/>
      <c r="J7" s="410"/>
      <c r="K7" s="411"/>
      <c r="L7" s="407"/>
    </row>
    <row r="8" spans="1:16" ht="178.5" customHeight="1">
      <c r="A8" s="628"/>
      <c r="B8" s="411"/>
      <c r="C8" s="409" t="s">
        <v>670</v>
      </c>
      <c r="D8" s="632"/>
      <c r="E8" s="632"/>
      <c r="F8" s="632"/>
      <c r="G8" s="632"/>
      <c r="H8" s="632"/>
      <c r="I8" s="632"/>
      <c r="J8" s="633"/>
      <c r="K8" s="411"/>
      <c r="L8" s="407"/>
      <c r="P8" s="396"/>
    </row>
    <row r="9" spans="1:16" ht="20.25">
      <c r="A9" s="628"/>
      <c r="B9" s="411"/>
      <c r="C9" s="411"/>
      <c r="D9" s="411"/>
      <c r="E9" s="411"/>
      <c r="F9" s="411"/>
      <c r="G9" s="411"/>
      <c r="H9" s="411"/>
      <c r="I9" s="411"/>
      <c r="J9" s="411"/>
      <c r="K9" s="411"/>
      <c r="L9" s="407"/>
    </row>
    <row r="10" spans="1:16" ht="20.25">
      <c r="A10" s="629"/>
      <c r="B10" s="412"/>
      <c r="C10" s="412"/>
      <c r="D10" s="412"/>
      <c r="E10" s="412"/>
      <c r="F10" s="412"/>
      <c r="G10" s="412"/>
      <c r="H10" s="412"/>
      <c r="I10" s="412"/>
      <c r="J10" s="412"/>
      <c r="K10" s="412"/>
      <c r="L10" s="413"/>
    </row>
    <row r="58" spans="2:17" ht="75">
      <c r="B58" s="396" t="s">
        <v>671</v>
      </c>
      <c r="C58" s="396"/>
      <c r="D58" s="396"/>
      <c r="E58" s="396"/>
      <c r="F58" s="396"/>
      <c r="G58" s="396"/>
      <c r="H58" s="396"/>
      <c r="I58" s="396"/>
      <c r="J58" s="396"/>
      <c r="K58" s="396"/>
      <c r="L58" s="396"/>
      <c r="M58" s="396"/>
      <c r="N58" s="396"/>
      <c r="O58" s="396"/>
      <c r="P58" s="396"/>
      <c r="Q58" s="396"/>
    </row>
  </sheetData>
  <sheetProtection sheet="1" objects="1" scenarios="1" selectLockedCells="1"/>
  <mergeCells count="7">
    <mergeCell ref="A2:L3"/>
    <mergeCell ref="K4:L4"/>
    <mergeCell ref="K5:L5"/>
    <mergeCell ref="A4:A10"/>
    <mergeCell ref="D5:F5"/>
    <mergeCell ref="G5:I5"/>
    <mergeCell ref="D8:J8"/>
  </mergeCells>
  <pageMargins left="0.7" right="0.7" top="0.75" bottom="0.75" header="0.3" footer="0.3"/>
  <drawing r:id="rId1"/>
  <legacyDrawing r:id="rId2"/>
  <controls>
    <mc:AlternateContent xmlns:mc="http://schemas.openxmlformats.org/markup-compatibility/2006">
      <mc:Choice Requires="x14">
        <control shapeId="19457" r:id="rId3" name="ComboBox1">
          <controlPr defaultSize="0" print="0" autoLine="0" r:id="rId4">
            <anchor moveWithCells="1">
              <from>
                <xdr:col>9</xdr:col>
                <xdr:colOff>28575</xdr:colOff>
                <xdr:row>4</xdr:row>
                <xdr:rowOff>19050</xdr:rowOff>
              </from>
              <to>
                <xdr:col>10</xdr:col>
                <xdr:colOff>390525</xdr:colOff>
                <xdr:row>5</xdr:row>
                <xdr:rowOff>0</xdr:rowOff>
              </to>
            </anchor>
          </controlPr>
        </control>
      </mc:Choice>
      <mc:Fallback>
        <control shapeId="19457" r:id="rId3" name="ComboBox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01"/>
  <sheetViews>
    <sheetView workbookViewId="0">
      <selection sqref="A1:E1"/>
    </sheetView>
  </sheetViews>
  <sheetFormatPr defaultRowHeight="15"/>
  <cols>
    <col min="1" max="1" width="20.5703125" customWidth="1"/>
    <col min="2" max="2" width="18.42578125" customWidth="1"/>
    <col min="3" max="3" width="35" customWidth="1"/>
    <col min="4" max="4" width="26.85546875" customWidth="1"/>
    <col min="5" max="5" width="88.140625" customWidth="1"/>
  </cols>
  <sheetData>
    <row r="1" spans="1:5" ht="25.5">
      <c r="A1" s="638" t="s">
        <v>673</v>
      </c>
      <c r="B1" s="638"/>
      <c r="C1" s="638"/>
      <c r="D1" s="638"/>
      <c r="E1" s="638"/>
    </row>
    <row r="2" spans="1:5" ht="15.75">
      <c r="A2" s="635" t="s">
        <v>593</v>
      </c>
      <c r="B2" s="636"/>
      <c r="C2" s="636"/>
      <c r="D2" s="636"/>
      <c r="E2" s="637"/>
    </row>
    <row r="3" spans="1:5" ht="15.75">
      <c r="A3" s="272" t="s">
        <v>674</v>
      </c>
      <c r="B3" s="272" t="s">
        <v>594</v>
      </c>
      <c r="C3" s="272" t="s">
        <v>675</v>
      </c>
      <c r="D3" s="272" t="s">
        <v>596</v>
      </c>
      <c r="E3" s="272" t="s">
        <v>597</v>
      </c>
    </row>
    <row r="4" spans="1:5">
      <c r="A4" s="264" t="s">
        <v>549</v>
      </c>
      <c r="B4" s="264" t="s">
        <v>682</v>
      </c>
      <c r="C4" s="264" t="s">
        <v>661</v>
      </c>
      <c r="D4" s="264">
        <v>1999</v>
      </c>
      <c r="E4" s="264" t="s">
        <v>683</v>
      </c>
    </row>
    <row r="5" spans="1:5">
      <c r="A5" s="264" t="s">
        <v>549</v>
      </c>
      <c r="B5" s="264" t="s">
        <v>684</v>
      </c>
      <c r="C5" s="264" t="s">
        <v>685</v>
      </c>
      <c r="D5" s="264">
        <v>1989</v>
      </c>
      <c r="E5" s="264" t="s">
        <v>686</v>
      </c>
    </row>
    <row r="6" spans="1:5">
      <c r="A6" s="264" t="s">
        <v>549</v>
      </c>
      <c r="B6" s="264" t="s">
        <v>688</v>
      </c>
      <c r="C6" s="264" t="s">
        <v>687</v>
      </c>
      <c r="D6" s="264">
        <v>1989</v>
      </c>
      <c r="E6" s="264" t="s">
        <v>686</v>
      </c>
    </row>
    <row r="7" spans="1:5">
      <c r="A7" s="264" t="s">
        <v>549</v>
      </c>
      <c r="B7" s="264" t="s">
        <v>682</v>
      </c>
      <c r="C7" s="264" t="s">
        <v>689</v>
      </c>
      <c r="D7" s="264">
        <v>1995</v>
      </c>
      <c r="E7" s="264" t="s">
        <v>690</v>
      </c>
    </row>
    <row r="8" spans="1:5">
      <c r="A8" s="264"/>
      <c r="B8" s="264"/>
      <c r="C8" s="264"/>
      <c r="D8" s="264"/>
      <c r="E8" s="264"/>
    </row>
    <row r="9" spans="1:5">
      <c r="A9" s="264"/>
      <c r="B9" s="264"/>
      <c r="C9" s="264"/>
      <c r="D9" s="264"/>
      <c r="E9" s="264"/>
    </row>
    <row r="10" spans="1:5">
      <c r="A10" s="264"/>
      <c r="B10" s="264"/>
      <c r="C10" s="264"/>
      <c r="D10" s="264"/>
      <c r="E10" s="264"/>
    </row>
    <row r="11" spans="1:5">
      <c r="A11" s="264"/>
      <c r="B11" s="264"/>
      <c r="C11" s="264"/>
      <c r="D11" s="264"/>
      <c r="E11" s="264"/>
    </row>
    <row r="12" spans="1:5">
      <c r="A12" s="264"/>
      <c r="B12" s="264"/>
      <c r="C12" s="264"/>
      <c r="D12" s="264"/>
      <c r="E12" s="264"/>
    </row>
    <row r="13" spans="1:5">
      <c r="A13" s="264"/>
      <c r="B13" s="264"/>
      <c r="C13" s="264"/>
      <c r="D13" s="264"/>
      <c r="E13" s="264"/>
    </row>
    <row r="14" spans="1:5">
      <c r="A14" s="264"/>
      <c r="B14" s="264"/>
      <c r="C14" s="264"/>
      <c r="D14" s="264"/>
      <c r="E14" s="264"/>
    </row>
    <row r="15" spans="1:5">
      <c r="A15" s="264"/>
      <c r="B15" s="264"/>
      <c r="C15" s="264"/>
      <c r="D15" s="264"/>
      <c r="E15" s="264"/>
    </row>
    <row r="16" spans="1:5">
      <c r="A16" s="264"/>
      <c r="B16" s="264"/>
      <c r="C16" s="264"/>
      <c r="D16" s="264"/>
      <c r="E16" s="264"/>
    </row>
    <row r="17" spans="1:5">
      <c r="A17" s="264"/>
      <c r="B17" s="264"/>
      <c r="C17" s="264"/>
      <c r="D17" s="264"/>
      <c r="E17" s="264"/>
    </row>
    <row r="18" spans="1:5">
      <c r="A18" s="264"/>
      <c r="B18" s="264"/>
      <c r="C18" s="264"/>
      <c r="D18" s="264"/>
      <c r="E18" s="264"/>
    </row>
    <row r="19" spans="1:5">
      <c r="A19" s="264"/>
      <c r="B19" s="264"/>
      <c r="C19" s="264"/>
      <c r="D19" s="264"/>
      <c r="E19" s="264"/>
    </row>
    <row r="20" spans="1:5">
      <c r="A20" s="264"/>
      <c r="B20" s="264"/>
      <c r="C20" s="264"/>
      <c r="D20" s="264"/>
      <c r="E20" s="264"/>
    </row>
    <row r="21" spans="1:5">
      <c r="A21" s="264"/>
      <c r="B21" s="264"/>
      <c r="C21" s="264"/>
      <c r="D21" s="264"/>
      <c r="E21" s="264"/>
    </row>
    <row r="22" spans="1:5">
      <c r="A22" s="264"/>
      <c r="B22" s="264"/>
      <c r="C22" s="264"/>
      <c r="D22" s="264"/>
      <c r="E22" s="264"/>
    </row>
    <row r="23" spans="1:5">
      <c r="A23" s="264"/>
      <c r="B23" s="264"/>
      <c r="C23" s="264"/>
      <c r="D23" s="264"/>
      <c r="E23" s="264"/>
    </row>
    <row r="24" spans="1:5">
      <c r="A24" s="264"/>
      <c r="B24" s="264"/>
      <c r="C24" s="264"/>
      <c r="D24" s="264"/>
      <c r="E24" s="264"/>
    </row>
    <row r="25" spans="1:5">
      <c r="A25" s="264"/>
      <c r="B25" s="264"/>
      <c r="C25" s="264"/>
      <c r="D25" s="264"/>
      <c r="E25" s="264"/>
    </row>
    <row r="26" spans="1:5">
      <c r="A26" s="264"/>
      <c r="B26" s="264"/>
      <c r="C26" s="264"/>
      <c r="D26" s="264"/>
      <c r="E26" s="264"/>
    </row>
    <row r="27" spans="1:5">
      <c r="A27" s="264"/>
      <c r="B27" s="264"/>
      <c r="C27" s="264"/>
      <c r="D27" s="264"/>
      <c r="E27" s="264"/>
    </row>
    <row r="28" spans="1:5">
      <c r="A28" s="264"/>
      <c r="B28" s="264"/>
      <c r="C28" s="264"/>
      <c r="D28" s="264"/>
      <c r="E28" s="264"/>
    </row>
    <row r="29" spans="1:5">
      <c r="A29" s="264"/>
      <c r="B29" s="264"/>
      <c r="C29" s="264"/>
      <c r="D29" s="264"/>
      <c r="E29" s="264"/>
    </row>
    <row r="30" spans="1:5">
      <c r="A30" s="264"/>
      <c r="B30" s="264"/>
      <c r="C30" s="264"/>
      <c r="D30" s="264"/>
      <c r="E30" s="264"/>
    </row>
    <row r="31" spans="1:5">
      <c r="A31" s="264"/>
      <c r="B31" s="264"/>
      <c r="C31" s="264"/>
      <c r="D31" s="264"/>
      <c r="E31" s="264"/>
    </row>
    <row r="32" spans="1:5">
      <c r="A32" s="264"/>
      <c r="B32" s="264"/>
      <c r="C32" s="264"/>
      <c r="D32" s="264"/>
      <c r="E32" s="264"/>
    </row>
    <row r="33" spans="1:5">
      <c r="A33" s="264"/>
      <c r="B33" s="264"/>
      <c r="C33" s="264"/>
      <c r="D33" s="264"/>
      <c r="E33" s="264"/>
    </row>
    <row r="34" spans="1:5">
      <c r="A34" s="264"/>
      <c r="B34" s="264"/>
      <c r="C34" s="264"/>
      <c r="D34" s="264"/>
      <c r="E34" s="264"/>
    </row>
    <row r="35" spans="1:5">
      <c r="A35" s="264"/>
      <c r="B35" s="264"/>
      <c r="C35" s="264"/>
      <c r="D35" s="264"/>
      <c r="E35" s="264"/>
    </row>
    <row r="36" spans="1:5">
      <c r="A36" s="264"/>
      <c r="B36" s="264"/>
      <c r="C36" s="264"/>
      <c r="D36" s="264"/>
      <c r="E36" s="264"/>
    </row>
    <row r="37" spans="1:5">
      <c r="A37" s="264"/>
      <c r="B37" s="264"/>
      <c r="C37" s="264"/>
      <c r="D37" s="264"/>
      <c r="E37" s="264"/>
    </row>
    <row r="38" spans="1:5">
      <c r="A38" s="264"/>
      <c r="B38" s="264"/>
      <c r="C38" s="264"/>
      <c r="D38" s="264"/>
      <c r="E38" s="264"/>
    </row>
    <row r="39" spans="1:5">
      <c r="A39" s="264"/>
      <c r="B39" s="264"/>
      <c r="C39" s="264"/>
      <c r="D39" s="264"/>
      <c r="E39" s="264"/>
    </row>
    <row r="40" spans="1:5">
      <c r="A40" s="264"/>
      <c r="B40" s="264"/>
      <c r="C40" s="264"/>
      <c r="D40" s="264"/>
      <c r="E40" s="264"/>
    </row>
    <row r="41" spans="1:5">
      <c r="A41" s="264"/>
      <c r="B41" s="264"/>
      <c r="C41" s="264"/>
      <c r="D41" s="264"/>
      <c r="E41" s="264"/>
    </row>
    <row r="42" spans="1:5">
      <c r="A42" s="264"/>
      <c r="B42" s="264"/>
      <c r="C42" s="264"/>
      <c r="D42" s="264"/>
      <c r="E42" s="264"/>
    </row>
    <row r="43" spans="1:5">
      <c r="A43" s="264"/>
      <c r="B43" s="264"/>
      <c r="C43" s="264"/>
      <c r="D43" s="264"/>
      <c r="E43" s="264"/>
    </row>
    <row r="44" spans="1:5">
      <c r="A44" s="264"/>
      <c r="B44" s="264"/>
      <c r="C44" s="264"/>
      <c r="D44" s="264"/>
      <c r="E44" s="264"/>
    </row>
    <row r="45" spans="1:5">
      <c r="A45" s="264"/>
      <c r="B45" s="264"/>
      <c r="C45" s="264"/>
      <c r="D45" s="264"/>
      <c r="E45" s="264"/>
    </row>
    <row r="46" spans="1:5">
      <c r="A46" s="264"/>
      <c r="B46" s="264"/>
      <c r="C46" s="264"/>
      <c r="D46" s="264"/>
      <c r="E46" s="264"/>
    </row>
    <row r="47" spans="1:5">
      <c r="A47" s="264"/>
      <c r="B47" s="264"/>
      <c r="C47" s="264"/>
      <c r="D47" s="264"/>
      <c r="E47" s="264"/>
    </row>
    <row r="48" spans="1:5">
      <c r="A48" s="264"/>
      <c r="B48" s="264"/>
      <c r="C48" s="264"/>
      <c r="D48" s="264"/>
      <c r="E48" s="264"/>
    </row>
    <row r="49" spans="1:5">
      <c r="A49" s="264"/>
      <c r="B49" s="264"/>
      <c r="C49" s="264"/>
      <c r="D49" s="264"/>
      <c r="E49" s="264"/>
    </row>
    <row r="50" spans="1:5">
      <c r="A50" s="264"/>
      <c r="B50" s="264"/>
      <c r="C50" s="264"/>
      <c r="D50" s="264"/>
      <c r="E50" s="264"/>
    </row>
    <row r="51" spans="1:5">
      <c r="A51" s="264"/>
      <c r="B51" s="264"/>
      <c r="C51" s="264"/>
      <c r="D51" s="264"/>
      <c r="E51" s="264"/>
    </row>
    <row r="52" spans="1:5">
      <c r="A52" s="264"/>
      <c r="B52" s="264"/>
      <c r="C52" s="264"/>
      <c r="D52" s="264"/>
      <c r="E52" s="264"/>
    </row>
    <row r="53" spans="1:5">
      <c r="A53" s="264"/>
      <c r="B53" s="264"/>
      <c r="C53" s="264"/>
      <c r="D53" s="264"/>
      <c r="E53" s="264"/>
    </row>
    <row r="54" spans="1:5">
      <c r="A54" s="264"/>
      <c r="B54" s="264"/>
      <c r="C54" s="264"/>
      <c r="D54" s="264"/>
      <c r="E54" s="264"/>
    </row>
    <row r="55" spans="1:5">
      <c r="A55" s="264"/>
      <c r="B55" s="264"/>
      <c r="C55" s="264"/>
      <c r="D55" s="264"/>
      <c r="E55" s="264"/>
    </row>
    <row r="56" spans="1:5">
      <c r="A56" s="264"/>
      <c r="B56" s="264"/>
      <c r="C56" s="264"/>
      <c r="D56" s="264"/>
      <c r="E56" s="264"/>
    </row>
    <row r="57" spans="1:5">
      <c r="A57" s="264"/>
      <c r="B57" s="264"/>
      <c r="C57" s="264"/>
      <c r="D57" s="264"/>
      <c r="E57" s="264"/>
    </row>
    <row r="58" spans="1:5">
      <c r="A58" s="264"/>
      <c r="B58" s="264"/>
      <c r="C58" s="264"/>
      <c r="D58" s="264"/>
      <c r="E58" s="264"/>
    </row>
    <row r="59" spans="1:5">
      <c r="A59" s="264"/>
      <c r="B59" s="264"/>
      <c r="C59" s="264"/>
      <c r="D59" s="264"/>
      <c r="E59" s="264"/>
    </row>
    <row r="60" spans="1:5">
      <c r="A60" s="264"/>
      <c r="B60" s="264"/>
      <c r="C60" s="264"/>
      <c r="D60" s="264"/>
      <c r="E60" s="264"/>
    </row>
    <row r="61" spans="1:5">
      <c r="A61" s="264"/>
      <c r="B61" s="264"/>
      <c r="C61" s="264"/>
      <c r="D61" s="264"/>
      <c r="E61" s="264"/>
    </row>
    <row r="62" spans="1:5">
      <c r="A62" s="264"/>
      <c r="B62" s="264"/>
      <c r="C62" s="264"/>
      <c r="D62" s="264"/>
      <c r="E62" s="264"/>
    </row>
    <row r="63" spans="1:5">
      <c r="A63" s="264"/>
      <c r="B63" s="264"/>
      <c r="C63" s="264"/>
      <c r="D63" s="264"/>
      <c r="E63" s="264"/>
    </row>
    <row r="64" spans="1:5">
      <c r="A64" s="264"/>
      <c r="B64" s="264"/>
      <c r="C64" s="264"/>
      <c r="D64" s="264"/>
      <c r="E64" s="264"/>
    </row>
    <row r="65" spans="1:5">
      <c r="A65" s="264"/>
      <c r="B65" s="264"/>
      <c r="C65" s="264"/>
      <c r="D65" s="264"/>
      <c r="E65" s="264"/>
    </row>
    <row r="66" spans="1:5">
      <c r="A66" s="264"/>
      <c r="B66" s="264"/>
      <c r="C66" s="264"/>
      <c r="D66" s="264"/>
      <c r="E66" s="264"/>
    </row>
    <row r="67" spans="1:5">
      <c r="A67" s="264"/>
      <c r="B67" s="264"/>
      <c r="C67" s="264"/>
      <c r="D67" s="264"/>
      <c r="E67" s="264"/>
    </row>
    <row r="68" spans="1:5">
      <c r="A68" s="264"/>
      <c r="B68" s="264"/>
      <c r="C68" s="264"/>
      <c r="D68" s="264"/>
      <c r="E68" s="264"/>
    </row>
    <row r="69" spans="1:5">
      <c r="A69" s="264"/>
      <c r="B69" s="264"/>
      <c r="C69" s="264"/>
      <c r="D69" s="264"/>
      <c r="E69" s="264"/>
    </row>
    <row r="70" spans="1:5">
      <c r="A70" s="264"/>
      <c r="B70" s="264"/>
      <c r="C70" s="264"/>
      <c r="D70" s="264"/>
      <c r="E70" s="264"/>
    </row>
    <row r="71" spans="1:5">
      <c r="A71" s="264"/>
      <c r="B71" s="264"/>
      <c r="C71" s="264"/>
      <c r="D71" s="264"/>
      <c r="E71" s="264"/>
    </row>
    <row r="72" spans="1:5">
      <c r="A72" s="264"/>
      <c r="B72" s="264"/>
      <c r="C72" s="264"/>
      <c r="D72" s="264"/>
      <c r="E72" s="264"/>
    </row>
    <row r="73" spans="1:5">
      <c r="A73" s="264"/>
      <c r="B73" s="264"/>
      <c r="C73" s="264"/>
      <c r="D73" s="264"/>
      <c r="E73" s="264"/>
    </row>
    <row r="74" spans="1:5">
      <c r="A74" s="264"/>
      <c r="B74" s="264"/>
      <c r="C74" s="264"/>
      <c r="D74" s="264"/>
      <c r="E74" s="264"/>
    </row>
    <row r="75" spans="1:5">
      <c r="A75" s="264"/>
      <c r="B75" s="264"/>
      <c r="C75" s="264"/>
      <c r="D75" s="264"/>
      <c r="E75" s="264"/>
    </row>
    <row r="76" spans="1:5">
      <c r="A76" s="264"/>
      <c r="B76" s="264"/>
      <c r="C76" s="264"/>
      <c r="D76" s="264"/>
      <c r="E76" s="264"/>
    </row>
    <row r="77" spans="1:5">
      <c r="A77" s="264"/>
      <c r="B77" s="264"/>
      <c r="C77" s="264"/>
      <c r="D77" s="264"/>
      <c r="E77" s="264"/>
    </row>
    <row r="78" spans="1:5">
      <c r="A78" s="264"/>
      <c r="B78" s="264"/>
      <c r="C78" s="264"/>
      <c r="D78" s="264"/>
      <c r="E78" s="264"/>
    </row>
    <row r="79" spans="1:5">
      <c r="A79" s="264"/>
      <c r="B79" s="264"/>
      <c r="C79" s="264"/>
      <c r="D79" s="264"/>
      <c r="E79" s="264"/>
    </row>
    <row r="80" spans="1:5">
      <c r="A80" s="264"/>
      <c r="B80" s="264"/>
      <c r="C80" s="264"/>
      <c r="D80" s="264"/>
      <c r="E80" s="264"/>
    </row>
    <row r="81" spans="1:5">
      <c r="A81" s="264"/>
      <c r="B81" s="264"/>
      <c r="C81" s="264"/>
      <c r="D81" s="264"/>
      <c r="E81" s="264"/>
    </row>
    <row r="82" spans="1:5">
      <c r="A82" s="264"/>
      <c r="B82" s="264"/>
      <c r="C82" s="264"/>
      <c r="D82" s="264"/>
      <c r="E82" s="264"/>
    </row>
    <row r="83" spans="1:5">
      <c r="A83" s="264"/>
      <c r="B83" s="264"/>
      <c r="C83" s="264"/>
      <c r="D83" s="264"/>
      <c r="E83" s="264"/>
    </row>
    <row r="84" spans="1:5">
      <c r="A84" s="264"/>
      <c r="B84" s="264"/>
      <c r="C84" s="264"/>
      <c r="D84" s="264"/>
      <c r="E84" s="264"/>
    </row>
    <row r="85" spans="1:5">
      <c r="A85" s="264"/>
      <c r="B85" s="264"/>
      <c r="C85" s="264"/>
      <c r="D85" s="264"/>
      <c r="E85" s="264"/>
    </row>
    <row r="86" spans="1:5">
      <c r="A86" s="264"/>
      <c r="B86" s="264"/>
      <c r="C86" s="264"/>
      <c r="D86" s="264"/>
      <c r="E86" s="264"/>
    </row>
    <row r="87" spans="1:5">
      <c r="A87" s="264"/>
      <c r="B87" s="264"/>
      <c r="C87" s="264"/>
      <c r="D87" s="264"/>
      <c r="E87" s="264"/>
    </row>
    <row r="88" spans="1:5">
      <c r="A88" s="264"/>
      <c r="B88" s="264"/>
      <c r="C88" s="264"/>
      <c r="D88" s="264"/>
      <c r="E88" s="264"/>
    </row>
    <row r="89" spans="1:5">
      <c r="A89" s="264"/>
      <c r="B89" s="264"/>
      <c r="C89" s="264"/>
      <c r="D89" s="264"/>
      <c r="E89" s="264"/>
    </row>
    <row r="90" spans="1:5">
      <c r="A90" s="264"/>
      <c r="B90" s="264"/>
      <c r="C90" s="264"/>
      <c r="D90" s="264"/>
      <c r="E90" s="264"/>
    </row>
    <row r="91" spans="1:5">
      <c r="A91" s="264"/>
      <c r="B91" s="264"/>
      <c r="C91" s="264"/>
      <c r="D91" s="264"/>
      <c r="E91" s="264"/>
    </row>
    <row r="92" spans="1:5">
      <c r="A92" s="264"/>
      <c r="B92" s="264"/>
      <c r="C92" s="264"/>
      <c r="D92" s="264"/>
      <c r="E92" s="264"/>
    </row>
    <row r="93" spans="1:5">
      <c r="A93" s="264"/>
      <c r="B93" s="264"/>
      <c r="C93" s="264"/>
      <c r="D93" s="264"/>
      <c r="E93" s="264"/>
    </row>
    <row r="94" spans="1:5">
      <c r="A94" s="264"/>
      <c r="B94" s="264"/>
      <c r="C94" s="264"/>
      <c r="D94" s="264"/>
      <c r="E94" s="264"/>
    </row>
    <row r="95" spans="1:5">
      <c r="A95" s="264"/>
      <c r="B95" s="264"/>
      <c r="C95" s="264"/>
      <c r="D95" s="264"/>
      <c r="E95" s="264"/>
    </row>
    <row r="96" spans="1:5">
      <c r="A96" s="264"/>
      <c r="B96" s="264"/>
      <c r="C96" s="264"/>
      <c r="D96" s="264"/>
      <c r="E96" s="264"/>
    </row>
    <row r="97" spans="1:5">
      <c r="A97" s="264"/>
      <c r="B97" s="264"/>
      <c r="C97" s="264"/>
      <c r="D97" s="264"/>
      <c r="E97" s="264"/>
    </row>
    <row r="98" spans="1:5">
      <c r="A98" s="264"/>
      <c r="B98" s="264"/>
      <c r="C98" s="264"/>
      <c r="D98" s="264"/>
      <c r="E98" s="264"/>
    </row>
    <row r="99" spans="1:5">
      <c r="A99" s="264"/>
      <c r="B99" s="264"/>
      <c r="C99" s="264"/>
      <c r="D99" s="264"/>
      <c r="E99" s="264"/>
    </row>
    <row r="100" spans="1:5">
      <c r="A100" s="264"/>
      <c r="B100" s="264"/>
      <c r="C100" s="264"/>
      <c r="D100" s="264"/>
      <c r="E100" s="264"/>
    </row>
    <row r="101" spans="1:5">
      <c r="A101" s="264"/>
      <c r="B101" s="264"/>
      <c r="C101" s="264"/>
      <c r="D101" s="264"/>
      <c r="E101" s="264"/>
    </row>
    <row r="102" spans="1:5">
      <c r="A102" s="264"/>
      <c r="B102" s="264"/>
      <c r="C102" s="264"/>
      <c r="D102" s="264"/>
      <c r="E102" s="264"/>
    </row>
    <row r="103" spans="1:5">
      <c r="A103" s="264"/>
      <c r="B103" s="264"/>
      <c r="C103" s="264"/>
      <c r="D103" s="264"/>
      <c r="E103" s="264"/>
    </row>
    <row r="104" spans="1:5">
      <c r="A104" s="264"/>
      <c r="B104" s="264"/>
      <c r="C104" s="264"/>
      <c r="D104" s="264"/>
      <c r="E104" s="264"/>
    </row>
    <row r="105" spans="1:5">
      <c r="A105" s="264"/>
      <c r="B105" s="264"/>
      <c r="C105" s="264"/>
      <c r="D105" s="264"/>
      <c r="E105" s="264"/>
    </row>
    <row r="106" spans="1:5">
      <c r="A106" s="264"/>
      <c r="B106" s="264"/>
      <c r="C106" s="264"/>
      <c r="D106" s="264"/>
      <c r="E106" s="264"/>
    </row>
    <row r="107" spans="1:5">
      <c r="A107" s="264"/>
      <c r="B107" s="264"/>
      <c r="C107" s="264"/>
      <c r="D107" s="264"/>
      <c r="E107" s="264"/>
    </row>
    <row r="108" spans="1:5">
      <c r="A108" s="264"/>
      <c r="B108" s="264"/>
      <c r="C108" s="264"/>
      <c r="D108" s="264"/>
      <c r="E108" s="264"/>
    </row>
    <row r="109" spans="1:5">
      <c r="A109" s="264"/>
      <c r="B109" s="264"/>
      <c r="C109" s="264"/>
      <c r="D109" s="264"/>
      <c r="E109" s="264"/>
    </row>
    <row r="110" spans="1:5">
      <c r="A110" s="264"/>
      <c r="B110" s="264"/>
      <c r="C110" s="264"/>
      <c r="D110" s="264"/>
      <c r="E110" s="264"/>
    </row>
    <row r="111" spans="1:5">
      <c r="A111" s="264"/>
      <c r="B111" s="264"/>
      <c r="C111" s="264"/>
      <c r="D111" s="264"/>
      <c r="E111" s="264"/>
    </row>
    <row r="112" spans="1:5">
      <c r="A112" s="264"/>
      <c r="B112" s="264"/>
      <c r="C112" s="264"/>
      <c r="D112" s="264"/>
      <c r="E112" s="264"/>
    </row>
    <row r="113" spans="1:5">
      <c r="A113" s="264"/>
      <c r="B113" s="264"/>
      <c r="C113" s="264"/>
      <c r="D113" s="264"/>
      <c r="E113" s="264"/>
    </row>
    <row r="114" spans="1:5">
      <c r="A114" s="264"/>
      <c r="B114" s="264"/>
      <c r="C114" s="264"/>
      <c r="D114" s="264"/>
      <c r="E114" s="264"/>
    </row>
    <row r="115" spans="1:5">
      <c r="A115" s="264"/>
      <c r="B115" s="264"/>
      <c r="C115" s="264"/>
      <c r="D115" s="264"/>
      <c r="E115" s="264"/>
    </row>
    <row r="116" spans="1:5">
      <c r="A116" s="264"/>
      <c r="B116" s="264"/>
      <c r="C116" s="264"/>
      <c r="D116" s="264"/>
      <c r="E116" s="264"/>
    </row>
    <row r="117" spans="1:5">
      <c r="A117" s="264"/>
      <c r="B117" s="264"/>
      <c r="C117" s="264"/>
      <c r="D117" s="264"/>
      <c r="E117" s="264"/>
    </row>
    <row r="118" spans="1:5">
      <c r="A118" s="264"/>
      <c r="B118" s="264"/>
      <c r="C118" s="264"/>
      <c r="D118" s="264"/>
      <c r="E118" s="264"/>
    </row>
    <row r="119" spans="1:5">
      <c r="A119" s="264"/>
      <c r="B119" s="264"/>
      <c r="C119" s="264"/>
      <c r="D119" s="264"/>
      <c r="E119" s="264"/>
    </row>
    <row r="120" spans="1:5">
      <c r="A120" s="264"/>
      <c r="B120" s="264"/>
      <c r="C120" s="264"/>
      <c r="D120" s="264"/>
      <c r="E120" s="264"/>
    </row>
    <row r="121" spans="1:5">
      <c r="A121" s="264"/>
      <c r="B121" s="264"/>
      <c r="C121" s="264"/>
      <c r="D121" s="264"/>
      <c r="E121" s="264"/>
    </row>
    <row r="122" spans="1:5">
      <c r="A122" s="264"/>
      <c r="B122" s="264"/>
      <c r="C122" s="264"/>
      <c r="D122" s="264"/>
      <c r="E122" s="264"/>
    </row>
    <row r="123" spans="1:5">
      <c r="A123" s="264"/>
      <c r="B123" s="264"/>
      <c r="C123" s="264"/>
      <c r="D123" s="264"/>
      <c r="E123" s="264"/>
    </row>
    <row r="124" spans="1:5">
      <c r="A124" s="264"/>
      <c r="B124" s="264"/>
      <c r="C124" s="264"/>
      <c r="D124" s="264"/>
      <c r="E124" s="264"/>
    </row>
    <row r="125" spans="1:5">
      <c r="A125" s="264"/>
      <c r="B125" s="264"/>
      <c r="C125" s="264"/>
      <c r="D125" s="264"/>
      <c r="E125" s="264"/>
    </row>
    <row r="126" spans="1:5">
      <c r="A126" s="264"/>
      <c r="B126" s="264"/>
      <c r="C126" s="264"/>
      <c r="D126" s="264"/>
      <c r="E126" s="264"/>
    </row>
    <row r="127" spans="1:5">
      <c r="A127" s="264"/>
      <c r="B127" s="264"/>
      <c r="C127" s="264"/>
      <c r="D127" s="264"/>
      <c r="E127" s="264"/>
    </row>
    <row r="128" spans="1:5">
      <c r="A128" s="264"/>
      <c r="B128" s="264"/>
      <c r="C128" s="264"/>
      <c r="D128" s="264"/>
      <c r="E128" s="264"/>
    </row>
    <row r="129" spans="1:5">
      <c r="A129" s="264"/>
      <c r="B129" s="264"/>
      <c r="C129" s="264"/>
      <c r="D129" s="264"/>
      <c r="E129" s="264"/>
    </row>
    <row r="130" spans="1:5">
      <c r="A130" s="264"/>
      <c r="B130" s="264"/>
      <c r="C130" s="264"/>
      <c r="D130" s="264"/>
      <c r="E130" s="264"/>
    </row>
    <row r="131" spans="1:5">
      <c r="A131" s="264"/>
      <c r="B131" s="264"/>
      <c r="C131" s="264"/>
      <c r="D131" s="264"/>
      <c r="E131" s="264"/>
    </row>
    <row r="132" spans="1:5">
      <c r="A132" s="264"/>
      <c r="B132" s="264"/>
      <c r="C132" s="264"/>
      <c r="D132" s="264"/>
      <c r="E132" s="264"/>
    </row>
    <row r="133" spans="1:5">
      <c r="A133" s="264"/>
      <c r="B133" s="264"/>
      <c r="C133" s="264"/>
      <c r="D133" s="264"/>
      <c r="E133" s="264"/>
    </row>
    <row r="134" spans="1:5">
      <c r="A134" s="264"/>
      <c r="B134" s="264"/>
      <c r="C134" s="264"/>
      <c r="D134" s="264"/>
      <c r="E134" s="264"/>
    </row>
    <row r="135" spans="1:5">
      <c r="A135" s="264"/>
      <c r="B135" s="264"/>
      <c r="C135" s="264"/>
      <c r="D135" s="264"/>
      <c r="E135" s="264"/>
    </row>
    <row r="136" spans="1:5">
      <c r="A136" s="264"/>
      <c r="B136" s="264"/>
      <c r="C136" s="264"/>
      <c r="D136" s="264"/>
      <c r="E136" s="264"/>
    </row>
    <row r="137" spans="1:5">
      <c r="A137" s="264"/>
      <c r="B137" s="264"/>
      <c r="C137" s="264"/>
      <c r="D137" s="264"/>
      <c r="E137" s="264"/>
    </row>
    <row r="138" spans="1:5">
      <c r="A138" s="264"/>
      <c r="B138" s="264"/>
      <c r="C138" s="264"/>
      <c r="D138" s="264"/>
      <c r="E138" s="264"/>
    </row>
    <row r="139" spans="1:5">
      <c r="A139" s="264"/>
      <c r="B139" s="264"/>
      <c r="C139" s="264"/>
      <c r="D139" s="264"/>
      <c r="E139" s="264"/>
    </row>
    <row r="140" spans="1:5">
      <c r="A140" s="264"/>
      <c r="B140" s="264"/>
      <c r="C140" s="264"/>
      <c r="D140" s="264"/>
      <c r="E140" s="264"/>
    </row>
    <row r="141" spans="1:5">
      <c r="A141" s="264"/>
      <c r="B141" s="264"/>
      <c r="C141" s="264"/>
      <c r="D141" s="264"/>
      <c r="E141" s="264"/>
    </row>
    <row r="142" spans="1:5">
      <c r="A142" s="264"/>
      <c r="B142" s="264"/>
      <c r="C142" s="264"/>
      <c r="D142" s="264"/>
      <c r="E142" s="264"/>
    </row>
    <row r="143" spans="1:5">
      <c r="A143" s="264"/>
      <c r="B143" s="264"/>
      <c r="C143" s="264"/>
      <c r="D143" s="264"/>
      <c r="E143" s="264"/>
    </row>
    <row r="144" spans="1:5">
      <c r="A144" s="264"/>
      <c r="B144" s="264"/>
      <c r="C144" s="264"/>
      <c r="D144" s="264"/>
      <c r="E144" s="264"/>
    </row>
    <row r="145" spans="1:5">
      <c r="A145" s="264"/>
      <c r="B145" s="264"/>
      <c r="C145" s="264"/>
      <c r="D145" s="264"/>
      <c r="E145" s="264"/>
    </row>
    <row r="146" spans="1:5">
      <c r="A146" s="264"/>
      <c r="B146" s="264"/>
      <c r="C146" s="264"/>
      <c r="D146" s="264"/>
      <c r="E146" s="264"/>
    </row>
    <row r="147" spans="1:5">
      <c r="A147" s="264"/>
      <c r="B147" s="264"/>
      <c r="C147" s="264"/>
      <c r="D147" s="264"/>
      <c r="E147" s="264"/>
    </row>
    <row r="148" spans="1:5">
      <c r="A148" s="264"/>
      <c r="B148" s="264"/>
      <c r="C148" s="264"/>
      <c r="D148" s="264"/>
      <c r="E148" s="264"/>
    </row>
    <row r="149" spans="1:5">
      <c r="A149" s="264"/>
      <c r="B149" s="264"/>
      <c r="C149" s="264"/>
      <c r="D149" s="264"/>
      <c r="E149" s="264"/>
    </row>
    <row r="150" spans="1:5">
      <c r="A150" s="264"/>
      <c r="B150" s="264"/>
      <c r="C150" s="264"/>
      <c r="D150" s="264"/>
      <c r="E150" s="264"/>
    </row>
    <row r="151" spans="1:5">
      <c r="A151" s="264"/>
      <c r="B151" s="264"/>
      <c r="C151" s="264"/>
      <c r="D151" s="264"/>
      <c r="E151" s="264"/>
    </row>
    <row r="152" spans="1:5">
      <c r="A152" s="264"/>
      <c r="B152" s="264"/>
      <c r="C152" s="264"/>
      <c r="D152" s="264"/>
      <c r="E152" s="264"/>
    </row>
    <row r="153" spans="1:5">
      <c r="A153" s="264"/>
      <c r="B153" s="264"/>
      <c r="C153" s="264"/>
      <c r="D153" s="264"/>
      <c r="E153" s="264"/>
    </row>
    <row r="154" spans="1:5">
      <c r="A154" s="264"/>
      <c r="B154" s="264"/>
      <c r="C154" s="264"/>
      <c r="D154" s="264"/>
      <c r="E154" s="264"/>
    </row>
    <row r="155" spans="1:5">
      <c r="A155" s="264"/>
      <c r="B155" s="264"/>
      <c r="C155" s="264"/>
      <c r="D155" s="264"/>
      <c r="E155" s="264"/>
    </row>
    <row r="156" spans="1:5">
      <c r="A156" s="264"/>
      <c r="B156" s="264"/>
      <c r="C156" s="264"/>
      <c r="D156" s="264"/>
      <c r="E156" s="264"/>
    </row>
    <row r="157" spans="1:5">
      <c r="A157" s="264"/>
      <c r="B157" s="264"/>
      <c r="C157" s="264"/>
      <c r="D157" s="264"/>
      <c r="E157" s="264"/>
    </row>
    <row r="158" spans="1:5">
      <c r="A158" s="264"/>
      <c r="B158" s="264"/>
      <c r="C158" s="264"/>
      <c r="D158" s="264"/>
      <c r="E158" s="264"/>
    </row>
    <row r="159" spans="1:5">
      <c r="A159" s="264"/>
      <c r="B159" s="264"/>
      <c r="C159" s="264"/>
      <c r="D159" s="264"/>
      <c r="E159" s="264"/>
    </row>
    <row r="160" spans="1:5">
      <c r="A160" s="264"/>
      <c r="B160" s="264"/>
      <c r="C160" s="264"/>
      <c r="D160" s="264"/>
      <c r="E160" s="264"/>
    </row>
    <row r="161" spans="1:5">
      <c r="A161" s="264"/>
      <c r="B161" s="264"/>
      <c r="C161" s="264"/>
      <c r="D161" s="264"/>
      <c r="E161" s="264"/>
    </row>
    <row r="162" spans="1:5">
      <c r="A162" s="264"/>
      <c r="B162" s="264"/>
      <c r="C162" s="264"/>
      <c r="D162" s="264"/>
      <c r="E162" s="264"/>
    </row>
    <row r="163" spans="1:5">
      <c r="A163" s="264"/>
      <c r="B163" s="264"/>
      <c r="C163" s="264"/>
      <c r="D163" s="264"/>
      <c r="E163" s="264"/>
    </row>
    <row r="164" spans="1:5">
      <c r="A164" s="264"/>
      <c r="B164" s="264"/>
      <c r="C164" s="264"/>
      <c r="D164" s="264"/>
      <c r="E164" s="264"/>
    </row>
    <row r="165" spans="1:5">
      <c r="A165" s="264"/>
      <c r="B165" s="264"/>
      <c r="C165" s="264"/>
      <c r="D165" s="264"/>
      <c r="E165" s="264"/>
    </row>
    <row r="166" spans="1:5">
      <c r="A166" s="264"/>
      <c r="B166" s="264"/>
      <c r="C166" s="264"/>
      <c r="D166" s="264"/>
      <c r="E166" s="264"/>
    </row>
    <row r="167" spans="1:5">
      <c r="A167" s="264"/>
      <c r="B167" s="264"/>
      <c r="C167" s="264"/>
      <c r="D167" s="264"/>
      <c r="E167" s="264"/>
    </row>
    <row r="168" spans="1:5">
      <c r="A168" s="264"/>
      <c r="B168" s="264"/>
      <c r="C168" s="264"/>
      <c r="D168" s="264"/>
      <c r="E168" s="264"/>
    </row>
    <row r="169" spans="1:5">
      <c r="A169" s="264"/>
      <c r="B169" s="264"/>
      <c r="C169" s="264"/>
      <c r="D169" s="264"/>
      <c r="E169" s="264"/>
    </row>
    <row r="170" spans="1:5">
      <c r="A170" s="264"/>
      <c r="B170" s="264"/>
      <c r="C170" s="264"/>
      <c r="D170" s="264"/>
      <c r="E170" s="264"/>
    </row>
    <row r="171" spans="1:5">
      <c r="A171" s="264"/>
      <c r="B171" s="264"/>
      <c r="C171" s="264"/>
      <c r="D171" s="264"/>
      <c r="E171" s="264"/>
    </row>
    <row r="172" spans="1:5">
      <c r="A172" s="264"/>
      <c r="B172" s="264"/>
      <c r="C172" s="264"/>
      <c r="D172" s="264"/>
      <c r="E172" s="264"/>
    </row>
    <row r="173" spans="1:5">
      <c r="A173" s="264"/>
      <c r="B173" s="264"/>
      <c r="C173" s="264"/>
      <c r="D173" s="264"/>
      <c r="E173" s="264"/>
    </row>
    <row r="174" spans="1:5">
      <c r="A174" s="264"/>
      <c r="B174" s="264"/>
      <c r="C174" s="264"/>
      <c r="D174" s="264"/>
      <c r="E174" s="264"/>
    </row>
    <row r="175" spans="1:5">
      <c r="A175" s="264"/>
      <c r="B175" s="264"/>
      <c r="C175" s="264"/>
      <c r="D175" s="264"/>
      <c r="E175" s="264"/>
    </row>
    <row r="176" spans="1:5">
      <c r="A176" s="264"/>
      <c r="B176" s="264"/>
      <c r="C176" s="264"/>
      <c r="D176" s="264"/>
      <c r="E176" s="264"/>
    </row>
    <row r="177" spans="1:5">
      <c r="A177" s="264"/>
      <c r="B177" s="264"/>
      <c r="C177" s="264"/>
      <c r="D177" s="264"/>
      <c r="E177" s="264"/>
    </row>
    <row r="178" spans="1:5">
      <c r="A178" s="264"/>
      <c r="B178" s="264"/>
      <c r="C178" s="264"/>
      <c r="D178" s="264"/>
      <c r="E178" s="264"/>
    </row>
    <row r="179" spans="1:5">
      <c r="A179" s="264"/>
      <c r="B179" s="264"/>
      <c r="C179" s="264"/>
      <c r="D179" s="264"/>
      <c r="E179" s="264"/>
    </row>
    <row r="180" spans="1:5">
      <c r="A180" s="264"/>
      <c r="B180" s="264"/>
      <c r="C180" s="264"/>
      <c r="D180" s="264"/>
      <c r="E180" s="264"/>
    </row>
    <row r="181" spans="1:5">
      <c r="A181" s="264"/>
      <c r="B181" s="264"/>
      <c r="C181" s="264"/>
      <c r="D181" s="264"/>
      <c r="E181" s="264"/>
    </row>
    <row r="182" spans="1:5">
      <c r="A182" s="264"/>
      <c r="B182" s="264"/>
      <c r="C182" s="264"/>
      <c r="D182" s="264"/>
      <c r="E182" s="264"/>
    </row>
    <row r="183" spans="1:5">
      <c r="A183" s="264"/>
      <c r="B183" s="264"/>
      <c r="C183" s="264"/>
      <c r="D183" s="264"/>
      <c r="E183" s="264"/>
    </row>
    <row r="184" spans="1:5">
      <c r="A184" s="264"/>
      <c r="B184" s="264"/>
      <c r="C184" s="264"/>
      <c r="D184" s="264"/>
      <c r="E184" s="264"/>
    </row>
    <row r="185" spans="1:5">
      <c r="A185" s="264"/>
      <c r="B185" s="264"/>
      <c r="C185" s="264"/>
      <c r="D185" s="264"/>
      <c r="E185" s="264"/>
    </row>
    <row r="186" spans="1:5">
      <c r="A186" s="264"/>
      <c r="B186" s="264"/>
      <c r="C186" s="264"/>
      <c r="D186" s="264"/>
      <c r="E186" s="264"/>
    </row>
    <row r="187" spans="1:5">
      <c r="A187" s="264"/>
      <c r="B187" s="264"/>
      <c r="C187" s="264"/>
      <c r="D187" s="264"/>
      <c r="E187" s="264"/>
    </row>
    <row r="188" spans="1:5">
      <c r="A188" s="264"/>
      <c r="B188" s="264"/>
      <c r="C188" s="264"/>
      <c r="D188" s="264"/>
      <c r="E188" s="264"/>
    </row>
    <row r="189" spans="1:5">
      <c r="A189" s="264"/>
      <c r="B189" s="264"/>
      <c r="C189" s="264"/>
      <c r="D189" s="264"/>
      <c r="E189" s="264"/>
    </row>
    <row r="190" spans="1:5">
      <c r="A190" s="264"/>
      <c r="B190" s="264"/>
      <c r="C190" s="264"/>
      <c r="D190" s="264"/>
      <c r="E190" s="264"/>
    </row>
    <row r="191" spans="1:5">
      <c r="A191" s="264"/>
      <c r="B191" s="264"/>
      <c r="C191" s="264"/>
      <c r="D191" s="264"/>
      <c r="E191" s="264"/>
    </row>
    <row r="192" spans="1:5">
      <c r="A192" s="264"/>
      <c r="B192" s="264"/>
      <c r="C192" s="264"/>
      <c r="D192" s="264"/>
      <c r="E192" s="264"/>
    </row>
    <row r="193" spans="1:5">
      <c r="A193" s="264"/>
      <c r="B193" s="264"/>
      <c r="C193" s="264"/>
      <c r="D193" s="264"/>
      <c r="E193" s="264"/>
    </row>
    <row r="194" spans="1:5">
      <c r="A194" s="264"/>
      <c r="B194" s="264"/>
      <c r="C194" s="264"/>
      <c r="D194" s="264"/>
      <c r="E194" s="264"/>
    </row>
    <row r="195" spans="1:5">
      <c r="A195" s="264"/>
      <c r="B195" s="264"/>
      <c r="C195" s="264"/>
      <c r="D195" s="264"/>
      <c r="E195" s="264"/>
    </row>
    <row r="196" spans="1:5">
      <c r="A196" s="264"/>
      <c r="B196" s="264"/>
      <c r="C196" s="264"/>
      <c r="D196" s="264"/>
      <c r="E196" s="264"/>
    </row>
    <row r="197" spans="1:5">
      <c r="A197" s="264"/>
      <c r="B197" s="264"/>
      <c r="C197" s="264"/>
      <c r="D197" s="264"/>
      <c r="E197" s="264"/>
    </row>
    <row r="198" spans="1:5">
      <c r="A198" s="264"/>
      <c r="B198" s="264"/>
      <c r="C198" s="264"/>
      <c r="D198" s="264"/>
      <c r="E198" s="264"/>
    </row>
    <row r="199" spans="1:5">
      <c r="A199" s="264"/>
      <c r="B199" s="264"/>
      <c r="C199" s="264"/>
      <c r="D199" s="264"/>
      <c r="E199" s="264"/>
    </row>
    <row r="200" spans="1:5">
      <c r="A200" s="264"/>
      <c r="B200" s="264"/>
      <c r="C200" s="264"/>
      <c r="D200" s="264"/>
      <c r="E200" s="264"/>
    </row>
    <row r="201" spans="1:5">
      <c r="A201" s="264"/>
      <c r="B201" s="264"/>
      <c r="C201" s="264"/>
      <c r="D201" s="264"/>
      <c r="E201" s="264"/>
    </row>
    <row r="202" spans="1:5">
      <c r="A202" s="264"/>
      <c r="B202" s="264"/>
      <c r="C202" s="264"/>
      <c r="D202" s="264"/>
      <c r="E202" s="264"/>
    </row>
    <row r="203" spans="1:5">
      <c r="A203" s="264"/>
      <c r="B203" s="264"/>
      <c r="C203" s="264"/>
      <c r="D203" s="264"/>
      <c r="E203" s="264"/>
    </row>
    <row r="204" spans="1:5">
      <c r="A204" s="264"/>
      <c r="B204" s="264"/>
      <c r="C204" s="264"/>
      <c r="D204" s="264"/>
      <c r="E204" s="264"/>
    </row>
    <row r="205" spans="1:5">
      <c r="A205" s="264"/>
      <c r="B205" s="264"/>
      <c r="C205" s="264"/>
      <c r="D205" s="264"/>
      <c r="E205" s="264"/>
    </row>
    <row r="206" spans="1:5">
      <c r="A206" s="264"/>
      <c r="B206" s="264"/>
      <c r="C206" s="264"/>
      <c r="D206" s="264"/>
      <c r="E206" s="264"/>
    </row>
    <row r="207" spans="1:5">
      <c r="A207" s="264"/>
      <c r="B207" s="264"/>
      <c r="C207" s="264"/>
      <c r="D207" s="264"/>
      <c r="E207" s="264"/>
    </row>
    <row r="208" spans="1:5">
      <c r="A208" s="264"/>
      <c r="B208" s="264"/>
      <c r="C208" s="264"/>
      <c r="D208" s="264"/>
      <c r="E208" s="264"/>
    </row>
    <row r="209" spans="1:5">
      <c r="A209" s="264"/>
      <c r="B209" s="264"/>
      <c r="C209" s="264"/>
      <c r="D209" s="264"/>
      <c r="E209" s="264"/>
    </row>
    <row r="210" spans="1:5">
      <c r="A210" s="264"/>
      <c r="B210" s="264"/>
      <c r="C210" s="264"/>
      <c r="D210" s="264"/>
      <c r="E210" s="264"/>
    </row>
    <row r="211" spans="1:5">
      <c r="A211" s="264"/>
      <c r="B211" s="264"/>
      <c r="C211" s="264"/>
      <c r="D211" s="264"/>
      <c r="E211" s="264"/>
    </row>
    <row r="212" spans="1:5">
      <c r="A212" s="264"/>
      <c r="B212" s="264"/>
      <c r="C212" s="264"/>
      <c r="D212" s="264"/>
      <c r="E212" s="264"/>
    </row>
    <row r="213" spans="1:5">
      <c r="A213" s="264"/>
      <c r="B213" s="264"/>
      <c r="C213" s="264"/>
      <c r="D213" s="264"/>
      <c r="E213" s="264"/>
    </row>
    <row r="214" spans="1:5">
      <c r="A214" s="264"/>
      <c r="B214" s="264"/>
      <c r="C214" s="264"/>
      <c r="D214" s="264"/>
      <c r="E214" s="264"/>
    </row>
    <row r="215" spans="1:5">
      <c r="A215" s="264"/>
      <c r="B215" s="264"/>
      <c r="C215" s="264"/>
      <c r="D215" s="264"/>
      <c r="E215" s="264"/>
    </row>
    <row r="216" spans="1:5">
      <c r="A216" s="264"/>
      <c r="B216" s="264"/>
      <c r="C216" s="264"/>
      <c r="D216" s="264"/>
      <c r="E216" s="264"/>
    </row>
    <row r="217" spans="1:5">
      <c r="A217" s="264"/>
      <c r="B217" s="264"/>
      <c r="C217" s="264"/>
      <c r="D217" s="264"/>
      <c r="E217" s="264"/>
    </row>
    <row r="218" spans="1:5">
      <c r="A218" s="264"/>
      <c r="B218" s="264"/>
      <c r="C218" s="264"/>
      <c r="D218" s="264"/>
      <c r="E218" s="264"/>
    </row>
    <row r="219" spans="1:5">
      <c r="A219" s="264"/>
      <c r="B219" s="264"/>
      <c r="C219" s="264"/>
      <c r="D219" s="264"/>
      <c r="E219" s="264"/>
    </row>
    <row r="220" spans="1:5">
      <c r="A220" s="264"/>
      <c r="B220" s="264"/>
      <c r="C220" s="264"/>
      <c r="D220" s="264"/>
      <c r="E220" s="264"/>
    </row>
    <row r="221" spans="1:5">
      <c r="A221" s="264"/>
      <c r="B221" s="264"/>
      <c r="C221" s="264"/>
      <c r="D221" s="264"/>
      <c r="E221" s="264"/>
    </row>
    <row r="222" spans="1:5">
      <c r="A222" s="264"/>
      <c r="B222" s="264"/>
      <c r="C222" s="264"/>
      <c r="D222" s="264"/>
      <c r="E222" s="264"/>
    </row>
    <row r="223" spans="1:5">
      <c r="A223" s="264"/>
      <c r="B223" s="264"/>
      <c r="C223" s="264"/>
      <c r="D223" s="264"/>
      <c r="E223" s="264"/>
    </row>
    <row r="224" spans="1:5">
      <c r="A224" s="264"/>
      <c r="B224" s="264"/>
      <c r="C224" s="264"/>
      <c r="D224" s="264"/>
      <c r="E224" s="264"/>
    </row>
    <row r="225" spans="1:5">
      <c r="A225" s="264"/>
      <c r="B225" s="264"/>
      <c r="C225" s="264"/>
      <c r="D225" s="264"/>
      <c r="E225" s="264"/>
    </row>
    <row r="226" spans="1:5">
      <c r="A226" s="264"/>
      <c r="B226" s="264"/>
      <c r="C226" s="264"/>
      <c r="D226" s="264"/>
      <c r="E226" s="264"/>
    </row>
    <row r="227" spans="1:5">
      <c r="A227" s="264"/>
      <c r="B227" s="264"/>
      <c r="C227" s="264"/>
      <c r="D227" s="264"/>
      <c r="E227" s="264"/>
    </row>
    <row r="228" spans="1:5">
      <c r="A228" s="264"/>
      <c r="B228" s="264"/>
      <c r="C228" s="264"/>
      <c r="D228" s="264"/>
      <c r="E228" s="264"/>
    </row>
    <row r="229" spans="1:5">
      <c r="A229" s="264"/>
      <c r="B229" s="264"/>
      <c r="C229" s="264"/>
      <c r="D229" s="264"/>
      <c r="E229" s="264"/>
    </row>
    <row r="230" spans="1:5">
      <c r="A230" s="264"/>
      <c r="B230" s="264"/>
      <c r="C230" s="264"/>
      <c r="D230" s="264"/>
      <c r="E230" s="264"/>
    </row>
    <row r="231" spans="1:5">
      <c r="A231" s="264"/>
      <c r="B231" s="264"/>
      <c r="C231" s="264"/>
      <c r="D231" s="264"/>
      <c r="E231" s="264"/>
    </row>
    <row r="232" spans="1:5">
      <c r="A232" s="264"/>
      <c r="B232" s="264"/>
      <c r="C232" s="264"/>
      <c r="D232" s="264"/>
      <c r="E232" s="264"/>
    </row>
    <row r="233" spans="1:5">
      <c r="A233" s="264"/>
      <c r="B233" s="264"/>
      <c r="C233" s="264"/>
      <c r="D233" s="264"/>
      <c r="E233" s="264"/>
    </row>
    <row r="234" spans="1:5">
      <c r="A234" s="264"/>
      <c r="B234" s="264"/>
      <c r="C234" s="264"/>
      <c r="D234" s="264"/>
      <c r="E234" s="264"/>
    </row>
    <row r="235" spans="1:5">
      <c r="A235" s="264"/>
      <c r="B235" s="264"/>
      <c r="C235" s="264"/>
      <c r="D235" s="264"/>
      <c r="E235" s="264"/>
    </row>
    <row r="236" spans="1:5">
      <c r="A236" s="264"/>
      <c r="B236" s="264"/>
      <c r="C236" s="264"/>
      <c r="D236" s="264"/>
      <c r="E236" s="264"/>
    </row>
    <row r="237" spans="1:5">
      <c r="A237" s="264"/>
      <c r="B237" s="264"/>
      <c r="C237" s="264"/>
      <c r="D237" s="264"/>
      <c r="E237" s="264"/>
    </row>
    <row r="238" spans="1:5">
      <c r="A238" s="264"/>
      <c r="B238" s="264"/>
      <c r="C238" s="264"/>
      <c r="D238" s="264"/>
      <c r="E238" s="264"/>
    </row>
    <row r="239" spans="1:5">
      <c r="A239" s="264"/>
      <c r="B239" s="264"/>
      <c r="C239" s="264"/>
      <c r="D239" s="264"/>
      <c r="E239" s="264"/>
    </row>
    <row r="240" spans="1:5">
      <c r="A240" s="264"/>
      <c r="B240" s="264"/>
      <c r="C240" s="264"/>
      <c r="D240" s="264"/>
      <c r="E240" s="264"/>
    </row>
    <row r="241" spans="1:5">
      <c r="A241" s="264"/>
      <c r="B241" s="264"/>
      <c r="C241" s="264"/>
      <c r="D241" s="264"/>
      <c r="E241" s="264"/>
    </row>
    <row r="242" spans="1:5">
      <c r="A242" s="264"/>
      <c r="B242" s="264"/>
      <c r="C242" s="264"/>
      <c r="D242" s="264"/>
      <c r="E242" s="264"/>
    </row>
    <row r="243" spans="1:5">
      <c r="A243" s="264"/>
      <c r="B243" s="264"/>
      <c r="C243" s="264"/>
      <c r="D243" s="264"/>
      <c r="E243" s="264"/>
    </row>
    <row r="244" spans="1:5">
      <c r="A244" s="264"/>
      <c r="B244" s="264"/>
      <c r="C244" s="264"/>
      <c r="D244" s="264"/>
      <c r="E244" s="264"/>
    </row>
    <row r="245" spans="1:5">
      <c r="A245" s="264"/>
      <c r="B245" s="264"/>
      <c r="C245" s="264"/>
      <c r="D245" s="264"/>
      <c r="E245" s="264"/>
    </row>
    <row r="246" spans="1:5">
      <c r="A246" s="264"/>
      <c r="B246" s="264"/>
      <c r="C246" s="264"/>
      <c r="D246" s="264"/>
      <c r="E246" s="264"/>
    </row>
    <row r="247" spans="1:5">
      <c r="A247" s="264"/>
      <c r="B247" s="264"/>
      <c r="C247" s="264"/>
      <c r="D247" s="264"/>
      <c r="E247" s="264"/>
    </row>
    <row r="248" spans="1:5">
      <c r="A248" s="264"/>
      <c r="B248" s="264"/>
      <c r="C248" s="264"/>
      <c r="D248" s="264"/>
      <c r="E248" s="264"/>
    </row>
    <row r="249" spans="1:5">
      <c r="A249" s="264"/>
      <c r="B249" s="264"/>
      <c r="C249" s="264"/>
      <c r="D249" s="264"/>
      <c r="E249" s="264"/>
    </row>
    <row r="250" spans="1:5">
      <c r="A250" s="264"/>
      <c r="B250" s="264"/>
      <c r="C250" s="264"/>
      <c r="D250" s="264"/>
      <c r="E250" s="264"/>
    </row>
    <row r="251" spans="1:5">
      <c r="A251" s="264"/>
      <c r="B251" s="264"/>
      <c r="C251" s="264"/>
      <c r="D251" s="264"/>
      <c r="E251" s="264"/>
    </row>
    <row r="252" spans="1:5">
      <c r="A252" s="264"/>
      <c r="B252" s="264"/>
      <c r="C252" s="264"/>
      <c r="D252" s="264"/>
      <c r="E252" s="264"/>
    </row>
    <row r="253" spans="1:5">
      <c r="A253" s="264"/>
      <c r="B253" s="264"/>
      <c r="C253" s="264"/>
      <c r="D253" s="264"/>
      <c r="E253" s="264"/>
    </row>
    <row r="254" spans="1:5">
      <c r="A254" s="264"/>
      <c r="B254" s="264"/>
      <c r="C254" s="264"/>
      <c r="D254" s="264"/>
      <c r="E254" s="264"/>
    </row>
    <row r="255" spans="1:5">
      <c r="A255" s="264"/>
      <c r="B255" s="264"/>
      <c r="C255" s="264"/>
      <c r="D255" s="264"/>
      <c r="E255" s="264"/>
    </row>
    <row r="256" spans="1:5">
      <c r="A256" s="264"/>
      <c r="B256" s="264"/>
      <c r="C256" s="264"/>
      <c r="D256" s="264"/>
      <c r="E256" s="264"/>
    </row>
    <row r="257" spans="1:5">
      <c r="A257" s="264"/>
      <c r="B257" s="264"/>
      <c r="C257" s="264"/>
      <c r="D257" s="264"/>
      <c r="E257" s="264"/>
    </row>
    <row r="258" spans="1:5">
      <c r="A258" s="264"/>
      <c r="B258" s="264"/>
      <c r="C258" s="264"/>
      <c r="D258" s="264"/>
      <c r="E258" s="264"/>
    </row>
    <row r="259" spans="1:5">
      <c r="A259" s="264"/>
      <c r="B259" s="264"/>
      <c r="C259" s="264"/>
      <c r="D259" s="264"/>
      <c r="E259" s="264"/>
    </row>
    <row r="260" spans="1:5">
      <c r="A260" s="264"/>
      <c r="B260" s="264"/>
      <c r="C260" s="264"/>
      <c r="D260" s="264"/>
      <c r="E260" s="264"/>
    </row>
    <row r="261" spans="1:5">
      <c r="A261" s="264"/>
      <c r="B261" s="264"/>
      <c r="C261" s="264"/>
      <c r="D261" s="264"/>
      <c r="E261" s="264"/>
    </row>
    <row r="262" spans="1:5">
      <c r="A262" s="264"/>
      <c r="B262" s="264"/>
      <c r="C262" s="264"/>
      <c r="D262" s="264"/>
      <c r="E262" s="264"/>
    </row>
    <row r="263" spans="1:5">
      <c r="A263" s="264"/>
      <c r="B263" s="264"/>
      <c r="C263" s="264"/>
      <c r="D263" s="264"/>
      <c r="E263" s="264"/>
    </row>
    <row r="264" spans="1:5">
      <c r="A264" s="264"/>
      <c r="B264" s="264"/>
      <c r="C264" s="264"/>
      <c r="D264" s="264"/>
      <c r="E264" s="264"/>
    </row>
    <row r="265" spans="1:5">
      <c r="A265" s="264"/>
      <c r="B265" s="264"/>
      <c r="C265" s="264"/>
      <c r="D265" s="264"/>
      <c r="E265" s="264"/>
    </row>
    <row r="266" spans="1:5">
      <c r="A266" s="264"/>
      <c r="B266" s="264"/>
      <c r="C266" s="264"/>
      <c r="D266" s="264"/>
      <c r="E266" s="264"/>
    </row>
    <row r="267" spans="1:5">
      <c r="A267" s="264"/>
      <c r="B267" s="264"/>
      <c r="C267" s="264"/>
      <c r="D267" s="264"/>
      <c r="E267" s="264"/>
    </row>
    <row r="268" spans="1:5">
      <c r="A268" s="264"/>
      <c r="B268" s="264"/>
      <c r="C268" s="264"/>
      <c r="D268" s="264"/>
      <c r="E268" s="264"/>
    </row>
    <row r="269" spans="1:5">
      <c r="A269" s="264"/>
      <c r="B269" s="264"/>
      <c r="C269" s="264"/>
      <c r="D269" s="264"/>
      <c r="E269" s="264"/>
    </row>
    <row r="270" spans="1:5">
      <c r="A270" s="264"/>
      <c r="B270" s="264"/>
      <c r="C270" s="264"/>
      <c r="D270" s="264"/>
      <c r="E270" s="264"/>
    </row>
    <row r="271" spans="1:5">
      <c r="A271" s="264"/>
      <c r="B271" s="264"/>
      <c r="C271" s="264"/>
      <c r="D271" s="264"/>
      <c r="E271" s="264"/>
    </row>
    <row r="272" spans="1:5">
      <c r="A272" s="264"/>
      <c r="B272" s="264"/>
      <c r="C272" s="264"/>
      <c r="D272" s="264"/>
      <c r="E272" s="264"/>
    </row>
    <row r="273" spans="1:5">
      <c r="A273" s="264"/>
      <c r="B273" s="264"/>
      <c r="C273" s="264"/>
      <c r="D273" s="264"/>
      <c r="E273" s="264"/>
    </row>
    <row r="274" spans="1:5">
      <c r="A274" s="264"/>
      <c r="B274" s="264"/>
      <c r="C274" s="264"/>
      <c r="D274" s="264"/>
      <c r="E274" s="264"/>
    </row>
    <row r="275" spans="1:5">
      <c r="A275" s="264"/>
      <c r="B275" s="264"/>
      <c r="C275" s="264"/>
      <c r="D275" s="264"/>
      <c r="E275" s="264"/>
    </row>
    <row r="276" spans="1:5">
      <c r="A276" s="264"/>
      <c r="B276" s="264"/>
      <c r="C276" s="264"/>
      <c r="D276" s="264"/>
      <c r="E276" s="264"/>
    </row>
    <row r="277" spans="1:5">
      <c r="A277" s="264"/>
      <c r="B277" s="264"/>
      <c r="C277" s="264"/>
      <c r="D277" s="264"/>
      <c r="E277" s="264"/>
    </row>
    <row r="278" spans="1:5">
      <c r="A278" s="264"/>
      <c r="B278" s="264"/>
      <c r="C278" s="264"/>
      <c r="D278" s="264"/>
      <c r="E278" s="264"/>
    </row>
    <row r="279" spans="1:5">
      <c r="A279" s="264"/>
      <c r="B279" s="264"/>
      <c r="C279" s="264"/>
      <c r="D279" s="264"/>
      <c r="E279" s="264"/>
    </row>
    <row r="280" spans="1:5">
      <c r="A280" s="264"/>
      <c r="B280" s="264"/>
      <c r="C280" s="264"/>
      <c r="D280" s="264"/>
      <c r="E280" s="264"/>
    </row>
    <row r="281" spans="1:5">
      <c r="A281" s="264"/>
      <c r="B281" s="264"/>
      <c r="C281" s="264"/>
      <c r="D281" s="264"/>
      <c r="E281" s="264"/>
    </row>
    <row r="282" spans="1:5">
      <c r="A282" s="264"/>
      <c r="B282" s="264"/>
      <c r="C282" s="264"/>
      <c r="D282" s="264"/>
      <c r="E282" s="264"/>
    </row>
    <row r="283" spans="1:5">
      <c r="A283" s="264"/>
      <c r="B283" s="264"/>
      <c r="C283" s="264"/>
      <c r="D283" s="264"/>
      <c r="E283" s="264"/>
    </row>
    <row r="284" spans="1:5">
      <c r="A284" s="264"/>
      <c r="B284" s="264"/>
      <c r="C284" s="264"/>
      <c r="D284" s="264"/>
      <c r="E284" s="264"/>
    </row>
    <row r="285" spans="1:5">
      <c r="A285" s="264"/>
      <c r="B285" s="264"/>
      <c r="C285" s="264"/>
      <c r="D285" s="264"/>
      <c r="E285" s="264"/>
    </row>
    <row r="286" spans="1:5">
      <c r="A286" s="264"/>
      <c r="B286" s="264"/>
      <c r="C286" s="264"/>
      <c r="D286" s="264"/>
      <c r="E286" s="264"/>
    </row>
    <row r="287" spans="1:5">
      <c r="A287" s="264"/>
      <c r="B287" s="264"/>
      <c r="C287" s="264"/>
      <c r="D287" s="264"/>
      <c r="E287" s="264"/>
    </row>
    <row r="288" spans="1:5">
      <c r="A288" s="264"/>
      <c r="B288" s="264"/>
      <c r="C288" s="264"/>
      <c r="D288" s="264"/>
      <c r="E288" s="264"/>
    </row>
    <row r="289" spans="1:5">
      <c r="A289" s="264"/>
      <c r="B289" s="264"/>
      <c r="C289" s="264"/>
      <c r="D289" s="264"/>
      <c r="E289" s="264"/>
    </row>
    <row r="290" spans="1:5">
      <c r="A290" s="264"/>
      <c r="B290" s="264"/>
      <c r="C290" s="264"/>
      <c r="D290" s="264"/>
      <c r="E290" s="264"/>
    </row>
    <row r="291" spans="1:5">
      <c r="A291" s="264"/>
      <c r="B291" s="264"/>
      <c r="C291" s="264"/>
      <c r="D291" s="264"/>
      <c r="E291" s="264"/>
    </row>
    <row r="292" spans="1:5">
      <c r="A292" s="264"/>
      <c r="B292" s="264"/>
      <c r="C292" s="264"/>
      <c r="D292" s="264"/>
      <c r="E292" s="264"/>
    </row>
    <row r="293" spans="1:5">
      <c r="A293" s="264"/>
      <c r="B293" s="264"/>
      <c r="C293" s="264"/>
      <c r="D293" s="264"/>
      <c r="E293" s="264"/>
    </row>
    <row r="294" spans="1:5">
      <c r="A294" s="264"/>
      <c r="B294" s="264"/>
      <c r="C294" s="264"/>
      <c r="D294" s="264"/>
      <c r="E294" s="264"/>
    </row>
    <row r="295" spans="1:5">
      <c r="A295" s="264"/>
      <c r="B295" s="264"/>
      <c r="C295" s="264"/>
      <c r="D295" s="264"/>
      <c r="E295" s="264"/>
    </row>
    <row r="296" spans="1:5">
      <c r="A296" s="264"/>
      <c r="B296" s="264"/>
      <c r="C296" s="264"/>
      <c r="D296" s="264"/>
      <c r="E296" s="264"/>
    </row>
    <row r="297" spans="1:5">
      <c r="A297" s="264"/>
      <c r="B297" s="264"/>
      <c r="C297" s="264"/>
      <c r="D297" s="264"/>
      <c r="E297" s="264"/>
    </row>
    <row r="298" spans="1:5">
      <c r="A298" s="264"/>
      <c r="B298" s="264"/>
      <c r="C298" s="264"/>
      <c r="D298" s="264"/>
      <c r="E298" s="264"/>
    </row>
    <row r="299" spans="1:5">
      <c r="A299" s="264"/>
      <c r="B299" s="264"/>
      <c r="C299" s="264"/>
      <c r="D299" s="264"/>
      <c r="E299" s="264"/>
    </row>
    <row r="300" spans="1:5">
      <c r="A300" s="264"/>
      <c r="B300" s="264"/>
      <c r="C300" s="264"/>
      <c r="D300" s="264"/>
      <c r="E300" s="264"/>
    </row>
    <row r="301" spans="1:5">
      <c r="A301" s="264"/>
      <c r="B301" s="264"/>
      <c r="C301" s="264"/>
      <c r="D301" s="264"/>
      <c r="E301" s="264"/>
    </row>
    <row r="302" spans="1:5">
      <c r="A302" s="264"/>
      <c r="B302" s="264"/>
      <c r="C302" s="264"/>
      <c r="D302" s="264"/>
      <c r="E302" s="264"/>
    </row>
    <row r="303" spans="1:5">
      <c r="A303" s="264"/>
      <c r="B303" s="264"/>
      <c r="C303" s="264"/>
      <c r="D303" s="264"/>
      <c r="E303" s="264"/>
    </row>
    <row r="304" spans="1:5">
      <c r="A304" s="264"/>
      <c r="B304" s="264"/>
      <c r="C304" s="264"/>
      <c r="D304" s="264"/>
      <c r="E304" s="264"/>
    </row>
    <row r="305" spans="1:5">
      <c r="A305" s="264"/>
      <c r="B305" s="264"/>
      <c r="C305" s="264"/>
      <c r="D305" s="264"/>
      <c r="E305" s="264"/>
    </row>
    <row r="306" spans="1:5">
      <c r="A306" s="264"/>
      <c r="B306" s="264"/>
      <c r="C306" s="264"/>
      <c r="D306" s="264"/>
      <c r="E306" s="264"/>
    </row>
    <row r="307" spans="1:5">
      <c r="A307" s="264"/>
      <c r="B307" s="264"/>
      <c r="C307" s="264"/>
      <c r="D307" s="264"/>
      <c r="E307" s="264"/>
    </row>
    <row r="308" spans="1:5">
      <c r="A308" s="264"/>
      <c r="B308" s="264"/>
      <c r="C308" s="264"/>
      <c r="D308" s="264"/>
      <c r="E308" s="264"/>
    </row>
    <row r="309" spans="1:5">
      <c r="A309" s="264"/>
      <c r="B309" s="264"/>
      <c r="C309" s="264"/>
      <c r="D309" s="264"/>
      <c r="E309" s="264"/>
    </row>
    <row r="310" spans="1:5">
      <c r="A310" s="264"/>
      <c r="B310" s="264"/>
      <c r="C310" s="264"/>
      <c r="D310" s="264"/>
      <c r="E310" s="264"/>
    </row>
    <row r="311" spans="1:5">
      <c r="A311" s="264"/>
      <c r="B311" s="264"/>
      <c r="C311" s="264"/>
      <c r="D311" s="264"/>
      <c r="E311" s="264"/>
    </row>
    <row r="312" spans="1:5">
      <c r="A312" s="264"/>
      <c r="B312" s="264"/>
      <c r="C312" s="264"/>
      <c r="D312" s="264"/>
      <c r="E312" s="264"/>
    </row>
    <row r="313" spans="1:5">
      <c r="A313" s="264"/>
      <c r="B313" s="264"/>
      <c r="C313" s="264"/>
      <c r="D313" s="264"/>
      <c r="E313" s="264"/>
    </row>
    <row r="314" spans="1:5">
      <c r="A314" s="264"/>
      <c r="B314" s="264"/>
      <c r="C314" s="264"/>
      <c r="D314" s="264"/>
      <c r="E314" s="264"/>
    </row>
    <row r="315" spans="1:5">
      <c r="A315" s="264"/>
      <c r="B315" s="264"/>
      <c r="C315" s="264"/>
      <c r="D315" s="264"/>
      <c r="E315" s="264"/>
    </row>
    <row r="316" spans="1:5">
      <c r="A316" s="264"/>
      <c r="B316" s="264"/>
      <c r="C316" s="264"/>
      <c r="D316" s="264"/>
      <c r="E316" s="264"/>
    </row>
    <row r="317" spans="1:5">
      <c r="A317" s="264"/>
      <c r="B317" s="264"/>
      <c r="C317" s="264"/>
      <c r="D317" s="264"/>
      <c r="E317" s="264"/>
    </row>
    <row r="318" spans="1:5">
      <c r="A318" s="264"/>
      <c r="B318" s="264"/>
      <c r="C318" s="264"/>
      <c r="D318" s="264"/>
      <c r="E318" s="264"/>
    </row>
    <row r="319" spans="1:5">
      <c r="A319" s="264"/>
      <c r="B319" s="264"/>
      <c r="C319" s="264"/>
      <c r="D319" s="264"/>
      <c r="E319" s="264"/>
    </row>
    <row r="320" spans="1:5">
      <c r="A320" s="264"/>
      <c r="B320" s="264"/>
      <c r="C320" s="264"/>
      <c r="D320" s="264"/>
      <c r="E320" s="264"/>
    </row>
    <row r="321" spans="1:5">
      <c r="A321" s="264"/>
      <c r="B321" s="264"/>
      <c r="C321" s="264"/>
      <c r="D321" s="264"/>
      <c r="E321" s="264"/>
    </row>
    <row r="322" spans="1:5">
      <c r="A322" s="264"/>
      <c r="B322" s="264"/>
      <c r="C322" s="264"/>
      <c r="D322" s="264"/>
      <c r="E322" s="264"/>
    </row>
    <row r="323" spans="1:5">
      <c r="A323" s="264"/>
      <c r="B323" s="264"/>
      <c r="C323" s="264"/>
      <c r="D323" s="264"/>
      <c r="E323" s="264"/>
    </row>
    <row r="324" spans="1:5">
      <c r="A324" s="264"/>
      <c r="B324" s="264"/>
      <c r="C324" s="264"/>
      <c r="D324" s="264"/>
      <c r="E324" s="264"/>
    </row>
    <row r="325" spans="1:5">
      <c r="A325" s="264"/>
      <c r="B325" s="264"/>
      <c r="C325" s="264"/>
      <c r="D325" s="264"/>
      <c r="E325" s="264"/>
    </row>
    <row r="326" spans="1:5">
      <c r="A326" s="264"/>
      <c r="B326" s="264"/>
      <c r="C326" s="264"/>
      <c r="D326" s="264"/>
      <c r="E326" s="264"/>
    </row>
    <row r="327" spans="1:5">
      <c r="A327" s="264"/>
      <c r="B327" s="264"/>
      <c r="C327" s="264"/>
      <c r="D327" s="264"/>
      <c r="E327" s="264"/>
    </row>
    <row r="328" spans="1:5">
      <c r="A328" s="264"/>
      <c r="B328" s="264"/>
      <c r="C328" s="264"/>
      <c r="D328" s="264"/>
      <c r="E328" s="264"/>
    </row>
    <row r="329" spans="1:5">
      <c r="A329" s="264"/>
      <c r="B329" s="264"/>
      <c r="C329" s="264"/>
      <c r="D329" s="264"/>
      <c r="E329" s="264"/>
    </row>
    <row r="330" spans="1:5">
      <c r="A330" s="264"/>
      <c r="B330" s="264"/>
      <c r="C330" s="264"/>
      <c r="D330" s="264"/>
      <c r="E330" s="264"/>
    </row>
    <row r="331" spans="1:5">
      <c r="A331" s="264"/>
      <c r="B331" s="264"/>
      <c r="C331" s="264"/>
      <c r="D331" s="264"/>
      <c r="E331" s="264"/>
    </row>
    <row r="332" spans="1:5">
      <c r="A332" s="264"/>
      <c r="B332" s="264"/>
      <c r="C332" s="264"/>
      <c r="D332" s="264"/>
      <c r="E332" s="264"/>
    </row>
    <row r="333" spans="1:5">
      <c r="A333" s="264"/>
      <c r="B333" s="264"/>
      <c r="C333" s="264"/>
      <c r="D333" s="264"/>
      <c r="E333" s="264"/>
    </row>
    <row r="334" spans="1:5">
      <c r="A334" s="264"/>
      <c r="B334" s="264"/>
      <c r="C334" s="264"/>
      <c r="D334" s="264"/>
      <c r="E334" s="264"/>
    </row>
    <row r="335" spans="1:5">
      <c r="A335" s="264"/>
      <c r="B335" s="264"/>
      <c r="C335" s="264"/>
      <c r="D335" s="264"/>
      <c r="E335" s="264"/>
    </row>
    <row r="336" spans="1:5">
      <c r="A336" s="264"/>
      <c r="B336" s="264"/>
      <c r="C336" s="264"/>
      <c r="D336" s="264"/>
      <c r="E336" s="264"/>
    </row>
    <row r="337" spans="1:5">
      <c r="A337" s="264"/>
      <c r="B337" s="264"/>
      <c r="C337" s="264"/>
      <c r="D337" s="264"/>
      <c r="E337" s="264"/>
    </row>
    <row r="338" spans="1:5">
      <c r="A338" s="264"/>
      <c r="B338" s="264"/>
      <c r="C338" s="264"/>
      <c r="D338" s="264"/>
      <c r="E338" s="264"/>
    </row>
    <row r="339" spans="1:5">
      <c r="A339" s="264"/>
      <c r="B339" s="264"/>
      <c r="C339" s="264"/>
      <c r="D339" s="264"/>
      <c r="E339" s="264"/>
    </row>
    <row r="340" spans="1:5">
      <c r="A340" s="264"/>
      <c r="B340" s="264"/>
      <c r="C340" s="264"/>
      <c r="D340" s="264"/>
      <c r="E340" s="264"/>
    </row>
    <row r="341" spans="1:5">
      <c r="A341" s="264"/>
      <c r="B341" s="264"/>
      <c r="C341" s="264"/>
      <c r="D341" s="264"/>
      <c r="E341" s="264"/>
    </row>
    <row r="342" spans="1:5">
      <c r="A342" s="264"/>
      <c r="B342" s="264"/>
      <c r="C342" s="264"/>
      <c r="D342" s="264"/>
      <c r="E342" s="264"/>
    </row>
    <row r="343" spans="1:5">
      <c r="A343" s="264"/>
      <c r="B343" s="264"/>
      <c r="C343" s="264"/>
      <c r="D343" s="264"/>
      <c r="E343" s="264"/>
    </row>
    <row r="344" spans="1:5">
      <c r="A344" s="264"/>
      <c r="B344" s="264"/>
      <c r="C344" s="264"/>
      <c r="D344" s="264"/>
      <c r="E344" s="264"/>
    </row>
    <row r="345" spans="1:5">
      <c r="A345" s="264"/>
      <c r="B345" s="264"/>
      <c r="C345" s="264"/>
      <c r="D345" s="264"/>
      <c r="E345" s="264"/>
    </row>
    <row r="346" spans="1:5">
      <c r="A346" s="264"/>
      <c r="B346" s="264"/>
      <c r="C346" s="264"/>
      <c r="D346" s="264"/>
      <c r="E346" s="264"/>
    </row>
    <row r="347" spans="1:5">
      <c r="A347" s="264"/>
      <c r="B347" s="264"/>
      <c r="C347" s="264"/>
      <c r="D347" s="264"/>
      <c r="E347" s="264"/>
    </row>
    <row r="348" spans="1:5">
      <c r="A348" s="264"/>
      <c r="B348" s="264"/>
      <c r="C348" s="264"/>
      <c r="D348" s="264"/>
      <c r="E348" s="264"/>
    </row>
    <row r="349" spans="1:5">
      <c r="A349" s="264"/>
      <c r="B349" s="264"/>
      <c r="C349" s="264"/>
      <c r="D349" s="264"/>
      <c r="E349" s="264"/>
    </row>
    <row r="350" spans="1:5">
      <c r="A350" s="264"/>
      <c r="B350" s="264"/>
      <c r="C350" s="264"/>
      <c r="D350" s="264"/>
      <c r="E350" s="264"/>
    </row>
    <row r="351" spans="1:5">
      <c r="A351" s="264"/>
      <c r="B351" s="264"/>
      <c r="C351" s="264"/>
      <c r="D351" s="264"/>
      <c r="E351" s="264"/>
    </row>
    <row r="352" spans="1:5">
      <c r="A352" s="264"/>
      <c r="B352" s="264"/>
      <c r="C352" s="264"/>
      <c r="D352" s="264"/>
      <c r="E352" s="264"/>
    </row>
    <row r="353" spans="1:5">
      <c r="A353" s="264"/>
      <c r="B353" s="264"/>
      <c r="C353" s="264"/>
      <c r="D353" s="264"/>
      <c r="E353" s="264"/>
    </row>
    <row r="354" spans="1:5">
      <c r="A354" s="264"/>
      <c r="B354" s="264"/>
      <c r="C354" s="264"/>
      <c r="D354" s="264"/>
      <c r="E354" s="264"/>
    </row>
    <row r="355" spans="1:5">
      <c r="A355" s="264"/>
      <c r="B355" s="264"/>
      <c r="C355" s="264"/>
      <c r="D355" s="264"/>
      <c r="E355" s="264"/>
    </row>
    <row r="356" spans="1:5">
      <c r="A356" s="264"/>
      <c r="B356" s="264"/>
      <c r="C356" s="264"/>
      <c r="D356" s="264"/>
      <c r="E356" s="264"/>
    </row>
    <row r="357" spans="1:5">
      <c r="A357" s="264"/>
      <c r="B357" s="264"/>
      <c r="C357" s="264"/>
      <c r="D357" s="264"/>
      <c r="E357" s="264"/>
    </row>
    <row r="358" spans="1:5">
      <c r="A358" s="264"/>
      <c r="B358" s="264"/>
      <c r="C358" s="264"/>
      <c r="D358" s="264"/>
      <c r="E358" s="264"/>
    </row>
    <row r="359" spans="1:5">
      <c r="A359" s="264"/>
      <c r="B359" s="264"/>
      <c r="C359" s="264"/>
      <c r="D359" s="264"/>
      <c r="E359" s="264"/>
    </row>
    <row r="360" spans="1:5">
      <c r="A360" s="264"/>
      <c r="B360" s="264"/>
      <c r="C360" s="264"/>
      <c r="D360" s="264"/>
      <c r="E360" s="264"/>
    </row>
    <row r="361" spans="1:5">
      <c r="A361" s="264"/>
      <c r="B361" s="264"/>
      <c r="C361" s="264"/>
      <c r="D361" s="264"/>
      <c r="E361" s="264"/>
    </row>
    <row r="362" spans="1:5">
      <c r="A362" s="264"/>
      <c r="B362" s="264"/>
      <c r="C362" s="264"/>
      <c r="D362" s="264"/>
      <c r="E362" s="264"/>
    </row>
    <row r="363" spans="1:5">
      <c r="A363" s="264"/>
      <c r="B363" s="264"/>
      <c r="C363" s="264"/>
      <c r="D363" s="264"/>
      <c r="E363" s="264"/>
    </row>
    <row r="364" spans="1:5">
      <c r="A364" s="264"/>
      <c r="B364" s="264"/>
      <c r="C364" s="264"/>
      <c r="D364" s="264"/>
      <c r="E364" s="264"/>
    </row>
    <row r="365" spans="1:5">
      <c r="A365" s="264"/>
      <c r="B365" s="264"/>
      <c r="C365" s="264"/>
      <c r="D365" s="264"/>
      <c r="E365" s="264"/>
    </row>
    <row r="366" spans="1:5">
      <c r="A366" s="264"/>
      <c r="B366" s="264"/>
      <c r="C366" s="264"/>
      <c r="D366" s="264"/>
      <c r="E366" s="264"/>
    </row>
    <row r="367" spans="1:5">
      <c r="A367" s="264"/>
      <c r="B367" s="264"/>
      <c r="C367" s="264"/>
      <c r="D367" s="264"/>
      <c r="E367" s="264"/>
    </row>
    <row r="368" spans="1:5">
      <c r="A368" s="264"/>
      <c r="B368" s="264"/>
      <c r="C368" s="264"/>
      <c r="D368" s="264"/>
      <c r="E368" s="264"/>
    </row>
    <row r="369" spans="1:5">
      <c r="A369" s="264"/>
      <c r="B369" s="264"/>
      <c r="C369" s="264"/>
      <c r="D369" s="264"/>
      <c r="E369" s="264"/>
    </row>
    <row r="370" spans="1:5">
      <c r="A370" s="264"/>
      <c r="B370" s="264"/>
      <c r="C370" s="264"/>
      <c r="D370" s="264"/>
      <c r="E370" s="264"/>
    </row>
    <row r="371" spans="1:5">
      <c r="A371" s="264"/>
      <c r="B371" s="264"/>
      <c r="C371" s="264"/>
      <c r="D371" s="264"/>
      <c r="E371" s="264"/>
    </row>
    <row r="372" spans="1:5">
      <c r="A372" s="264"/>
      <c r="B372" s="264"/>
      <c r="C372" s="264"/>
      <c r="D372" s="264"/>
      <c r="E372" s="264"/>
    </row>
    <row r="373" spans="1:5">
      <c r="A373" s="264"/>
      <c r="B373" s="264"/>
      <c r="C373" s="264"/>
      <c r="D373" s="264"/>
      <c r="E373" s="264"/>
    </row>
    <row r="374" spans="1:5">
      <c r="A374" s="264"/>
      <c r="B374" s="264"/>
      <c r="C374" s="264"/>
      <c r="D374" s="264"/>
      <c r="E374" s="264"/>
    </row>
    <row r="375" spans="1:5">
      <c r="A375" s="264"/>
      <c r="B375" s="264"/>
      <c r="C375" s="264"/>
      <c r="D375" s="264"/>
      <c r="E375" s="264"/>
    </row>
    <row r="376" spans="1:5">
      <c r="A376" s="264"/>
      <c r="B376" s="264"/>
      <c r="C376" s="264"/>
      <c r="D376" s="264"/>
      <c r="E376" s="264"/>
    </row>
    <row r="377" spans="1:5">
      <c r="A377" s="264"/>
      <c r="B377" s="264"/>
      <c r="C377" s="264"/>
      <c r="D377" s="264"/>
      <c r="E377" s="264"/>
    </row>
    <row r="378" spans="1:5">
      <c r="A378" s="264"/>
      <c r="B378" s="264"/>
      <c r="C378" s="264"/>
      <c r="D378" s="264"/>
      <c r="E378" s="264"/>
    </row>
    <row r="379" spans="1:5">
      <c r="A379" s="264"/>
      <c r="B379" s="264"/>
      <c r="C379" s="264"/>
      <c r="D379" s="264"/>
      <c r="E379" s="264"/>
    </row>
    <row r="380" spans="1:5">
      <c r="A380" s="264"/>
      <c r="B380" s="264"/>
      <c r="C380" s="264"/>
      <c r="D380" s="264"/>
      <c r="E380" s="264"/>
    </row>
    <row r="381" spans="1:5">
      <c r="A381" s="264"/>
      <c r="B381" s="264"/>
      <c r="C381" s="264"/>
      <c r="D381" s="264"/>
      <c r="E381" s="264"/>
    </row>
    <row r="382" spans="1:5">
      <c r="A382" s="264"/>
      <c r="B382" s="264"/>
      <c r="C382" s="264"/>
      <c r="D382" s="264"/>
      <c r="E382" s="264"/>
    </row>
    <row r="383" spans="1:5">
      <c r="A383" s="264"/>
      <c r="B383" s="264"/>
      <c r="C383" s="264"/>
      <c r="D383" s="264"/>
      <c r="E383" s="264"/>
    </row>
    <row r="384" spans="1:5">
      <c r="A384" s="264"/>
      <c r="B384" s="264"/>
      <c r="C384" s="264"/>
      <c r="D384" s="264"/>
      <c r="E384" s="264"/>
    </row>
    <row r="385" spans="1:5">
      <c r="A385" s="264"/>
      <c r="B385" s="264"/>
      <c r="C385" s="264"/>
      <c r="D385" s="264"/>
      <c r="E385" s="264"/>
    </row>
    <row r="386" spans="1:5">
      <c r="A386" s="264"/>
      <c r="B386" s="264"/>
      <c r="C386" s="264"/>
      <c r="D386" s="264"/>
      <c r="E386" s="264"/>
    </row>
    <row r="387" spans="1:5">
      <c r="A387" s="264"/>
      <c r="B387" s="264"/>
      <c r="C387" s="264"/>
      <c r="D387" s="264"/>
      <c r="E387" s="264"/>
    </row>
    <row r="388" spans="1:5">
      <c r="A388" s="264"/>
      <c r="B388" s="264"/>
      <c r="C388" s="264"/>
      <c r="D388" s="264"/>
      <c r="E388" s="264"/>
    </row>
    <row r="389" spans="1:5">
      <c r="A389" s="264"/>
      <c r="B389" s="264"/>
      <c r="C389" s="264"/>
      <c r="D389" s="264"/>
      <c r="E389" s="264"/>
    </row>
    <row r="390" spans="1:5">
      <c r="A390" s="264"/>
      <c r="B390" s="264"/>
      <c r="C390" s="264"/>
      <c r="D390" s="264"/>
      <c r="E390" s="264"/>
    </row>
    <row r="391" spans="1:5">
      <c r="A391" s="264"/>
      <c r="B391" s="264"/>
      <c r="C391" s="264"/>
      <c r="D391" s="264"/>
      <c r="E391" s="264"/>
    </row>
    <row r="392" spans="1:5">
      <c r="A392" s="264"/>
      <c r="B392" s="264"/>
      <c r="C392" s="264"/>
      <c r="D392" s="264"/>
      <c r="E392" s="264"/>
    </row>
    <row r="393" spans="1:5">
      <c r="A393" s="264"/>
      <c r="B393" s="264"/>
      <c r="C393" s="264"/>
      <c r="D393" s="264"/>
      <c r="E393" s="264"/>
    </row>
    <row r="394" spans="1:5">
      <c r="A394" s="264"/>
      <c r="B394" s="264"/>
      <c r="C394" s="264"/>
      <c r="D394" s="264"/>
      <c r="E394" s="264"/>
    </row>
    <row r="395" spans="1:5">
      <c r="A395" s="264"/>
      <c r="B395" s="264"/>
      <c r="C395" s="264"/>
      <c r="D395" s="264"/>
      <c r="E395" s="264"/>
    </row>
    <row r="396" spans="1:5">
      <c r="A396" s="264"/>
      <c r="B396" s="264"/>
      <c r="C396" s="264"/>
      <c r="D396" s="264"/>
      <c r="E396" s="264"/>
    </row>
    <row r="397" spans="1:5">
      <c r="A397" s="264"/>
      <c r="B397" s="264"/>
      <c r="C397" s="264"/>
      <c r="D397" s="264"/>
      <c r="E397" s="264"/>
    </row>
    <row r="398" spans="1:5">
      <c r="A398" s="264"/>
      <c r="B398" s="264"/>
      <c r="C398" s="264"/>
      <c r="D398" s="264"/>
      <c r="E398" s="264"/>
    </row>
    <row r="399" spans="1:5">
      <c r="A399" s="264"/>
      <c r="B399" s="264"/>
      <c r="C399" s="264"/>
      <c r="D399" s="264"/>
      <c r="E399" s="264"/>
    </row>
    <row r="400" spans="1:5">
      <c r="A400" s="264"/>
      <c r="B400" s="264"/>
      <c r="C400" s="264"/>
      <c r="D400" s="264"/>
      <c r="E400" s="264"/>
    </row>
    <row r="401" spans="1:5">
      <c r="A401" s="264"/>
      <c r="B401" s="264"/>
      <c r="C401" s="264"/>
      <c r="D401" s="264"/>
      <c r="E401" s="264"/>
    </row>
    <row r="402" spans="1:5">
      <c r="A402" s="264"/>
      <c r="B402" s="264"/>
      <c r="C402" s="264"/>
      <c r="D402" s="264"/>
      <c r="E402" s="264"/>
    </row>
    <row r="403" spans="1:5">
      <c r="A403" s="264"/>
      <c r="B403" s="264"/>
      <c r="C403" s="264"/>
      <c r="D403" s="264"/>
      <c r="E403" s="264"/>
    </row>
    <row r="404" spans="1:5">
      <c r="A404" s="264"/>
      <c r="B404" s="264"/>
      <c r="C404" s="264"/>
      <c r="D404" s="264"/>
      <c r="E404" s="264"/>
    </row>
    <row r="405" spans="1:5">
      <c r="A405" s="264"/>
      <c r="B405" s="264"/>
      <c r="C405" s="264"/>
      <c r="D405" s="264"/>
      <c r="E405" s="264"/>
    </row>
    <row r="406" spans="1:5">
      <c r="A406" s="264"/>
      <c r="B406" s="264"/>
      <c r="C406" s="264"/>
      <c r="D406" s="264"/>
      <c r="E406" s="264"/>
    </row>
    <row r="407" spans="1:5">
      <c r="A407" s="264"/>
      <c r="B407" s="264"/>
      <c r="C407" s="264"/>
      <c r="D407" s="264"/>
      <c r="E407" s="264"/>
    </row>
    <row r="408" spans="1:5">
      <c r="A408" s="264"/>
      <c r="B408" s="264"/>
      <c r="C408" s="264"/>
      <c r="D408" s="264"/>
      <c r="E408" s="264"/>
    </row>
    <row r="409" spans="1:5">
      <c r="A409" s="264"/>
      <c r="B409" s="264"/>
      <c r="C409" s="264"/>
      <c r="D409" s="264"/>
      <c r="E409" s="264"/>
    </row>
    <row r="410" spans="1:5">
      <c r="A410" s="264"/>
      <c r="B410" s="264"/>
      <c r="C410" s="264"/>
      <c r="D410" s="264"/>
      <c r="E410" s="264"/>
    </row>
    <row r="411" spans="1:5">
      <c r="A411" s="264"/>
      <c r="B411" s="264"/>
      <c r="C411" s="264"/>
      <c r="D411" s="264"/>
      <c r="E411" s="264"/>
    </row>
    <row r="412" spans="1:5">
      <c r="A412" s="264"/>
      <c r="B412" s="264"/>
      <c r="C412" s="264"/>
      <c r="D412" s="264"/>
      <c r="E412" s="264"/>
    </row>
    <row r="413" spans="1:5">
      <c r="A413" s="264"/>
      <c r="B413" s="264"/>
      <c r="C413" s="264"/>
      <c r="D413" s="264"/>
      <c r="E413" s="264"/>
    </row>
    <row r="414" spans="1:5">
      <c r="A414" s="264"/>
      <c r="B414" s="264"/>
      <c r="C414" s="264"/>
      <c r="D414" s="264"/>
      <c r="E414" s="264"/>
    </row>
    <row r="415" spans="1:5">
      <c r="A415" s="264"/>
      <c r="B415" s="264"/>
      <c r="C415" s="264"/>
      <c r="D415" s="264"/>
      <c r="E415" s="264"/>
    </row>
    <row r="416" spans="1:5">
      <c r="A416" s="264"/>
      <c r="B416" s="264"/>
      <c r="C416" s="264"/>
      <c r="D416" s="264"/>
      <c r="E416" s="264"/>
    </row>
    <row r="417" spans="1:5">
      <c r="A417" s="264"/>
      <c r="B417" s="264"/>
      <c r="C417" s="264"/>
      <c r="D417" s="264"/>
      <c r="E417" s="264"/>
    </row>
    <row r="418" spans="1:5">
      <c r="A418" s="264"/>
      <c r="B418" s="264"/>
      <c r="C418" s="264"/>
      <c r="D418" s="264"/>
      <c r="E418" s="264"/>
    </row>
    <row r="419" spans="1:5">
      <c r="A419" s="264"/>
      <c r="B419" s="264"/>
      <c r="C419" s="264"/>
      <c r="D419" s="264"/>
      <c r="E419" s="264"/>
    </row>
    <row r="420" spans="1:5">
      <c r="A420" s="264"/>
      <c r="B420" s="264"/>
      <c r="C420" s="264"/>
      <c r="D420" s="264"/>
      <c r="E420" s="264"/>
    </row>
    <row r="421" spans="1:5">
      <c r="A421" s="264"/>
      <c r="B421" s="264"/>
      <c r="C421" s="264"/>
      <c r="D421" s="264"/>
      <c r="E421" s="264"/>
    </row>
    <row r="422" spans="1:5">
      <c r="A422" s="264"/>
      <c r="B422" s="264"/>
      <c r="C422" s="264"/>
      <c r="D422" s="264"/>
      <c r="E422" s="264"/>
    </row>
    <row r="423" spans="1:5">
      <c r="A423" s="264"/>
      <c r="B423" s="264"/>
      <c r="C423" s="264"/>
      <c r="D423" s="264"/>
      <c r="E423" s="264"/>
    </row>
    <row r="424" spans="1:5">
      <c r="A424" s="264"/>
      <c r="B424" s="264"/>
      <c r="C424" s="264"/>
      <c r="D424" s="264"/>
      <c r="E424" s="264"/>
    </row>
    <row r="425" spans="1:5">
      <c r="A425" s="264"/>
      <c r="B425" s="264"/>
      <c r="C425" s="264"/>
      <c r="D425" s="264"/>
      <c r="E425" s="264"/>
    </row>
    <row r="426" spans="1:5">
      <c r="A426" s="264"/>
      <c r="B426" s="264"/>
      <c r="C426" s="264"/>
      <c r="D426" s="264"/>
      <c r="E426" s="264"/>
    </row>
    <row r="427" spans="1:5">
      <c r="A427" s="264"/>
      <c r="B427" s="264"/>
      <c r="C427" s="264"/>
      <c r="D427" s="264"/>
      <c r="E427" s="264"/>
    </row>
    <row r="428" spans="1:5">
      <c r="A428" s="264"/>
      <c r="B428" s="264"/>
      <c r="C428" s="264"/>
      <c r="D428" s="264"/>
      <c r="E428" s="264"/>
    </row>
    <row r="429" spans="1:5">
      <c r="A429" s="264"/>
      <c r="B429" s="264"/>
      <c r="C429" s="264"/>
      <c r="D429" s="264"/>
      <c r="E429" s="264"/>
    </row>
    <row r="430" spans="1:5">
      <c r="A430" s="264"/>
      <c r="B430" s="264"/>
      <c r="C430" s="264"/>
      <c r="D430" s="264"/>
      <c r="E430" s="264"/>
    </row>
    <row r="431" spans="1:5">
      <c r="A431" s="264"/>
      <c r="B431" s="264"/>
      <c r="C431" s="264"/>
      <c r="D431" s="264"/>
      <c r="E431" s="264"/>
    </row>
    <row r="432" spans="1:5">
      <c r="A432" s="264"/>
      <c r="B432" s="264"/>
      <c r="C432" s="264"/>
      <c r="D432" s="264"/>
      <c r="E432" s="264"/>
    </row>
    <row r="433" spans="1:5">
      <c r="A433" s="264"/>
      <c r="B433" s="264"/>
      <c r="C433" s="264"/>
      <c r="D433" s="264"/>
      <c r="E433" s="264"/>
    </row>
    <row r="434" spans="1:5">
      <c r="A434" s="264"/>
      <c r="B434" s="264"/>
      <c r="C434" s="264"/>
      <c r="D434" s="264"/>
      <c r="E434" s="264"/>
    </row>
    <row r="435" spans="1:5">
      <c r="A435" s="264"/>
      <c r="B435" s="264"/>
      <c r="C435" s="264"/>
      <c r="D435" s="264"/>
      <c r="E435" s="264"/>
    </row>
    <row r="436" spans="1:5">
      <c r="A436" s="264"/>
      <c r="B436" s="264"/>
      <c r="C436" s="264"/>
      <c r="D436" s="264"/>
      <c r="E436" s="264"/>
    </row>
    <row r="437" spans="1:5">
      <c r="A437" s="264"/>
      <c r="B437" s="264"/>
      <c r="C437" s="264"/>
      <c r="D437" s="264"/>
      <c r="E437" s="264"/>
    </row>
    <row r="438" spans="1:5">
      <c r="A438" s="264"/>
      <c r="B438" s="264"/>
      <c r="C438" s="264"/>
      <c r="D438" s="264"/>
      <c r="E438" s="264"/>
    </row>
    <row r="439" spans="1:5">
      <c r="A439" s="264"/>
      <c r="B439" s="264"/>
      <c r="C439" s="264"/>
      <c r="D439" s="264"/>
      <c r="E439" s="264"/>
    </row>
    <row r="440" spans="1:5">
      <c r="A440" s="264"/>
      <c r="B440" s="264"/>
      <c r="C440" s="264"/>
      <c r="D440" s="264"/>
      <c r="E440" s="264"/>
    </row>
    <row r="441" spans="1:5">
      <c r="A441" s="264"/>
      <c r="B441" s="264"/>
      <c r="C441" s="264"/>
      <c r="D441" s="264"/>
      <c r="E441" s="264"/>
    </row>
    <row r="442" spans="1:5">
      <c r="A442" s="264"/>
      <c r="B442" s="264"/>
      <c r="C442" s="264"/>
      <c r="D442" s="264"/>
      <c r="E442" s="264"/>
    </row>
    <row r="443" spans="1:5">
      <c r="A443" s="264"/>
      <c r="B443" s="264"/>
      <c r="C443" s="264"/>
      <c r="D443" s="264"/>
      <c r="E443" s="264"/>
    </row>
    <row r="444" spans="1:5">
      <c r="A444" s="264"/>
      <c r="B444" s="264"/>
      <c r="C444" s="264"/>
      <c r="D444" s="264"/>
      <c r="E444" s="264"/>
    </row>
    <row r="445" spans="1:5">
      <c r="A445" s="264"/>
      <c r="B445" s="264"/>
      <c r="C445" s="264"/>
      <c r="D445" s="264"/>
      <c r="E445" s="264"/>
    </row>
    <row r="446" spans="1:5">
      <c r="A446" s="264"/>
      <c r="B446" s="264"/>
      <c r="C446" s="264"/>
      <c r="D446" s="264"/>
      <c r="E446" s="264"/>
    </row>
    <row r="447" spans="1:5">
      <c r="A447" s="264"/>
      <c r="B447" s="264"/>
      <c r="C447" s="264"/>
      <c r="D447" s="264"/>
      <c r="E447" s="264"/>
    </row>
    <row r="448" spans="1:5">
      <c r="A448" s="264"/>
      <c r="B448" s="264"/>
      <c r="C448" s="264"/>
      <c r="D448" s="264"/>
      <c r="E448" s="264"/>
    </row>
    <row r="449" spans="1:5">
      <c r="A449" s="264"/>
      <c r="B449" s="264"/>
      <c r="C449" s="264"/>
      <c r="D449" s="264"/>
      <c r="E449" s="264"/>
    </row>
    <row r="450" spans="1:5">
      <c r="A450" s="264"/>
      <c r="B450" s="264"/>
      <c r="C450" s="264"/>
      <c r="D450" s="264"/>
      <c r="E450" s="264"/>
    </row>
    <row r="451" spans="1:5">
      <c r="A451" s="264"/>
      <c r="B451" s="264"/>
      <c r="C451" s="264"/>
      <c r="D451" s="264"/>
      <c r="E451" s="264"/>
    </row>
    <row r="452" spans="1:5">
      <c r="A452" s="264"/>
      <c r="B452" s="264"/>
      <c r="C452" s="264"/>
      <c r="D452" s="264"/>
      <c r="E452" s="264"/>
    </row>
    <row r="453" spans="1:5">
      <c r="A453" s="264"/>
      <c r="B453" s="264"/>
      <c r="C453" s="264"/>
      <c r="D453" s="264"/>
      <c r="E453" s="264"/>
    </row>
    <row r="454" spans="1:5">
      <c r="A454" s="264"/>
      <c r="B454" s="264"/>
      <c r="C454" s="264"/>
      <c r="D454" s="264"/>
      <c r="E454" s="264"/>
    </row>
    <row r="455" spans="1:5">
      <c r="A455" s="264"/>
      <c r="B455" s="264"/>
      <c r="C455" s="264"/>
      <c r="D455" s="264"/>
      <c r="E455" s="264"/>
    </row>
    <row r="456" spans="1:5">
      <c r="A456" s="264"/>
      <c r="B456" s="264"/>
      <c r="C456" s="264"/>
      <c r="D456" s="264"/>
      <c r="E456" s="264"/>
    </row>
    <row r="457" spans="1:5">
      <c r="A457" s="264"/>
      <c r="B457" s="264"/>
      <c r="C457" s="264"/>
      <c r="D457" s="264"/>
      <c r="E457" s="264"/>
    </row>
    <row r="458" spans="1:5">
      <c r="A458" s="264"/>
      <c r="B458" s="264"/>
      <c r="C458" s="264"/>
      <c r="D458" s="264"/>
      <c r="E458" s="264"/>
    </row>
    <row r="459" spans="1:5">
      <c r="A459" s="264"/>
      <c r="B459" s="264"/>
      <c r="C459" s="264"/>
      <c r="D459" s="264"/>
      <c r="E459" s="264"/>
    </row>
    <row r="460" spans="1:5">
      <c r="A460" s="264"/>
      <c r="B460" s="264"/>
      <c r="C460" s="264"/>
      <c r="D460" s="264"/>
      <c r="E460" s="264"/>
    </row>
    <row r="461" spans="1:5">
      <c r="A461" s="264"/>
      <c r="B461" s="264"/>
      <c r="C461" s="264"/>
      <c r="D461" s="264"/>
      <c r="E461" s="264"/>
    </row>
    <row r="462" spans="1:5">
      <c r="A462" s="264"/>
      <c r="B462" s="264"/>
      <c r="C462" s="264"/>
      <c r="D462" s="264"/>
      <c r="E462" s="264"/>
    </row>
    <row r="463" spans="1:5">
      <c r="A463" s="264"/>
      <c r="B463" s="264"/>
      <c r="C463" s="264"/>
      <c r="D463" s="264"/>
      <c r="E463" s="264"/>
    </row>
    <row r="464" spans="1:5">
      <c r="A464" s="264"/>
      <c r="B464" s="264"/>
      <c r="C464" s="264"/>
      <c r="D464" s="264"/>
      <c r="E464" s="264"/>
    </row>
    <row r="465" spans="1:5">
      <c r="A465" s="264"/>
      <c r="B465" s="264"/>
      <c r="C465" s="264"/>
      <c r="D465" s="264"/>
      <c r="E465" s="264"/>
    </row>
    <row r="466" spans="1:5">
      <c r="A466" s="264"/>
      <c r="B466" s="264"/>
      <c r="C466" s="264"/>
      <c r="D466" s="264"/>
      <c r="E466" s="264"/>
    </row>
    <row r="467" spans="1:5">
      <c r="A467" s="264"/>
      <c r="B467" s="264"/>
      <c r="C467" s="264"/>
      <c r="D467" s="264"/>
      <c r="E467" s="264"/>
    </row>
    <row r="468" spans="1:5">
      <c r="A468" s="264"/>
      <c r="B468" s="264"/>
      <c r="C468" s="264"/>
      <c r="D468" s="264"/>
      <c r="E468" s="264"/>
    </row>
    <row r="469" spans="1:5">
      <c r="A469" s="264"/>
      <c r="B469" s="264"/>
      <c r="C469" s="264"/>
      <c r="D469" s="264"/>
      <c r="E469" s="264"/>
    </row>
    <row r="470" spans="1:5">
      <c r="A470" s="264"/>
      <c r="B470" s="264"/>
      <c r="C470" s="264"/>
      <c r="D470" s="264"/>
      <c r="E470" s="264"/>
    </row>
    <row r="471" spans="1:5">
      <c r="A471" s="264"/>
      <c r="B471" s="264"/>
      <c r="C471" s="264"/>
      <c r="D471" s="264"/>
      <c r="E471" s="264"/>
    </row>
    <row r="472" spans="1:5">
      <c r="A472" s="264"/>
      <c r="B472" s="264"/>
      <c r="C472" s="264"/>
      <c r="D472" s="264"/>
      <c r="E472" s="264"/>
    </row>
    <row r="473" spans="1:5">
      <c r="A473" s="264"/>
      <c r="B473" s="264"/>
      <c r="C473" s="264"/>
      <c r="D473" s="264"/>
      <c r="E473" s="264"/>
    </row>
    <row r="474" spans="1:5">
      <c r="A474" s="264"/>
      <c r="B474" s="264"/>
      <c r="C474" s="264"/>
      <c r="D474" s="264"/>
      <c r="E474" s="264"/>
    </row>
    <row r="475" spans="1:5">
      <c r="A475" s="264"/>
      <c r="B475" s="264"/>
      <c r="C475" s="264"/>
      <c r="D475" s="264"/>
      <c r="E475" s="264"/>
    </row>
    <row r="476" spans="1:5">
      <c r="A476" s="264"/>
      <c r="B476" s="264"/>
      <c r="C476" s="264"/>
      <c r="D476" s="264"/>
      <c r="E476" s="264"/>
    </row>
    <row r="477" spans="1:5">
      <c r="A477" s="264"/>
      <c r="B477" s="264"/>
      <c r="C477" s="264"/>
      <c r="D477" s="264"/>
      <c r="E477" s="264"/>
    </row>
    <row r="478" spans="1:5">
      <c r="A478" s="264"/>
      <c r="B478" s="264"/>
      <c r="C478" s="264"/>
      <c r="D478" s="264"/>
      <c r="E478" s="264"/>
    </row>
    <row r="479" spans="1:5">
      <c r="A479" s="264"/>
      <c r="B479" s="264"/>
      <c r="C479" s="264"/>
      <c r="D479" s="264"/>
      <c r="E479" s="264"/>
    </row>
    <row r="480" spans="1:5">
      <c r="A480" s="264"/>
      <c r="B480" s="264"/>
      <c r="C480" s="264"/>
      <c r="D480" s="264"/>
      <c r="E480" s="264"/>
    </row>
    <row r="481" spans="1:5">
      <c r="A481" s="264"/>
      <c r="B481" s="264"/>
      <c r="C481" s="264"/>
      <c r="D481" s="264"/>
      <c r="E481" s="264"/>
    </row>
    <row r="482" spans="1:5">
      <c r="A482" s="264"/>
      <c r="B482" s="264"/>
      <c r="C482" s="264"/>
      <c r="D482" s="264"/>
      <c r="E482" s="264"/>
    </row>
    <row r="483" spans="1:5">
      <c r="A483" s="264"/>
      <c r="B483" s="264"/>
      <c r="C483" s="264"/>
      <c r="D483" s="264"/>
      <c r="E483" s="264"/>
    </row>
    <row r="484" spans="1:5">
      <c r="A484" s="264"/>
      <c r="B484" s="264"/>
      <c r="C484" s="264"/>
      <c r="D484" s="264"/>
      <c r="E484" s="264"/>
    </row>
    <row r="485" spans="1:5">
      <c r="A485" s="264"/>
      <c r="B485" s="264"/>
      <c r="C485" s="264"/>
      <c r="D485" s="264"/>
      <c r="E485" s="264"/>
    </row>
    <row r="486" spans="1:5">
      <c r="A486" s="264"/>
      <c r="B486" s="264"/>
      <c r="C486" s="264"/>
      <c r="D486" s="264"/>
      <c r="E486" s="264"/>
    </row>
    <row r="487" spans="1:5">
      <c r="A487" s="264"/>
      <c r="B487" s="264"/>
      <c r="C487" s="264"/>
      <c r="D487" s="264"/>
      <c r="E487" s="264"/>
    </row>
    <row r="488" spans="1:5">
      <c r="A488" s="264"/>
      <c r="B488" s="264"/>
      <c r="C488" s="264"/>
      <c r="D488" s="264"/>
      <c r="E488" s="264"/>
    </row>
    <row r="489" spans="1:5">
      <c r="A489" s="264"/>
      <c r="B489" s="264"/>
      <c r="C489" s="264"/>
      <c r="D489" s="264"/>
      <c r="E489" s="264"/>
    </row>
    <row r="490" spans="1:5">
      <c r="A490" s="264"/>
      <c r="B490" s="264"/>
      <c r="C490" s="264"/>
      <c r="D490" s="264"/>
      <c r="E490" s="264"/>
    </row>
    <row r="491" spans="1:5">
      <c r="A491" s="264"/>
      <c r="B491" s="264"/>
      <c r="C491" s="264"/>
      <c r="D491" s="264"/>
      <c r="E491" s="264"/>
    </row>
    <row r="492" spans="1:5">
      <c r="A492" s="264"/>
      <c r="B492" s="264"/>
      <c r="C492" s="264"/>
      <c r="D492" s="264"/>
      <c r="E492" s="264"/>
    </row>
    <row r="493" spans="1:5">
      <c r="A493" s="264"/>
      <c r="B493" s="264"/>
      <c r="C493" s="264"/>
      <c r="D493" s="264"/>
      <c r="E493" s="264"/>
    </row>
    <row r="494" spans="1:5">
      <c r="A494" s="264"/>
      <c r="B494" s="264"/>
      <c r="C494" s="264"/>
      <c r="D494" s="264"/>
      <c r="E494" s="264"/>
    </row>
    <row r="495" spans="1:5">
      <c r="A495" s="264"/>
      <c r="B495" s="264"/>
      <c r="C495" s="264"/>
      <c r="D495" s="264"/>
      <c r="E495" s="264"/>
    </row>
    <row r="496" spans="1:5">
      <c r="A496" s="264"/>
      <c r="B496" s="264"/>
      <c r="C496" s="264"/>
      <c r="D496" s="264"/>
      <c r="E496" s="264"/>
    </row>
    <row r="497" spans="1:5">
      <c r="A497" s="264"/>
      <c r="B497" s="264"/>
      <c r="C497" s="264"/>
      <c r="D497" s="264"/>
      <c r="E497" s="264"/>
    </row>
    <row r="498" spans="1:5">
      <c r="A498" s="264"/>
      <c r="B498" s="264"/>
      <c r="C498" s="264"/>
      <c r="D498" s="264"/>
      <c r="E498" s="264"/>
    </row>
    <row r="499" spans="1:5">
      <c r="A499" s="264"/>
      <c r="B499" s="264"/>
      <c r="C499" s="264"/>
      <c r="D499" s="264"/>
      <c r="E499" s="264"/>
    </row>
    <row r="500" spans="1:5">
      <c r="A500" s="264"/>
      <c r="B500" s="264"/>
      <c r="C500" s="264"/>
      <c r="D500" s="264"/>
      <c r="E500" s="264"/>
    </row>
    <row r="501" spans="1:5">
      <c r="A501" s="634" t="s">
        <v>672</v>
      </c>
      <c r="B501" s="634"/>
      <c r="C501" s="634"/>
      <c r="D501" s="634"/>
      <c r="E501" s="634"/>
    </row>
  </sheetData>
  <mergeCells count="3">
    <mergeCell ref="A501:E501"/>
    <mergeCell ref="A2:E2"/>
    <mergeCell ref="A1:E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G13"/>
  <sheetViews>
    <sheetView showGridLines="0" zoomScale="130" zoomScaleNormal="130" workbookViewId="0">
      <selection activeCell="C7" sqref="C7"/>
    </sheetView>
  </sheetViews>
  <sheetFormatPr defaultRowHeight="15"/>
  <cols>
    <col min="1" max="1" width="22" customWidth="1"/>
    <col min="2" max="2" width="12.28515625" customWidth="1"/>
    <col min="3" max="3" width="21.5703125" customWidth="1"/>
    <col min="5" max="5" width="11.7109375" customWidth="1"/>
    <col min="6" max="6" width="11.42578125" customWidth="1"/>
    <col min="7" max="7" width="4" customWidth="1"/>
  </cols>
  <sheetData>
    <row r="1" spans="1:7" ht="41.25" customHeight="1"/>
    <row r="2" spans="1:7" ht="25.5" customHeight="1">
      <c r="A2" s="639" t="s">
        <v>676</v>
      </c>
      <c r="B2" s="640"/>
      <c r="C2" s="640"/>
      <c r="D2" s="640"/>
      <c r="E2" s="640"/>
      <c r="F2" s="640"/>
      <c r="G2" s="641"/>
    </row>
    <row r="3" spans="1:7">
      <c r="A3" s="645" t="s">
        <v>677</v>
      </c>
      <c r="B3" s="281"/>
      <c r="C3" s="281"/>
      <c r="D3" s="281"/>
      <c r="E3" s="281"/>
      <c r="F3" s="281"/>
      <c r="G3" s="282"/>
    </row>
    <row r="4" spans="1:7" ht="18.75" customHeight="1">
      <c r="A4" s="646"/>
      <c r="B4" s="283" t="s">
        <v>701</v>
      </c>
      <c r="C4" s="284" t="s">
        <v>736</v>
      </c>
      <c r="D4" s="285"/>
      <c r="E4" s="283" t="s">
        <v>681</v>
      </c>
      <c r="F4" s="285"/>
      <c r="G4" s="286"/>
    </row>
    <row r="5" spans="1:7" ht="15" customHeight="1">
      <c r="A5" s="648"/>
      <c r="B5" s="287"/>
      <c r="C5" s="288"/>
      <c r="D5" s="288"/>
      <c r="E5" s="288"/>
      <c r="F5" s="288"/>
      <c r="G5" s="289"/>
    </row>
    <row r="6" spans="1:7" ht="15" customHeight="1">
      <c r="A6" s="645" t="s">
        <v>691</v>
      </c>
      <c r="B6" s="290"/>
      <c r="C6" s="281"/>
      <c r="D6" s="281"/>
      <c r="E6" s="281"/>
      <c r="F6" s="281"/>
      <c r="G6" s="282"/>
    </row>
    <row r="7" spans="1:7" ht="19.5" customHeight="1">
      <c r="A7" s="646"/>
      <c r="B7" s="283" t="s">
        <v>701</v>
      </c>
      <c r="C7" s="284"/>
      <c r="D7" s="285"/>
      <c r="E7" s="283" t="s">
        <v>679</v>
      </c>
      <c r="F7" s="291"/>
      <c r="G7" s="286"/>
    </row>
    <row r="8" spans="1:7">
      <c r="A8" s="646"/>
      <c r="B8" s="283"/>
      <c r="C8" s="285"/>
      <c r="D8" s="285"/>
      <c r="E8" s="285"/>
      <c r="F8" s="285"/>
      <c r="G8" s="286"/>
    </row>
    <row r="9" spans="1:7" ht="19.5" customHeight="1">
      <c r="A9" s="646"/>
      <c r="B9" s="283" t="s">
        <v>680</v>
      </c>
      <c r="C9" s="284"/>
      <c r="D9" s="285"/>
      <c r="E9" s="285"/>
      <c r="F9" s="285"/>
      <c r="G9" s="286"/>
    </row>
    <row r="10" spans="1:7">
      <c r="A10" s="646"/>
      <c r="B10" s="285"/>
      <c r="C10" s="285"/>
      <c r="D10" s="285"/>
      <c r="E10" s="285"/>
      <c r="F10" s="285"/>
      <c r="G10" s="286"/>
    </row>
    <row r="11" spans="1:7">
      <c r="A11" s="646"/>
      <c r="B11" s="285" t="s">
        <v>678</v>
      </c>
      <c r="C11" s="285"/>
      <c r="D11" s="285"/>
      <c r="E11" s="285"/>
      <c r="F11" s="285"/>
      <c r="G11" s="286"/>
    </row>
    <row r="12" spans="1:7" ht="41.25" customHeight="1">
      <c r="A12" s="647"/>
      <c r="B12" s="642"/>
      <c r="C12" s="643"/>
      <c r="D12" s="643"/>
      <c r="E12" s="643"/>
      <c r="F12" s="644"/>
      <c r="G12" s="286"/>
    </row>
    <row r="13" spans="1:7">
      <c r="A13" s="648"/>
      <c r="B13" s="288"/>
      <c r="C13" s="288"/>
      <c r="D13" s="288"/>
      <c r="E13" s="288"/>
      <c r="F13" s="288"/>
      <c r="G13" s="289"/>
    </row>
  </sheetData>
  <sheetProtection sheet="1" objects="1" scenarios="1" selectLockedCells="1"/>
  <mergeCells count="4">
    <mergeCell ref="A2:G2"/>
    <mergeCell ref="B12:F12"/>
    <mergeCell ref="A6:A13"/>
    <mergeCell ref="A3:A5"/>
  </mergeCells>
  <pageMargins left="0.7" right="0.7" top="0.75" bottom="0.75" header="0.3" footer="0.3"/>
  <pageSetup orientation="portrait" r:id="rId1"/>
  <drawing r:id="rId2"/>
  <legacyDrawing r:id="rId3"/>
  <controls>
    <mc:AlternateContent xmlns:mc="http://schemas.openxmlformats.org/markup-compatibility/2006">
      <mc:Choice Requires="x14">
        <control shapeId="26625" r:id="rId4" name="ComboBox1">
          <controlPr defaultSize="0" print="0" autoLine="0" r:id="rId5">
            <anchor moveWithCells="1">
              <from>
                <xdr:col>5</xdr:col>
                <xdr:colOff>9525</xdr:colOff>
                <xdr:row>2</xdr:row>
                <xdr:rowOff>171450</xdr:rowOff>
              </from>
              <to>
                <xdr:col>6</xdr:col>
                <xdr:colOff>9525</xdr:colOff>
                <xdr:row>3</xdr:row>
                <xdr:rowOff>219075</xdr:rowOff>
              </to>
            </anchor>
          </controlPr>
        </control>
      </mc:Choice>
      <mc:Fallback>
        <control shapeId="26625" r:id="rId4" name="Combo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OFFSET(ThietLap!$AA$2,0,0,COUNTA(ThietLap!$AA$2:$AA$17))</xm:f>
          </x14:formula1>
          <xm:sqref>C9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200"/>
  <sheetViews>
    <sheetView zoomScale="85" zoomScaleNormal="85" workbookViewId="0">
      <selection activeCell="F6" sqref="F6"/>
    </sheetView>
  </sheetViews>
  <sheetFormatPr defaultRowHeight="15"/>
  <cols>
    <col min="1" max="1" width="19.140625" customWidth="1"/>
    <col min="2" max="2" width="11" customWidth="1"/>
    <col min="3" max="9" width="14.5703125" customWidth="1"/>
  </cols>
  <sheetData>
    <row r="1" spans="1:9" ht="35.25" customHeight="1"/>
    <row r="2" spans="1:9" ht="15.75">
      <c r="A2" s="649" t="s">
        <v>595</v>
      </c>
      <c r="B2" s="651" t="s">
        <v>599</v>
      </c>
      <c r="C2" s="651" t="s">
        <v>600</v>
      </c>
      <c r="D2" s="651"/>
      <c r="E2" s="651"/>
      <c r="F2" s="651"/>
      <c r="G2" s="651" t="s">
        <v>601</v>
      </c>
      <c r="H2" s="651"/>
      <c r="I2" s="301" t="s">
        <v>602</v>
      </c>
    </row>
    <row r="3" spans="1:9" ht="15.75">
      <c r="A3" s="650"/>
      <c r="B3" s="651"/>
      <c r="C3" s="301" t="s">
        <v>267</v>
      </c>
      <c r="D3" s="301" t="s">
        <v>603</v>
      </c>
      <c r="E3" s="301" t="s">
        <v>604</v>
      </c>
      <c r="F3" s="301" t="s">
        <v>135</v>
      </c>
      <c r="G3" s="302" t="s">
        <v>478</v>
      </c>
      <c r="H3" s="302" t="s">
        <v>605</v>
      </c>
      <c r="I3" s="301"/>
    </row>
    <row r="4" spans="1:9" ht="15.75">
      <c r="A4" s="303" t="s">
        <v>549</v>
      </c>
      <c r="B4" s="304">
        <v>44357</v>
      </c>
      <c r="C4" s="303" t="s">
        <v>724</v>
      </c>
      <c r="D4" s="303" t="s">
        <v>723</v>
      </c>
      <c r="E4" s="303" t="s">
        <v>725</v>
      </c>
      <c r="F4" s="303" t="s">
        <v>724</v>
      </c>
      <c r="G4" s="303" t="s">
        <v>727</v>
      </c>
      <c r="H4" s="303" t="s">
        <v>729</v>
      </c>
      <c r="I4" s="303"/>
    </row>
    <row r="5" spans="1:9" ht="15.75">
      <c r="A5" s="303" t="s">
        <v>549</v>
      </c>
      <c r="B5" s="304">
        <v>44357</v>
      </c>
      <c r="C5" s="303" t="s">
        <v>724</v>
      </c>
      <c r="D5" s="303" t="s">
        <v>723</v>
      </c>
      <c r="E5" s="303" t="s">
        <v>725</v>
      </c>
      <c r="F5" s="303" t="s">
        <v>724</v>
      </c>
      <c r="G5" s="303" t="s">
        <v>727</v>
      </c>
      <c r="H5" s="303" t="s">
        <v>729</v>
      </c>
      <c r="I5" s="303"/>
    </row>
    <row r="6" spans="1:9" ht="15.75">
      <c r="A6" s="303" t="s">
        <v>549</v>
      </c>
      <c r="B6" s="304">
        <v>44357</v>
      </c>
      <c r="C6" s="303" t="s">
        <v>724</v>
      </c>
      <c r="D6" s="303" t="s">
        <v>723</v>
      </c>
      <c r="E6" s="303" t="s">
        <v>725</v>
      </c>
      <c r="F6" s="303" t="s">
        <v>724</v>
      </c>
      <c r="G6" s="303" t="s">
        <v>727</v>
      </c>
      <c r="H6" s="303" t="s">
        <v>729</v>
      </c>
      <c r="I6" s="303"/>
    </row>
    <row r="7" spans="1:9" ht="15.75">
      <c r="A7" s="303" t="s">
        <v>549</v>
      </c>
      <c r="B7" s="304">
        <v>44357</v>
      </c>
      <c r="C7" s="303" t="s">
        <v>724</v>
      </c>
      <c r="D7" s="303" t="s">
        <v>723</v>
      </c>
      <c r="E7" s="303" t="s">
        <v>725</v>
      </c>
      <c r="F7" s="303" t="s">
        <v>724</v>
      </c>
      <c r="G7" s="303" t="s">
        <v>727</v>
      </c>
      <c r="H7" s="303" t="s">
        <v>729</v>
      </c>
      <c r="I7" s="303"/>
    </row>
    <row r="8" spans="1:9" ht="15.75">
      <c r="A8" s="303" t="s">
        <v>549</v>
      </c>
      <c r="B8" s="304">
        <v>44357</v>
      </c>
      <c r="C8" s="303" t="s">
        <v>724</v>
      </c>
      <c r="D8" s="303" t="s">
        <v>723</v>
      </c>
      <c r="E8" s="303" t="s">
        <v>725</v>
      </c>
      <c r="F8" s="303" t="s">
        <v>724</v>
      </c>
      <c r="G8" s="303" t="s">
        <v>727</v>
      </c>
      <c r="H8" s="303" t="s">
        <v>729</v>
      </c>
      <c r="I8" s="303"/>
    </row>
    <row r="9" spans="1:9" ht="15.75">
      <c r="A9" s="303" t="s">
        <v>549</v>
      </c>
      <c r="B9" s="304">
        <v>44357</v>
      </c>
      <c r="C9" s="303" t="s">
        <v>724</v>
      </c>
      <c r="D9" s="303" t="s">
        <v>723</v>
      </c>
      <c r="E9" s="303" t="s">
        <v>725</v>
      </c>
      <c r="F9" s="303" t="s">
        <v>724</v>
      </c>
      <c r="G9" s="303" t="s">
        <v>727</v>
      </c>
      <c r="H9" s="303" t="s">
        <v>729</v>
      </c>
      <c r="I9" s="303"/>
    </row>
    <row r="10" spans="1:9" ht="15.75">
      <c r="A10" s="303" t="s">
        <v>549</v>
      </c>
      <c r="B10" s="304">
        <v>44197</v>
      </c>
      <c r="C10" s="303" t="s">
        <v>723</v>
      </c>
      <c r="D10" s="303" t="s">
        <v>723</v>
      </c>
      <c r="E10" s="303" t="s">
        <v>723</v>
      </c>
      <c r="F10" s="303" t="s">
        <v>724</v>
      </c>
      <c r="G10" s="303" t="s">
        <v>727</v>
      </c>
      <c r="H10" s="303" t="s">
        <v>728</v>
      </c>
      <c r="I10" s="303"/>
    </row>
    <row r="11" spans="1:9" ht="15.75">
      <c r="A11" s="303" t="s">
        <v>549</v>
      </c>
      <c r="B11" s="304">
        <v>44197</v>
      </c>
      <c r="C11" s="303" t="s">
        <v>723</v>
      </c>
      <c r="D11" s="303" t="s">
        <v>723</v>
      </c>
      <c r="E11" s="303" t="s">
        <v>723</v>
      </c>
      <c r="F11" s="303" t="s">
        <v>724</v>
      </c>
      <c r="G11" s="303" t="s">
        <v>727</v>
      </c>
      <c r="H11" s="303" t="s">
        <v>728</v>
      </c>
      <c r="I11" s="303"/>
    </row>
    <row r="12" spans="1:9" ht="15.75">
      <c r="A12" s="303" t="s">
        <v>549</v>
      </c>
      <c r="B12" s="304">
        <v>44197</v>
      </c>
      <c r="C12" s="303" t="s">
        <v>723</v>
      </c>
      <c r="D12" s="303" t="s">
        <v>723</v>
      </c>
      <c r="E12" s="303" t="s">
        <v>723</v>
      </c>
      <c r="F12" s="303" t="s">
        <v>724</v>
      </c>
      <c r="G12" s="303" t="s">
        <v>727</v>
      </c>
      <c r="H12" s="303" t="s">
        <v>728</v>
      </c>
      <c r="I12" s="303"/>
    </row>
    <row r="13" spans="1:9" ht="15.75">
      <c r="A13" s="303"/>
      <c r="B13" s="303"/>
      <c r="C13" s="303"/>
      <c r="D13" s="303"/>
      <c r="E13" s="303"/>
      <c r="F13" s="303"/>
      <c r="G13" s="303"/>
      <c r="H13" s="303"/>
      <c r="I13" s="303"/>
    </row>
    <row r="14" spans="1:9" ht="15.75">
      <c r="A14" s="303"/>
      <c r="B14" s="303"/>
      <c r="C14" s="303"/>
      <c r="D14" s="303"/>
      <c r="E14" s="303"/>
      <c r="F14" s="303"/>
      <c r="G14" s="303"/>
      <c r="H14" s="303"/>
      <c r="I14" s="303"/>
    </row>
    <row r="15" spans="1:9" ht="15.75">
      <c r="A15" s="303"/>
      <c r="B15" s="303"/>
      <c r="C15" s="303"/>
      <c r="D15" s="303"/>
      <c r="E15" s="303"/>
      <c r="F15" s="303"/>
      <c r="G15" s="303"/>
      <c r="H15" s="303"/>
      <c r="I15" s="303"/>
    </row>
    <row r="16" spans="1:9" ht="15.75">
      <c r="A16" s="303"/>
      <c r="B16" s="303"/>
      <c r="C16" s="303"/>
      <c r="D16" s="303"/>
      <c r="E16" s="303"/>
      <c r="F16" s="303"/>
      <c r="G16" s="303"/>
      <c r="H16" s="303"/>
      <c r="I16" s="303"/>
    </row>
    <row r="17" spans="1:9" ht="15.75">
      <c r="A17" s="303"/>
      <c r="B17" s="303"/>
      <c r="C17" s="303"/>
      <c r="D17" s="303"/>
      <c r="E17" s="303"/>
      <c r="F17" s="303"/>
      <c r="G17" s="303"/>
      <c r="H17" s="303"/>
      <c r="I17" s="303"/>
    </row>
    <row r="18" spans="1:9" ht="15.75">
      <c r="A18" s="303"/>
      <c r="B18" s="303"/>
      <c r="C18" s="303"/>
      <c r="D18" s="303"/>
      <c r="E18" s="303"/>
      <c r="F18" s="303"/>
      <c r="G18" s="303"/>
      <c r="H18" s="303"/>
      <c r="I18" s="303"/>
    </row>
    <row r="19" spans="1:9" ht="15.75">
      <c r="A19" s="303"/>
      <c r="B19" s="303"/>
      <c r="C19" s="303"/>
      <c r="D19" s="303"/>
      <c r="E19" s="303"/>
      <c r="F19" s="303"/>
      <c r="G19" s="303"/>
      <c r="H19" s="303"/>
      <c r="I19" s="303"/>
    </row>
    <row r="20" spans="1:9" ht="15.75">
      <c r="A20" s="303"/>
      <c r="B20" s="303"/>
      <c r="C20" s="303"/>
      <c r="D20" s="303"/>
      <c r="E20" s="303"/>
      <c r="F20" s="303"/>
      <c r="G20" s="303"/>
      <c r="H20" s="303"/>
      <c r="I20" s="303"/>
    </row>
    <row r="21" spans="1:9" ht="15.75">
      <c r="A21" s="303"/>
      <c r="B21" s="303"/>
      <c r="C21" s="303"/>
      <c r="D21" s="303"/>
      <c r="E21" s="303"/>
      <c r="F21" s="303"/>
      <c r="G21" s="303"/>
      <c r="H21" s="303"/>
      <c r="I21" s="303"/>
    </row>
    <row r="22" spans="1:9" ht="15.75">
      <c r="A22" s="303"/>
      <c r="B22" s="303"/>
      <c r="C22" s="303"/>
      <c r="D22" s="303"/>
      <c r="E22" s="303"/>
      <c r="F22" s="303"/>
      <c r="G22" s="303"/>
      <c r="H22" s="303"/>
      <c r="I22" s="303"/>
    </row>
    <row r="23" spans="1:9" ht="15.75">
      <c r="A23" s="303"/>
      <c r="B23" s="303"/>
      <c r="C23" s="303"/>
      <c r="D23" s="303"/>
      <c r="E23" s="303"/>
      <c r="F23" s="303"/>
      <c r="G23" s="303"/>
      <c r="H23" s="303"/>
      <c r="I23" s="303"/>
    </row>
    <row r="24" spans="1:9" ht="15.75">
      <c r="A24" s="303"/>
      <c r="B24" s="303"/>
      <c r="C24" s="303"/>
      <c r="D24" s="303"/>
      <c r="E24" s="303"/>
      <c r="F24" s="303"/>
      <c r="G24" s="303"/>
      <c r="H24" s="303"/>
      <c r="I24" s="303"/>
    </row>
    <row r="25" spans="1:9" ht="15.75">
      <c r="A25" s="303"/>
      <c r="B25" s="303"/>
      <c r="C25" s="303"/>
      <c r="D25" s="303"/>
      <c r="E25" s="303"/>
      <c r="F25" s="303"/>
      <c r="G25" s="303"/>
      <c r="H25" s="303"/>
      <c r="I25" s="303"/>
    </row>
    <row r="26" spans="1:9" ht="15.75">
      <c r="A26" s="303"/>
      <c r="B26" s="303"/>
      <c r="C26" s="303"/>
      <c r="D26" s="303"/>
      <c r="E26" s="303"/>
      <c r="F26" s="303"/>
      <c r="G26" s="303"/>
      <c r="H26" s="303"/>
      <c r="I26" s="303"/>
    </row>
    <row r="27" spans="1:9" ht="15.75">
      <c r="A27" s="303"/>
      <c r="B27" s="303"/>
      <c r="C27" s="303"/>
      <c r="D27" s="303"/>
      <c r="E27" s="303"/>
      <c r="F27" s="303"/>
      <c r="G27" s="303"/>
      <c r="H27" s="303"/>
      <c r="I27" s="303"/>
    </row>
    <row r="28" spans="1:9" ht="15.75">
      <c r="A28" s="303"/>
      <c r="B28" s="303"/>
      <c r="C28" s="303"/>
      <c r="D28" s="303"/>
      <c r="E28" s="303"/>
      <c r="F28" s="303"/>
      <c r="G28" s="303"/>
      <c r="H28" s="303"/>
      <c r="I28" s="303"/>
    </row>
    <row r="29" spans="1:9" ht="15.75">
      <c r="A29" s="303"/>
      <c r="B29" s="303"/>
      <c r="C29" s="303"/>
      <c r="D29" s="303"/>
      <c r="E29" s="303"/>
      <c r="F29" s="303"/>
      <c r="G29" s="303"/>
      <c r="H29" s="303"/>
      <c r="I29" s="303"/>
    </row>
    <row r="30" spans="1:9" ht="15.75">
      <c r="A30" s="303"/>
      <c r="B30" s="303"/>
      <c r="C30" s="303"/>
      <c r="D30" s="303"/>
      <c r="E30" s="303"/>
      <c r="F30" s="303"/>
      <c r="G30" s="303"/>
      <c r="H30" s="303"/>
      <c r="I30" s="303"/>
    </row>
    <row r="31" spans="1:9" ht="15.75">
      <c r="A31" s="303"/>
      <c r="B31" s="303"/>
      <c r="C31" s="303"/>
      <c r="D31" s="303"/>
      <c r="E31" s="303"/>
      <c r="F31" s="303"/>
      <c r="G31" s="303"/>
      <c r="H31" s="303"/>
      <c r="I31" s="303"/>
    </row>
    <row r="32" spans="1:9" ht="15.75">
      <c r="A32" s="303"/>
      <c r="B32" s="303"/>
      <c r="C32" s="303"/>
      <c r="D32" s="303"/>
      <c r="E32" s="303"/>
      <c r="F32" s="303"/>
      <c r="G32" s="303"/>
      <c r="H32" s="303"/>
      <c r="I32" s="303"/>
    </row>
    <row r="33" spans="1:9" ht="15.75">
      <c r="A33" s="303"/>
      <c r="B33" s="303"/>
      <c r="C33" s="303"/>
      <c r="D33" s="303"/>
      <c r="E33" s="303"/>
      <c r="F33" s="303"/>
      <c r="G33" s="303"/>
      <c r="H33" s="303"/>
      <c r="I33" s="303"/>
    </row>
    <row r="34" spans="1:9" ht="15.75">
      <c r="A34" s="303"/>
      <c r="B34" s="303"/>
      <c r="C34" s="303"/>
      <c r="D34" s="303"/>
      <c r="E34" s="303"/>
      <c r="F34" s="303"/>
      <c r="G34" s="303"/>
      <c r="H34" s="303"/>
      <c r="I34" s="303"/>
    </row>
    <row r="35" spans="1:9" ht="15.75">
      <c r="A35" s="303"/>
      <c r="B35" s="303"/>
      <c r="C35" s="303"/>
      <c r="D35" s="303"/>
      <c r="E35" s="303"/>
      <c r="F35" s="303"/>
      <c r="G35" s="303"/>
      <c r="H35" s="303"/>
      <c r="I35" s="303"/>
    </row>
    <row r="36" spans="1:9" ht="15.75">
      <c r="A36" s="303"/>
      <c r="B36" s="303"/>
      <c r="C36" s="303"/>
      <c r="D36" s="303"/>
      <c r="E36" s="303"/>
      <c r="F36" s="303"/>
      <c r="G36" s="303"/>
      <c r="H36" s="303"/>
      <c r="I36" s="303"/>
    </row>
    <row r="37" spans="1:9" ht="15.75">
      <c r="A37" s="303"/>
      <c r="B37" s="303"/>
      <c r="C37" s="303"/>
      <c r="D37" s="303"/>
      <c r="E37" s="303"/>
      <c r="F37" s="303"/>
      <c r="G37" s="303"/>
      <c r="H37" s="303"/>
      <c r="I37" s="303"/>
    </row>
    <row r="38" spans="1:9" ht="15.75">
      <c r="A38" s="303"/>
      <c r="B38" s="303"/>
      <c r="C38" s="303"/>
      <c r="D38" s="303"/>
      <c r="E38" s="303"/>
      <c r="F38" s="303"/>
      <c r="G38" s="303"/>
      <c r="H38" s="303"/>
      <c r="I38" s="303"/>
    </row>
    <row r="39" spans="1:9" ht="15.75">
      <c r="A39" s="303"/>
      <c r="B39" s="303"/>
      <c r="C39" s="303"/>
      <c r="D39" s="303"/>
      <c r="E39" s="303"/>
      <c r="F39" s="303"/>
      <c r="G39" s="303"/>
      <c r="H39" s="303"/>
      <c r="I39" s="303"/>
    </row>
    <row r="40" spans="1:9" ht="15.75">
      <c r="A40" s="303"/>
      <c r="B40" s="303"/>
      <c r="C40" s="303"/>
      <c r="D40" s="303"/>
      <c r="E40" s="303"/>
      <c r="F40" s="303"/>
      <c r="G40" s="303"/>
      <c r="H40" s="303"/>
      <c r="I40" s="303"/>
    </row>
    <row r="41" spans="1:9" ht="15.75">
      <c r="A41" s="303"/>
      <c r="B41" s="303"/>
      <c r="C41" s="303"/>
      <c r="D41" s="303"/>
      <c r="E41" s="303"/>
      <c r="F41" s="303"/>
      <c r="G41" s="303"/>
      <c r="H41" s="303"/>
      <c r="I41" s="303"/>
    </row>
    <row r="42" spans="1:9" ht="15.75">
      <c r="A42" s="303"/>
      <c r="B42" s="303"/>
      <c r="C42" s="303"/>
      <c r="D42" s="303"/>
      <c r="E42" s="303"/>
      <c r="F42" s="303"/>
      <c r="G42" s="303"/>
      <c r="H42" s="303"/>
      <c r="I42" s="303"/>
    </row>
    <row r="43" spans="1:9" ht="15.75">
      <c r="A43" s="303"/>
      <c r="B43" s="303"/>
      <c r="C43" s="303"/>
      <c r="D43" s="303"/>
      <c r="E43" s="303"/>
      <c r="F43" s="303"/>
      <c r="G43" s="303"/>
      <c r="H43" s="303"/>
      <c r="I43" s="303"/>
    </row>
    <row r="44" spans="1:9" ht="15.75">
      <c r="A44" s="303"/>
      <c r="B44" s="303"/>
      <c r="C44" s="303"/>
      <c r="D44" s="303"/>
      <c r="E44" s="303"/>
      <c r="F44" s="303"/>
      <c r="G44" s="303"/>
      <c r="H44" s="303"/>
      <c r="I44" s="303"/>
    </row>
    <row r="45" spans="1:9" ht="15.75">
      <c r="A45" s="303"/>
      <c r="B45" s="303"/>
      <c r="C45" s="303"/>
      <c r="D45" s="303"/>
      <c r="E45" s="303"/>
      <c r="F45" s="303"/>
      <c r="G45" s="303"/>
      <c r="H45" s="303"/>
      <c r="I45" s="303"/>
    </row>
    <row r="46" spans="1:9" ht="15.75">
      <c r="A46" s="303"/>
      <c r="B46" s="303"/>
      <c r="C46" s="303"/>
      <c r="D46" s="303"/>
      <c r="E46" s="303"/>
      <c r="F46" s="303"/>
      <c r="G46" s="303"/>
      <c r="H46" s="303"/>
      <c r="I46" s="303"/>
    </row>
    <row r="47" spans="1:9" ht="15.75">
      <c r="A47" s="303"/>
      <c r="B47" s="303"/>
      <c r="C47" s="303"/>
      <c r="D47" s="303"/>
      <c r="E47" s="303"/>
      <c r="F47" s="303"/>
      <c r="G47" s="303"/>
      <c r="H47" s="303"/>
      <c r="I47" s="303"/>
    </row>
    <row r="48" spans="1:9" ht="15.75">
      <c r="A48" s="303"/>
      <c r="B48" s="303"/>
      <c r="C48" s="303"/>
      <c r="D48" s="303"/>
      <c r="E48" s="303"/>
      <c r="F48" s="303"/>
      <c r="G48" s="303"/>
      <c r="H48" s="303"/>
      <c r="I48" s="303"/>
    </row>
    <row r="49" spans="1:9" ht="15.75">
      <c r="A49" s="303"/>
      <c r="B49" s="303"/>
      <c r="C49" s="303"/>
      <c r="D49" s="303"/>
      <c r="E49" s="303"/>
      <c r="F49" s="303"/>
      <c r="G49" s="303"/>
      <c r="H49" s="303"/>
      <c r="I49" s="303"/>
    </row>
    <row r="50" spans="1:9" ht="15.75">
      <c r="A50" s="303"/>
      <c r="B50" s="303"/>
      <c r="C50" s="303"/>
      <c r="D50" s="303"/>
      <c r="E50" s="303"/>
      <c r="F50" s="303"/>
      <c r="G50" s="303"/>
      <c r="H50" s="303"/>
      <c r="I50" s="303"/>
    </row>
    <row r="51" spans="1:9" ht="15.75">
      <c r="A51" s="303"/>
      <c r="B51" s="303"/>
      <c r="C51" s="303"/>
      <c r="D51" s="303"/>
      <c r="E51" s="303"/>
      <c r="F51" s="303"/>
      <c r="G51" s="303"/>
      <c r="H51" s="303"/>
      <c r="I51" s="303"/>
    </row>
    <row r="52" spans="1:9" ht="15.75">
      <c r="A52" s="303"/>
      <c r="B52" s="303"/>
      <c r="C52" s="303"/>
      <c r="D52" s="303"/>
      <c r="E52" s="303"/>
      <c r="F52" s="303"/>
      <c r="G52" s="303"/>
      <c r="H52" s="303"/>
      <c r="I52" s="303"/>
    </row>
    <row r="53" spans="1:9" ht="15.75">
      <c r="A53" s="303"/>
      <c r="B53" s="303"/>
      <c r="C53" s="303"/>
      <c r="D53" s="303"/>
      <c r="E53" s="303"/>
      <c r="F53" s="303"/>
      <c r="G53" s="303"/>
      <c r="H53" s="303"/>
      <c r="I53" s="303"/>
    </row>
    <row r="54" spans="1:9" ht="15.75">
      <c r="A54" s="303"/>
      <c r="B54" s="303"/>
      <c r="C54" s="303"/>
      <c r="D54" s="303"/>
      <c r="E54" s="303"/>
      <c r="F54" s="303"/>
      <c r="G54" s="303"/>
      <c r="H54" s="303"/>
      <c r="I54" s="303"/>
    </row>
    <row r="55" spans="1:9" ht="15.75">
      <c r="A55" s="303"/>
      <c r="B55" s="303"/>
      <c r="C55" s="303"/>
      <c r="D55" s="303"/>
      <c r="E55" s="303"/>
      <c r="F55" s="303"/>
      <c r="G55" s="303"/>
      <c r="H55" s="303"/>
      <c r="I55" s="303"/>
    </row>
    <row r="56" spans="1:9" ht="15.75">
      <c r="A56" s="303"/>
      <c r="B56" s="303"/>
      <c r="C56" s="303"/>
      <c r="D56" s="303"/>
      <c r="E56" s="303"/>
      <c r="F56" s="303"/>
      <c r="G56" s="303"/>
      <c r="H56" s="303"/>
      <c r="I56" s="303"/>
    </row>
    <row r="57" spans="1:9" ht="15.75">
      <c r="A57" s="303"/>
      <c r="B57" s="303"/>
      <c r="C57" s="303"/>
      <c r="D57" s="303"/>
      <c r="E57" s="303"/>
      <c r="F57" s="303"/>
      <c r="G57" s="303"/>
      <c r="H57" s="303"/>
      <c r="I57" s="303"/>
    </row>
    <row r="58" spans="1:9" ht="15.75">
      <c r="A58" s="303"/>
      <c r="B58" s="303"/>
      <c r="C58" s="303"/>
      <c r="D58" s="303"/>
      <c r="E58" s="303"/>
      <c r="F58" s="303"/>
      <c r="G58" s="303"/>
      <c r="H58" s="303"/>
      <c r="I58" s="303"/>
    </row>
    <row r="59" spans="1:9" ht="15.75">
      <c r="A59" s="303"/>
      <c r="B59" s="303"/>
      <c r="C59" s="303"/>
      <c r="D59" s="303"/>
      <c r="E59" s="303"/>
      <c r="F59" s="303"/>
      <c r="G59" s="303"/>
      <c r="H59" s="303"/>
      <c r="I59" s="303"/>
    </row>
    <row r="60" spans="1:9" ht="15.75">
      <c r="A60" s="303"/>
      <c r="B60" s="303"/>
      <c r="C60" s="303"/>
      <c r="D60" s="303"/>
      <c r="E60" s="303"/>
      <c r="F60" s="303"/>
      <c r="G60" s="303"/>
      <c r="H60" s="303"/>
      <c r="I60" s="303"/>
    </row>
    <row r="61" spans="1:9" ht="15.75">
      <c r="A61" s="303"/>
      <c r="B61" s="303"/>
      <c r="C61" s="303"/>
      <c r="D61" s="303"/>
      <c r="E61" s="303"/>
      <c r="F61" s="303"/>
      <c r="G61" s="303"/>
      <c r="H61" s="303"/>
      <c r="I61" s="303"/>
    </row>
    <row r="62" spans="1:9" ht="15.75">
      <c r="A62" s="303"/>
      <c r="B62" s="303"/>
      <c r="C62" s="303"/>
      <c r="D62" s="303"/>
      <c r="E62" s="303"/>
      <c r="F62" s="303"/>
      <c r="G62" s="303"/>
      <c r="H62" s="303"/>
      <c r="I62" s="303"/>
    </row>
    <row r="63" spans="1:9" ht="15.75">
      <c r="A63" s="303"/>
      <c r="B63" s="303"/>
      <c r="C63" s="303"/>
      <c r="D63" s="303"/>
      <c r="E63" s="303"/>
      <c r="F63" s="303"/>
      <c r="G63" s="303"/>
      <c r="H63" s="303"/>
      <c r="I63" s="303"/>
    </row>
    <row r="64" spans="1:9" ht="15.75">
      <c r="A64" s="303"/>
      <c r="B64" s="303"/>
      <c r="C64" s="303"/>
      <c r="D64" s="303"/>
      <c r="E64" s="303"/>
      <c r="F64" s="303"/>
      <c r="G64" s="303"/>
      <c r="H64" s="303"/>
      <c r="I64" s="303"/>
    </row>
    <row r="65" spans="1:9" ht="15.75">
      <c r="A65" s="303"/>
      <c r="B65" s="303"/>
      <c r="C65" s="303"/>
      <c r="D65" s="303"/>
      <c r="E65" s="303"/>
      <c r="F65" s="303"/>
      <c r="G65" s="303"/>
      <c r="H65" s="303"/>
      <c r="I65" s="303"/>
    </row>
    <row r="66" spans="1:9" ht="15.75">
      <c r="A66" s="303"/>
      <c r="B66" s="303"/>
      <c r="C66" s="303"/>
      <c r="D66" s="303"/>
      <c r="E66" s="303"/>
      <c r="F66" s="303"/>
      <c r="G66" s="303"/>
      <c r="H66" s="303"/>
      <c r="I66" s="303"/>
    </row>
    <row r="67" spans="1:9" ht="15.75">
      <c r="A67" s="303"/>
      <c r="B67" s="303"/>
      <c r="C67" s="303"/>
      <c r="D67" s="303"/>
      <c r="E67" s="303"/>
      <c r="F67" s="303"/>
      <c r="G67" s="303"/>
      <c r="H67" s="303"/>
      <c r="I67" s="303"/>
    </row>
    <row r="68" spans="1:9" ht="15.75">
      <c r="A68" s="303"/>
      <c r="B68" s="303"/>
      <c r="C68" s="303"/>
      <c r="D68" s="303"/>
      <c r="E68" s="303"/>
      <c r="F68" s="303"/>
      <c r="G68" s="303"/>
      <c r="H68" s="303"/>
      <c r="I68" s="303"/>
    </row>
    <row r="69" spans="1:9" ht="15.75">
      <c r="A69" s="303"/>
      <c r="B69" s="303"/>
      <c r="C69" s="303"/>
      <c r="D69" s="303"/>
      <c r="E69" s="303"/>
      <c r="F69" s="303"/>
      <c r="G69" s="303"/>
      <c r="H69" s="303"/>
      <c r="I69" s="303"/>
    </row>
    <row r="70" spans="1:9" ht="15.75">
      <c r="A70" s="303"/>
      <c r="B70" s="303"/>
      <c r="C70" s="303"/>
      <c r="D70" s="303"/>
      <c r="E70" s="303"/>
      <c r="F70" s="303"/>
      <c r="G70" s="303"/>
      <c r="H70" s="303"/>
      <c r="I70" s="303"/>
    </row>
    <row r="71" spans="1:9" ht="15.75">
      <c r="A71" s="303"/>
      <c r="B71" s="303"/>
      <c r="C71" s="303"/>
      <c r="D71" s="303"/>
      <c r="E71" s="303"/>
      <c r="F71" s="303"/>
      <c r="G71" s="303"/>
      <c r="H71" s="303"/>
      <c r="I71" s="303"/>
    </row>
    <row r="72" spans="1:9" ht="15.75">
      <c r="A72" s="303"/>
      <c r="B72" s="303"/>
      <c r="C72" s="303"/>
      <c r="D72" s="303"/>
      <c r="E72" s="303"/>
      <c r="F72" s="303"/>
      <c r="G72" s="303"/>
      <c r="H72" s="303"/>
      <c r="I72" s="303"/>
    </row>
    <row r="73" spans="1:9" ht="15.75">
      <c r="A73" s="303"/>
      <c r="B73" s="303"/>
      <c r="C73" s="303"/>
      <c r="D73" s="303"/>
      <c r="E73" s="303"/>
      <c r="F73" s="303"/>
      <c r="G73" s="303"/>
      <c r="H73" s="303"/>
      <c r="I73" s="303"/>
    </row>
    <row r="74" spans="1:9" ht="15.75">
      <c r="A74" s="303"/>
      <c r="B74" s="303"/>
      <c r="C74" s="303"/>
      <c r="D74" s="303"/>
      <c r="E74" s="303"/>
      <c r="F74" s="303"/>
      <c r="G74" s="303"/>
      <c r="H74" s="303"/>
      <c r="I74" s="303"/>
    </row>
    <row r="75" spans="1:9" ht="15.75">
      <c r="A75" s="303"/>
      <c r="B75" s="303"/>
      <c r="C75" s="303"/>
      <c r="D75" s="303"/>
      <c r="E75" s="303"/>
      <c r="F75" s="303"/>
      <c r="G75" s="303"/>
      <c r="H75" s="303"/>
      <c r="I75" s="303"/>
    </row>
    <row r="76" spans="1:9" ht="15.75">
      <c r="A76" s="303"/>
      <c r="B76" s="303"/>
      <c r="C76" s="303"/>
      <c r="D76" s="303"/>
      <c r="E76" s="303"/>
      <c r="F76" s="303"/>
      <c r="G76" s="303"/>
      <c r="H76" s="303"/>
      <c r="I76" s="303"/>
    </row>
    <row r="77" spans="1:9" ht="15.75">
      <c r="A77" s="303"/>
      <c r="B77" s="303"/>
      <c r="C77" s="303"/>
      <c r="D77" s="303"/>
      <c r="E77" s="303"/>
      <c r="F77" s="303"/>
      <c r="G77" s="303"/>
      <c r="H77" s="303"/>
      <c r="I77" s="303"/>
    </row>
    <row r="78" spans="1:9" ht="15.75">
      <c r="A78" s="303"/>
      <c r="B78" s="303"/>
      <c r="C78" s="303"/>
      <c r="D78" s="303"/>
      <c r="E78" s="303"/>
      <c r="F78" s="303"/>
      <c r="G78" s="303"/>
      <c r="H78" s="303"/>
      <c r="I78" s="303"/>
    </row>
    <row r="79" spans="1:9" ht="15.75">
      <c r="A79" s="303"/>
      <c r="B79" s="303"/>
      <c r="C79" s="303"/>
      <c r="D79" s="303"/>
      <c r="E79" s="303"/>
      <c r="F79" s="303"/>
      <c r="G79" s="303"/>
      <c r="H79" s="303"/>
      <c r="I79" s="303"/>
    </row>
    <row r="80" spans="1:9" ht="15.75">
      <c r="A80" s="303"/>
      <c r="B80" s="303"/>
      <c r="C80" s="303"/>
      <c r="D80" s="303"/>
      <c r="E80" s="303"/>
      <c r="F80" s="303"/>
      <c r="G80" s="303"/>
      <c r="H80" s="303"/>
      <c r="I80" s="303"/>
    </row>
    <row r="81" spans="1:9" ht="15.75">
      <c r="A81" s="303"/>
      <c r="B81" s="303"/>
      <c r="C81" s="303"/>
      <c r="D81" s="303"/>
      <c r="E81" s="303"/>
      <c r="F81" s="303"/>
      <c r="G81" s="303"/>
      <c r="H81" s="303"/>
      <c r="I81" s="303"/>
    </row>
    <row r="82" spans="1:9" ht="15.75">
      <c r="A82" s="303"/>
      <c r="B82" s="303"/>
      <c r="C82" s="303"/>
      <c r="D82" s="303"/>
      <c r="E82" s="303"/>
      <c r="F82" s="303"/>
      <c r="G82" s="303"/>
      <c r="H82" s="303"/>
      <c r="I82" s="303"/>
    </row>
    <row r="83" spans="1:9" ht="15.75">
      <c r="A83" s="303"/>
      <c r="B83" s="303"/>
      <c r="C83" s="303"/>
      <c r="D83" s="303"/>
      <c r="E83" s="303"/>
      <c r="F83" s="303"/>
      <c r="G83" s="303"/>
      <c r="H83" s="303"/>
      <c r="I83" s="303"/>
    </row>
    <row r="84" spans="1:9" ht="15.75">
      <c r="A84" s="303"/>
      <c r="B84" s="303"/>
      <c r="C84" s="303"/>
      <c r="D84" s="303"/>
      <c r="E84" s="303"/>
      <c r="F84" s="303"/>
      <c r="G84" s="303"/>
      <c r="H84" s="303"/>
      <c r="I84" s="303"/>
    </row>
    <row r="85" spans="1:9" ht="15.75">
      <c r="A85" s="303"/>
      <c r="B85" s="303"/>
      <c r="C85" s="303"/>
      <c r="D85" s="303"/>
      <c r="E85" s="303"/>
      <c r="F85" s="303"/>
      <c r="G85" s="303"/>
      <c r="H85" s="303"/>
      <c r="I85" s="303"/>
    </row>
    <row r="86" spans="1:9" ht="15.75">
      <c r="A86" s="303"/>
      <c r="B86" s="303"/>
      <c r="C86" s="303"/>
      <c r="D86" s="303"/>
      <c r="E86" s="303"/>
      <c r="F86" s="303"/>
      <c r="G86" s="303"/>
      <c r="H86" s="303"/>
      <c r="I86" s="303"/>
    </row>
    <row r="87" spans="1:9" ht="15.75">
      <c r="A87" s="303"/>
      <c r="B87" s="303"/>
      <c r="C87" s="303"/>
      <c r="D87" s="303"/>
      <c r="E87" s="303"/>
      <c r="F87" s="303"/>
      <c r="G87" s="303"/>
      <c r="H87" s="303"/>
      <c r="I87" s="303"/>
    </row>
    <row r="88" spans="1:9" ht="15.75">
      <c r="A88" s="303"/>
      <c r="B88" s="303"/>
      <c r="C88" s="303"/>
      <c r="D88" s="303"/>
      <c r="E88" s="303"/>
      <c r="F88" s="303"/>
      <c r="G88" s="303"/>
      <c r="H88" s="303"/>
      <c r="I88" s="303"/>
    </row>
    <row r="89" spans="1:9" ht="15.75">
      <c r="A89" s="303"/>
      <c r="B89" s="303"/>
      <c r="C89" s="303"/>
      <c r="D89" s="303"/>
      <c r="E89" s="303"/>
      <c r="F89" s="303"/>
      <c r="G89" s="303"/>
      <c r="H89" s="303"/>
      <c r="I89" s="303"/>
    </row>
    <row r="90" spans="1:9" ht="15.75">
      <c r="A90" s="303"/>
      <c r="B90" s="303"/>
      <c r="C90" s="303"/>
      <c r="D90" s="303"/>
      <c r="E90" s="303"/>
      <c r="F90" s="303"/>
      <c r="G90" s="303"/>
      <c r="H90" s="303"/>
      <c r="I90" s="303"/>
    </row>
    <row r="91" spans="1:9" ht="15.75">
      <c r="A91" s="303"/>
      <c r="B91" s="303"/>
      <c r="C91" s="303"/>
      <c r="D91" s="303"/>
      <c r="E91" s="303"/>
      <c r="F91" s="303"/>
      <c r="G91" s="303"/>
      <c r="H91" s="303"/>
      <c r="I91" s="303"/>
    </row>
    <row r="92" spans="1:9" ht="15.75">
      <c r="A92" s="303"/>
      <c r="B92" s="303"/>
      <c r="C92" s="303"/>
      <c r="D92" s="303"/>
      <c r="E92" s="303"/>
      <c r="F92" s="303"/>
      <c r="G92" s="303"/>
      <c r="H92" s="303"/>
      <c r="I92" s="303"/>
    </row>
    <row r="93" spans="1:9" ht="15.75">
      <c r="A93" s="303"/>
      <c r="B93" s="303"/>
      <c r="C93" s="303"/>
      <c r="D93" s="303"/>
      <c r="E93" s="303"/>
      <c r="F93" s="303"/>
      <c r="G93" s="303"/>
      <c r="H93" s="303"/>
      <c r="I93" s="303"/>
    </row>
    <row r="94" spans="1:9" ht="15.75">
      <c r="A94" s="303"/>
      <c r="B94" s="303"/>
      <c r="C94" s="303"/>
      <c r="D94" s="303"/>
      <c r="E94" s="303"/>
      <c r="F94" s="303"/>
      <c r="G94" s="303"/>
      <c r="H94" s="303"/>
      <c r="I94" s="303"/>
    </row>
    <row r="95" spans="1:9" ht="15.75">
      <c r="A95" s="303"/>
      <c r="B95" s="303"/>
      <c r="C95" s="303"/>
      <c r="D95" s="303"/>
      <c r="E95" s="303"/>
      <c r="F95" s="303"/>
      <c r="G95" s="303"/>
      <c r="H95" s="303"/>
      <c r="I95" s="303"/>
    </row>
    <row r="96" spans="1:9" ht="15.75">
      <c r="A96" s="303"/>
      <c r="B96" s="303"/>
      <c r="C96" s="303"/>
      <c r="D96" s="303"/>
      <c r="E96" s="303"/>
      <c r="F96" s="303"/>
      <c r="G96" s="303"/>
      <c r="H96" s="303"/>
      <c r="I96" s="303"/>
    </row>
    <row r="97" spans="1:9" ht="15.75">
      <c r="A97" s="303"/>
      <c r="B97" s="303"/>
      <c r="C97" s="303"/>
      <c r="D97" s="303"/>
      <c r="E97" s="303"/>
      <c r="F97" s="303"/>
      <c r="G97" s="303"/>
      <c r="H97" s="303"/>
      <c r="I97" s="303"/>
    </row>
    <row r="98" spans="1:9" ht="15.75">
      <c r="A98" s="303"/>
      <c r="B98" s="303"/>
      <c r="C98" s="303"/>
      <c r="D98" s="303"/>
      <c r="E98" s="303"/>
      <c r="F98" s="303"/>
      <c r="G98" s="303"/>
      <c r="H98" s="303"/>
      <c r="I98" s="303"/>
    </row>
    <row r="99" spans="1:9" ht="15.75">
      <c r="A99" s="303"/>
      <c r="B99" s="303"/>
      <c r="C99" s="303"/>
      <c r="D99" s="303"/>
      <c r="E99" s="303"/>
      <c r="F99" s="303"/>
      <c r="G99" s="303"/>
      <c r="H99" s="303"/>
      <c r="I99" s="303"/>
    </row>
    <row r="100" spans="1:9" ht="15.75">
      <c r="A100" s="303"/>
      <c r="B100" s="303"/>
      <c r="C100" s="303"/>
      <c r="D100" s="303"/>
      <c r="E100" s="303"/>
      <c r="F100" s="303"/>
      <c r="G100" s="303"/>
      <c r="H100" s="303"/>
      <c r="I100" s="303"/>
    </row>
    <row r="101" spans="1:9" ht="15.75">
      <c r="A101" s="303"/>
      <c r="B101" s="303"/>
      <c r="C101" s="303"/>
      <c r="D101" s="303"/>
      <c r="E101" s="303"/>
      <c r="F101" s="303"/>
      <c r="G101" s="303"/>
      <c r="H101" s="303"/>
      <c r="I101" s="303"/>
    </row>
    <row r="102" spans="1:9" ht="15.75">
      <c r="A102" s="303"/>
      <c r="B102" s="303"/>
      <c r="C102" s="303"/>
      <c r="D102" s="303"/>
      <c r="E102" s="303"/>
      <c r="F102" s="303"/>
      <c r="G102" s="303"/>
      <c r="H102" s="303"/>
      <c r="I102" s="303"/>
    </row>
    <row r="103" spans="1:9" ht="15.75">
      <c r="A103" s="303"/>
      <c r="B103" s="303"/>
      <c r="C103" s="303"/>
      <c r="D103" s="303"/>
      <c r="E103" s="303"/>
      <c r="F103" s="303"/>
      <c r="G103" s="303"/>
      <c r="H103" s="303"/>
      <c r="I103" s="303"/>
    </row>
    <row r="104" spans="1:9" ht="15.75">
      <c r="A104" s="303"/>
      <c r="B104" s="303"/>
      <c r="C104" s="303"/>
      <c r="D104" s="303"/>
      <c r="E104" s="303"/>
      <c r="F104" s="303"/>
      <c r="G104" s="303"/>
      <c r="H104" s="303"/>
      <c r="I104" s="303"/>
    </row>
    <row r="105" spans="1:9" ht="15.75">
      <c r="A105" s="303"/>
      <c r="B105" s="303"/>
      <c r="C105" s="303"/>
      <c r="D105" s="303"/>
      <c r="E105" s="303"/>
      <c r="F105" s="303"/>
      <c r="G105" s="303"/>
      <c r="H105" s="303"/>
      <c r="I105" s="303"/>
    </row>
    <row r="106" spans="1:9" ht="15.75">
      <c r="A106" s="303"/>
      <c r="B106" s="303"/>
      <c r="C106" s="303"/>
      <c r="D106" s="303"/>
      <c r="E106" s="303"/>
      <c r="F106" s="303"/>
      <c r="G106" s="303"/>
      <c r="H106" s="303"/>
      <c r="I106" s="303"/>
    </row>
    <row r="107" spans="1:9" ht="15.75">
      <c r="A107" s="303"/>
      <c r="B107" s="303"/>
      <c r="C107" s="303"/>
      <c r="D107" s="303"/>
      <c r="E107" s="303"/>
      <c r="F107" s="303"/>
      <c r="G107" s="303"/>
      <c r="H107" s="303"/>
      <c r="I107" s="303"/>
    </row>
    <row r="108" spans="1:9" ht="15.75">
      <c r="A108" s="303"/>
      <c r="B108" s="303"/>
      <c r="C108" s="303"/>
      <c r="D108" s="303"/>
      <c r="E108" s="303"/>
      <c r="F108" s="303"/>
      <c r="G108" s="303"/>
      <c r="H108" s="303"/>
      <c r="I108" s="303"/>
    </row>
    <row r="109" spans="1:9" ht="15.75">
      <c r="A109" s="303"/>
      <c r="B109" s="303"/>
      <c r="C109" s="303"/>
      <c r="D109" s="303"/>
      <c r="E109" s="303"/>
      <c r="F109" s="303"/>
      <c r="G109" s="303"/>
      <c r="H109" s="303"/>
      <c r="I109" s="303"/>
    </row>
    <row r="110" spans="1:9" ht="15.75">
      <c r="A110" s="303"/>
      <c r="B110" s="303"/>
      <c r="C110" s="303"/>
      <c r="D110" s="303"/>
      <c r="E110" s="303"/>
      <c r="F110" s="303"/>
      <c r="G110" s="303"/>
      <c r="H110" s="303"/>
      <c r="I110" s="303"/>
    </row>
    <row r="111" spans="1:9" ht="15.75">
      <c r="A111" s="303"/>
      <c r="B111" s="303"/>
      <c r="C111" s="303"/>
      <c r="D111" s="303"/>
      <c r="E111" s="303"/>
      <c r="F111" s="303"/>
      <c r="G111" s="303"/>
      <c r="H111" s="303"/>
      <c r="I111" s="303"/>
    </row>
    <row r="112" spans="1:9" ht="15.75">
      <c r="A112" s="303"/>
      <c r="B112" s="303"/>
      <c r="C112" s="303"/>
      <c r="D112" s="303"/>
      <c r="E112" s="303"/>
      <c r="F112" s="303"/>
      <c r="G112" s="303"/>
      <c r="H112" s="303"/>
      <c r="I112" s="303"/>
    </row>
    <row r="113" spans="1:9" ht="15.75">
      <c r="A113" s="303"/>
      <c r="B113" s="303"/>
      <c r="C113" s="303"/>
      <c r="D113" s="303"/>
      <c r="E113" s="303"/>
      <c r="F113" s="303"/>
      <c r="G113" s="303"/>
      <c r="H113" s="303"/>
      <c r="I113" s="303"/>
    </row>
    <row r="114" spans="1:9" ht="15.75">
      <c r="A114" s="303"/>
      <c r="B114" s="303"/>
      <c r="C114" s="303"/>
      <c r="D114" s="303"/>
      <c r="E114" s="303"/>
      <c r="F114" s="303"/>
      <c r="G114" s="303"/>
      <c r="H114" s="303"/>
      <c r="I114" s="303"/>
    </row>
    <row r="115" spans="1:9" ht="15.75">
      <c r="A115" s="303"/>
      <c r="B115" s="303"/>
      <c r="C115" s="303"/>
      <c r="D115" s="303"/>
      <c r="E115" s="303"/>
      <c r="F115" s="303"/>
      <c r="G115" s="303"/>
      <c r="H115" s="303"/>
      <c r="I115" s="303"/>
    </row>
    <row r="116" spans="1:9" ht="15.75">
      <c r="A116" s="303"/>
      <c r="B116" s="303"/>
      <c r="C116" s="303"/>
      <c r="D116" s="303"/>
      <c r="E116" s="303"/>
      <c r="F116" s="303"/>
      <c r="G116" s="303"/>
      <c r="H116" s="303"/>
      <c r="I116" s="303"/>
    </row>
    <row r="117" spans="1:9" ht="15.75">
      <c r="A117" s="303"/>
      <c r="B117" s="303"/>
      <c r="C117" s="303"/>
      <c r="D117" s="303"/>
      <c r="E117" s="303"/>
      <c r="F117" s="303"/>
      <c r="G117" s="303"/>
      <c r="H117" s="303"/>
      <c r="I117" s="303"/>
    </row>
    <row r="118" spans="1:9" ht="15.75">
      <c r="A118" s="303"/>
      <c r="B118" s="303"/>
      <c r="C118" s="303"/>
      <c r="D118" s="303"/>
      <c r="E118" s="303"/>
      <c r="F118" s="303"/>
      <c r="G118" s="303"/>
      <c r="H118" s="303"/>
      <c r="I118" s="303"/>
    </row>
    <row r="119" spans="1:9" ht="15.75">
      <c r="A119" s="303"/>
      <c r="B119" s="303"/>
      <c r="C119" s="303"/>
      <c r="D119" s="303"/>
      <c r="E119" s="303"/>
      <c r="F119" s="303"/>
      <c r="G119" s="303"/>
      <c r="H119" s="303"/>
      <c r="I119" s="303"/>
    </row>
    <row r="120" spans="1:9" ht="15.75">
      <c r="A120" s="303"/>
      <c r="B120" s="303"/>
      <c r="C120" s="303"/>
      <c r="D120" s="303"/>
      <c r="E120" s="303"/>
      <c r="F120" s="303"/>
      <c r="G120" s="303"/>
      <c r="H120" s="303"/>
      <c r="I120" s="303"/>
    </row>
    <row r="121" spans="1:9" ht="15.75">
      <c r="A121" s="303"/>
      <c r="B121" s="303"/>
      <c r="C121" s="303"/>
      <c r="D121" s="303"/>
      <c r="E121" s="303"/>
      <c r="F121" s="303"/>
      <c r="G121" s="303"/>
      <c r="H121" s="303"/>
      <c r="I121" s="303"/>
    </row>
    <row r="122" spans="1:9" ht="15.75">
      <c r="A122" s="303"/>
      <c r="B122" s="303"/>
      <c r="C122" s="303"/>
      <c r="D122" s="303"/>
      <c r="E122" s="303"/>
      <c r="F122" s="303"/>
      <c r="G122" s="303"/>
      <c r="H122" s="303"/>
      <c r="I122" s="303"/>
    </row>
    <row r="123" spans="1:9" ht="15.75">
      <c r="A123" s="303"/>
      <c r="B123" s="303"/>
      <c r="C123" s="303"/>
      <c r="D123" s="303"/>
      <c r="E123" s="303"/>
      <c r="F123" s="303"/>
      <c r="G123" s="303"/>
      <c r="H123" s="303"/>
      <c r="I123" s="303"/>
    </row>
    <row r="124" spans="1:9" ht="15.75">
      <c r="A124" s="303"/>
      <c r="B124" s="303"/>
      <c r="C124" s="303"/>
      <c r="D124" s="303"/>
      <c r="E124" s="303"/>
      <c r="F124" s="303"/>
      <c r="G124" s="303"/>
      <c r="H124" s="303"/>
      <c r="I124" s="303"/>
    </row>
    <row r="125" spans="1:9" ht="15.75">
      <c r="A125" s="303"/>
      <c r="B125" s="303"/>
      <c r="C125" s="303"/>
      <c r="D125" s="303"/>
      <c r="E125" s="303"/>
      <c r="F125" s="303"/>
      <c r="G125" s="303"/>
      <c r="H125" s="303"/>
      <c r="I125" s="303"/>
    </row>
    <row r="126" spans="1:9" ht="15.75">
      <c r="A126" s="303"/>
      <c r="B126" s="303"/>
      <c r="C126" s="303"/>
      <c r="D126" s="303"/>
      <c r="E126" s="303"/>
      <c r="F126" s="303"/>
      <c r="G126" s="303"/>
      <c r="H126" s="303"/>
      <c r="I126" s="303"/>
    </row>
    <row r="127" spans="1:9" ht="15.75">
      <c r="A127" s="303"/>
      <c r="B127" s="303"/>
      <c r="C127" s="303"/>
      <c r="D127" s="303"/>
      <c r="E127" s="303"/>
      <c r="F127" s="303"/>
      <c r="G127" s="303"/>
      <c r="H127" s="303"/>
      <c r="I127" s="303"/>
    </row>
    <row r="128" spans="1:9" ht="15.75">
      <c r="A128" s="303"/>
      <c r="B128" s="303"/>
      <c r="C128" s="303"/>
      <c r="D128" s="303"/>
      <c r="E128" s="303"/>
      <c r="F128" s="303"/>
      <c r="G128" s="303"/>
      <c r="H128" s="303"/>
      <c r="I128" s="303"/>
    </row>
    <row r="129" spans="1:9" ht="15.75">
      <c r="A129" s="303"/>
      <c r="B129" s="303"/>
      <c r="C129" s="303"/>
      <c r="D129" s="303"/>
      <c r="E129" s="303"/>
      <c r="F129" s="303"/>
      <c r="G129" s="303"/>
      <c r="H129" s="303"/>
      <c r="I129" s="303"/>
    </row>
    <row r="130" spans="1:9" ht="15.75">
      <c r="A130" s="303"/>
      <c r="B130" s="303"/>
      <c r="C130" s="303"/>
      <c r="D130" s="303"/>
      <c r="E130" s="303"/>
      <c r="F130" s="303"/>
      <c r="G130" s="303"/>
      <c r="H130" s="303"/>
      <c r="I130" s="303"/>
    </row>
    <row r="131" spans="1:9" ht="15.75">
      <c r="A131" s="303"/>
      <c r="B131" s="303"/>
      <c r="C131" s="303"/>
      <c r="D131" s="303"/>
      <c r="E131" s="303"/>
      <c r="F131" s="303"/>
      <c r="G131" s="303"/>
      <c r="H131" s="303"/>
      <c r="I131" s="303"/>
    </row>
    <row r="132" spans="1:9" ht="15.75">
      <c r="A132" s="303"/>
      <c r="B132" s="303"/>
      <c r="C132" s="303"/>
      <c r="D132" s="303"/>
      <c r="E132" s="303"/>
      <c r="F132" s="303"/>
      <c r="G132" s="303"/>
      <c r="H132" s="303"/>
      <c r="I132" s="303"/>
    </row>
    <row r="133" spans="1:9" ht="15.75">
      <c r="A133" s="303"/>
      <c r="B133" s="303"/>
      <c r="C133" s="303"/>
      <c r="D133" s="303"/>
      <c r="E133" s="303"/>
      <c r="F133" s="303"/>
      <c r="G133" s="303"/>
      <c r="H133" s="303"/>
      <c r="I133" s="303"/>
    </row>
    <row r="134" spans="1:9" ht="15.75">
      <c r="A134" s="303"/>
      <c r="B134" s="303"/>
      <c r="C134" s="303"/>
      <c r="D134" s="303"/>
      <c r="E134" s="303"/>
      <c r="F134" s="303"/>
      <c r="G134" s="303"/>
      <c r="H134" s="303"/>
      <c r="I134" s="303"/>
    </row>
    <row r="135" spans="1:9" ht="15.75">
      <c r="A135" s="303"/>
      <c r="B135" s="303"/>
      <c r="C135" s="303"/>
      <c r="D135" s="303"/>
      <c r="E135" s="303"/>
      <c r="F135" s="303"/>
      <c r="G135" s="303"/>
      <c r="H135" s="303"/>
      <c r="I135" s="303"/>
    </row>
    <row r="136" spans="1:9" ht="15.75">
      <c r="A136" s="303"/>
      <c r="B136" s="303"/>
      <c r="C136" s="303"/>
      <c r="D136" s="303"/>
      <c r="E136" s="303"/>
      <c r="F136" s="303"/>
      <c r="G136" s="303"/>
      <c r="H136" s="303"/>
      <c r="I136" s="303"/>
    </row>
    <row r="137" spans="1:9" ht="15.75">
      <c r="A137" s="303"/>
      <c r="B137" s="303"/>
      <c r="C137" s="303"/>
      <c r="D137" s="303"/>
      <c r="E137" s="303"/>
      <c r="F137" s="303"/>
      <c r="G137" s="303"/>
      <c r="H137" s="303"/>
      <c r="I137" s="303"/>
    </row>
    <row r="138" spans="1:9" ht="15.75">
      <c r="A138" s="303"/>
      <c r="B138" s="303"/>
      <c r="C138" s="303"/>
      <c r="D138" s="303"/>
      <c r="E138" s="303"/>
      <c r="F138" s="303"/>
      <c r="G138" s="303"/>
      <c r="H138" s="303"/>
      <c r="I138" s="303"/>
    </row>
    <row r="139" spans="1:9" ht="15.75">
      <c r="A139" s="303"/>
      <c r="B139" s="303"/>
      <c r="C139" s="303"/>
      <c r="D139" s="303"/>
      <c r="E139" s="303"/>
      <c r="F139" s="303"/>
      <c r="G139" s="303"/>
      <c r="H139" s="303"/>
      <c r="I139" s="303"/>
    </row>
    <row r="140" spans="1:9" ht="15.75">
      <c r="A140" s="303"/>
      <c r="B140" s="303"/>
      <c r="C140" s="303"/>
      <c r="D140" s="303"/>
      <c r="E140" s="303"/>
      <c r="F140" s="303"/>
      <c r="G140" s="303"/>
      <c r="H140" s="303"/>
      <c r="I140" s="303"/>
    </row>
    <row r="141" spans="1:9" ht="15.75">
      <c r="A141" s="303"/>
      <c r="B141" s="303"/>
      <c r="C141" s="303"/>
      <c r="D141" s="303"/>
      <c r="E141" s="303"/>
      <c r="F141" s="303"/>
      <c r="G141" s="303"/>
      <c r="H141" s="303"/>
      <c r="I141" s="303"/>
    </row>
    <row r="142" spans="1:9" ht="15.75">
      <c r="A142" s="303"/>
      <c r="B142" s="303"/>
      <c r="C142" s="303"/>
      <c r="D142" s="303"/>
      <c r="E142" s="303"/>
      <c r="F142" s="303"/>
      <c r="G142" s="303"/>
      <c r="H142" s="303"/>
      <c r="I142" s="303"/>
    </row>
    <row r="143" spans="1:9" ht="15.75">
      <c r="A143" s="303"/>
      <c r="B143" s="303"/>
      <c r="C143" s="303"/>
      <c r="D143" s="303"/>
      <c r="E143" s="303"/>
      <c r="F143" s="303"/>
      <c r="G143" s="303"/>
      <c r="H143" s="303"/>
      <c r="I143" s="303"/>
    </row>
    <row r="144" spans="1:9" ht="15.75">
      <c r="A144" s="303"/>
      <c r="B144" s="303"/>
      <c r="C144" s="303"/>
      <c r="D144" s="303"/>
      <c r="E144" s="303"/>
      <c r="F144" s="303"/>
      <c r="G144" s="303"/>
      <c r="H144" s="303"/>
      <c r="I144" s="303"/>
    </row>
    <row r="145" spans="1:9" ht="15.75">
      <c r="A145" s="303"/>
      <c r="B145" s="303"/>
      <c r="C145" s="303"/>
      <c r="D145" s="303"/>
      <c r="E145" s="303"/>
      <c r="F145" s="303"/>
      <c r="G145" s="303"/>
      <c r="H145" s="303"/>
      <c r="I145" s="303"/>
    </row>
    <row r="146" spans="1:9" ht="15.75">
      <c r="A146" s="303"/>
      <c r="B146" s="303"/>
      <c r="C146" s="303"/>
      <c r="D146" s="303"/>
      <c r="E146" s="303"/>
      <c r="F146" s="303"/>
      <c r="G146" s="303"/>
      <c r="H146" s="303"/>
      <c r="I146" s="303"/>
    </row>
    <row r="147" spans="1:9" ht="15.75">
      <c r="A147" s="303"/>
      <c r="B147" s="303"/>
      <c r="C147" s="303"/>
      <c r="D147" s="303"/>
      <c r="E147" s="303"/>
      <c r="F147" s="303"/>
      <c r="G147" s="303"/>
      <c r="H147" s="303"/>
      <c r="I147" s="303"/>
    </row>
    <row r="148" spans="1:9" ht="15.75">
      <c r="A148" s="303"/>
      <c r="B148" s="303"/>
      <c r="C148" s="303"/>
      <c r="D148" s="303"/>
      <c r="E148" s="303"/>
      <c r="F148" s="303"/>
      <c r="G148" s="303"/>
      <c r="H148" s="303"/>
      <c r="I148" s="303"/>
    </row>
    <row r="149" spans="1:9" ht="15.75">
      <c r="A149" s="303"/>
      <c r="B149" s="303"/>
      <c r="C149" s="303"/>
      <c r="D149" s="303"/>
      <c r="E149" s="303"/>
      <c r="F149" s="303"/>
      <c r="G149" s="303"/>
      <c r="H149" s="303"/>
      <c r="I149" s="303"/>
    </row>
    <row r="150" spans="1:9" ht="15.75">
      <c r="A150" s="303"/>
      <c r="B150" s="303"/>
      <c r="C150" s="303"/>
      <c r="D150" s="303"/>
      <c r="E150" s="303"/>
      <c r="F150" s="303"/>
      <c r="G150" s="303"/>
      <c r="H150" s="303"/>
      <c r="I150" s="303"/>
    </row>
    <row r="151" spans="1:9" ht="15.75">
      <c r="A151" s="303"/>
      <c r="B151" s="303"/>
      <c r="C151" s="303"/>
      <c r="D151" s="303"/>
      <c r="E151" s="303"/>
      <c r="F151" s="303"/>
      <c r="G151" s="303"/>
      <c r="H151" s="303"/>
      <c r="I151" s="303"/>
    </row>
    <row r="152" spans="1:9" ht="15.75">
      <c r="A152" s="303"/>
      <c r="B152" s="303"/>
      <c r="C152" s="303"/>
      <c r="D152" s="303"/>
      <c r="E152" s="303"/>
      <c r="F152" s="303"/>
      <c r="G152" s="303"/>
      <c r="H152" s="303"/>
      <c r="I152" s="303"/>
    </row>
    <row r="153" spans="1:9" ht="15.75">
      <c r="A153" s="303"/>
      <c r="B153" s="303"/>
      <c r="C153" s="303"/>
      <c r="D153" s="303"/>
      <c r="E153" s="303"/>
      <c r="F153" s="303"/>
      <c r="G153" s="303"/>
      <c r="H153" s="303"/>
      <c r="I153" s="303"/>
    </row>
    <row r="154" spans="1:9" ht="15.75">
      <c r="A154" s="303"/>
      <c r="B154" s="303"/>
      <c r="C154" s="303"/>
      <c r="D154" s="303"/>
      <c r="E154" s="303"/>
      <c r="F154" s="303"/>
      <c r="G154" s="303"/>
      <c r="H154" s="303"/>
      <c r="I154" s="303"/>
    </row>
    <row r="155" spans="1:9" ht="15.75">
      <c r="A155" s="303"/>
      <c r="B155" s="303"/>
      <c r="C155" s="303"/>
      <c r="D155" s="303"/>
      <c r="E155" s="303"/>
      <c r="F155" s="303"/>
      <c r="G155" s="303"/>
      <c r="H155" s="303"/>
      <c r="I155" s="303"/>
    </row>
    <row r="156" spans="1:9" ht="15.75">
      <c r="A156" s="303"/>
      <c r="B156" s="303"/>
      <c r="C156" s="303"/>
      <c r="D156" s="303"/>
      <c r="E156" s="303"/>
      <c r="F156" s="303"/>
      <c r="G156" s="303"/>
      <c r="H156" s="303"/>
      <c r="I156" s="303"/>
    </row>
    <row r="157" spans="1:9" ht="15.75">
      <c r="A157" s="303"/>
      <c r="B157" s="303"/>
      <c r="C157" s="303"/>
      <c r="D157" s="303"/>
      <c r="E157" s="303"/>
      <c r="F157" s="303"/>
      <c r="G157" s="303"/>
      <c r="H157" s="303"/>
      <c r="I157" s="303"/>
    </row>
    <row r="158" spans="1:9" ht="15.75">
      <c r="A158" s="303"/>
      <c r="B158" s="303"/>
      <c r="C158" s="303"/>
      <c r="D158" s="303"/>
      <c r="E158" s="303"/>
      <c r="F158" s="303"/>
      <c r="G158" s="303"/>
      <c r="H158" s="303"/>
      <c r="I158" s="303"/>
    </row>
    <row r="159" spans="1:9" ht="15.75">
      <c r="A159" s="303"/>
      <c r="B159" s="303"/>
      <c r="C159" s="303"/>
      <c r="D159" s="303"/>
      <c r="E159" s="303"/>
      <c r="F159" s="303"/>
      <c r="G159" s="303"/>
      <c r="H159" s="303"/>
      <c r="I159" s="303"/>
    </row>
    <row r="160" spans="1:9" ht="15.75">
      <c r="A160" s="303"/>
      <c r="B160" s="303"/>
      <c r="C160" s="303"/>
      <c r="D160" s="303"/>
      <c r="E160" s="303"/>
      <c r="F160" s="303"/>
      <c r="G160" s="303"/>
      <c r="H160" s="303"/>
      <c r="I160" s="303"/>
    </row>
    <row r="161" spans="1:9" ht="15.75">
      <c r="A161" s="303"/>
      <c r="B161" s="303"/>
      <c r="C161" s="303"/>
      <c r="D161" s="303"/>
      <c r="E161" s="303"/>
      <c r="F161" s="303"/>
      <c r="G161" s="303"/>
      <c r="H161" s="303"/>
      <c r="I161" s="303"/>
    </row>
    <row r="162" spans="1:9" ht="15.75">
      <c r="A162" s="303"/>
      <c r="B162" s="303"/>
      <c r="C162" s="303"/>
      <c r="D162" s="303"/>
      <c r="E162" s="303"/>
      <c r="F162" s="303"/>
      <c r="G162" s="303"/>
      <c r="H162" s="303"/>
      <c r="I162" s="303"/>
    </row>
    <row r="163" spans="1:9" ht="15.75">
      <c r="A163" s="303"/>
      <c r="B163" s="303"/>
      <c r="C163" s="303"/>
      <c r="D163" s="303"/>
      <c r="E163" s="303"/>
      <c r="F163" s="303"/>
      <c r="G163" s="303"/>
      <c r="H163" s="303"/>
      <c r="I163" s="303"/>
    </row>
    <row r="164" spans="1:9" ht="15.75">
      <c r="A164" s="303"/>
      <c r="B164" s="303"/>
      <c r="C164" s="303"/>
      <c r="D164" s="303"/>
      <c r="E164" s="303"/>
      <c r="F164" s="303"/>
      <c r="G164" s="303"/>
      <c r="H164" s="303"/>
      <c r="I164" s="303"/>
    </row>
    <row r="165" spans="1:9" ht="15.75">
      <c r="A165" s="303"/>
      <c r="B165" s="303"/>
      <c r="C165" s="303"/>
      <c r="D165" s="303"/>
      <c r="E165" s="303"/>
      <c r="F165" s="303"/>
      <c r="G165" s="303"/>
      <c r="H165" s="303"/>
      <c r="I165" s="303"/>
    </row>
    <row r="166" spans="1:9" ht="15.75">
      <c r="A166" s="303"/>
      <c r="B166" s="303"/>
      <c r="C166" s="303"/>
      <c r="D166" s="303"/>
      <c r="E166" s="303"/>
      <c r="F166" s="303"/>
      <c r="G166" s="303"/>
      <c r="H166" s="303"/>
      <c r="I166" s="303"/>
    </row>
    <row r="167" spans="1:9" ht="15.75">
      <c r="A167" s="303"/>
      <c r="B167" s="303"/>
      <c r="C167" s="303"/>
      <c r="D167" s="303"/>
      <c r="E167" s="303"/>
      <c r="F167" s="303"/>
      <c r="G167" s="303"/>
      <c r="H167" s="303"/>
      <c r="I167" s="303"/>
    </row>
    <row r="168" spans="1:9" ht="15.75">
      <c r="A168" s="303"/>
      <c r="B168" s="303"/>
      <c r="C168" s="303"/>
      <c r="D168" s="303"/>
      <c r="E168" s="303"/>
      <c r="F168" s="303"/>
      <c r="G168" s="303"/>
      <c r="H168" s="303"/>
      <c r="I168" s="303"/>
    </row>
    <row r="169" spans="1:9" ht="15.75">
      <c r="A169" s="303"/>
      <c r="B169" s="303"/>
      <c r="C169" s="303"/>
      <c r="D169" s="303"/>
      <c r="E169" s="303"/>
      <c r="F169" s="303"/>
      <c r="G169" s="303"/>
      <c r="H169" s="303"/>
      <c r="I169" s="303"/>
    </row>
    <row r="170" spans="1:9" ht="15.75">
      <c r="A170" s="303"/>
      <c r="B170" s="303"/>
      <c r="C170" s="303"/>
      <c r="D170" s="303"/>
      <c r="E170" s="303"/>
      <c r="F170" s="303"/>
      <c r="G170" s="303"/>
      <c r="H170" s="303"/>
      <c r="I170" s="303"/>
    </row>
    <row r="171" spans="1:9" ht="15.75">
      <c r="A171" s="303"/>
      <c r="B171" s="303"/>
      <c r="C171" s="303"/>
      <c r="D171" s="303"/>
      <c r="E171" s="303"/>
      <c r="F171" s="303"/>
      <c r="G171" s="303"/>
      <c r="H171" s="303"/>
      <c r="I171" s="303"/>
    </row>
    <row r="172" spans="1:9" ht="15.75">
      <c r="A172" s="303"/>
      <c r="B172" s="303"/>
      <c r="C172" s="303"/>
      <c r="D172" s="303"/>
      <c r="E172" s="303"/>
      <c r="F172" s="303"/>
      <c r="G172" s="303"/>
      <c r="H172" s="303"/>
      <c r="I172" s="303"/>
    </row>
    <row r="173" spans="1:9" ht="15.75">
      <c r="A173" s="303"/>
      <c r="B173" s="303"/>
      <c r="C173" s="303"/>
      <c r="D173" s="303"/>
      <c r="E173" s="303"/>
      <c r="F173" s="303"/>
      <c r="G173" s="303"/>
      <c r="H173" s="303"/>
      <c r="I173" s="303"/>
    </row>
    <row r="174" spans="1:9" ht="15.75">
      <c r="A174" s="303"/>
      <c r="B174" s="303"/>
      <c r="C174" s="303"/>
      <c r="D174" s="303"/>
      <c r="E174" s="303"/>
      <c r="F174" s="303"/>
      <c r="G174" s="303"/>
      <c r="H174" s="303"/>
      <c r="I174" s="303"/>
    </row>
    <row r="175" spans="1:9" ht="15.75">
      <c r="A175" s="303"/>
      <c r="B175" s="303"/>
      <c r="C175" s="303"/>
      <c r="D175" s="303"/>
      <c r="E175" s="303"/>
      <c r="F175" s="303"/>
      <c r="G175" s="303"/>
      <c r="H175" s="303"/>
      <c r="I175" s="303"/>
    </row>
    <row r="176" spans="1:9" ht="15.75">
      <c r="A176" s="303"/>
      <c r="B176" s="303"/>
      <c r="C176" s="303"/>
      <c r="D176" s="303"/>
      <c r="E176" s="303"/>
      <c r="F176" s="303"/>
      <c r="G176" s="303"/>
      <c r="H176" s="303"/>
      <c r="I176" s="303"/>
    </row>
    <row r="177" spans="1:9" ht="15.75">
      <c r="A177" s="303"/>
      <c r="B177" s="303"/>
      <c r="C177" s="303"/>
      <c r="D177" s="303"/>
      <c r="E177" s="303"/>
      <c r="F177" s="303"/>
      <c r="G177" s="303"/>
      <c r="H177" s="303"/>
      <c r="I177" s="303"/>
    </row>
    <row r="178" spans="1:9" ht="15.75">
      <c r="A178" s="303"/>
      <c r="B178" s="303"/>
      <c r="C178" s="303"/>
      <c r="D178" s="303"/>
      <c r="E178" s="303"/>
      <c r="F178" s="303"/>
      <c r="G178" s="303"/>
      <c r="H178" s="303"/>
      <c r="I178" s="303"/>
    </row>
    <row r="179" spans="1:9" ht="15.75">
      <c r="A179" s="303"/>
      <c r="B179" s="303"/>
      <c r="C179" s="303"/>
      <c r="D179" s="303"/>
      <c r="E179" s="303"/>
      <c r="F179" s="303"/>
      <c r="G179" s="303"/>
      <c r="H179" s="303"/>
      <c r="I179" s="303"/>
    </row>
    <row r="180" spans="1:9" ht="15.75">
      <c r="A180" s="303"/>
      <c r="B180" s="303"/>
      <c r="C180" s="303"/>
      <c r="D180" s="303"/>
      <c r="E180" s="303"/>
      <c r="F180" s="303"/>
      <c r="G180" s="303"/>
      <c r="H180" s="303"/>
      <c r="I180" s="303"/>
    </row>
    <row r="181" spans="1:9" ht="15.75">
      <c r="A181" s="303"/>
      <c r="B181" s="303"/>
      <c r="C181" s="303"/>
      <c r="D181" s="303"/>
      <c r="E181" s="303"/>
      <c r="F181" s="303"/>
      <c r="G181" s="303"/>
      <c r="H181" s="303"/>
      <c r="I181" s="303"/>
    </row>
    <row r="182" spans="1:9" ht="15.75">
      <c r="A182" s="303"/>
      <c r="B182" s="303"/>
      <c r="C182" s="303"/>
      <c r="D182" s="303"/>
      <c r="E182" s="303"/>
      <c r="F182" s="303"/>
      <c r="G182" s="303"/>
      <c r="H182" s="303"/>
      <c r="I182" s="303"/>
    </row>
    <row r="183" spans="1:9" ht="15.75">
      <c r="A183" s="303"/>
      <c r="B183" s="303"/>
      <c r="C183" s="303"/>
      <c r="D183" s="303"/>
      <c r="E183" s="303"/>
      <c r="F183" s="303"/>
      <c r="G183" s="303"/>
      <c r="H183" s="303"/>
      <c r="I183" s="303"/>
    </row>
    <row r="184" spans="1:9" ht="15.75">
      <c r="A184" s="303"/>
      <c r="B184" s="303"/>
      <c r="C184" s="303"/>
      <c r="D184" s="303"/>
      <c r="E184" s="303"/>
      <c r="F184" s="303"/>
      <c r="G184" s="303"/>
      <c r="H184" s="303"/>
      <c r="I184" s="303"/>
    </row>
    <row r="185" spans="1:9" ht="15.75">
      <c r="A185" s="303"/>
      <c r="B185" s="303"/>
      <c r="C185" s="303"/>
      <c r="D185" s="303"/>
      <c r="E185" s="303"/>
      <c r="F185" s="303"/>
      <c r="G185" s="303"/>
      <c r="H185" s="303"/>
      <c r="I185" s="303"/>
    </row>
    <row r="186" spans="1:9" ht="15.75">
      <c r="A186" s="303"/>
      <c r="B186" s="303"/>
      <c r="C186" s="303"/>
      <c r="D186" s="303"/>
      <c r="E186" s="303"/>
      <c r="F186" s="303"/>
      <c r="G186" s="303"/>
      <c r="H186" s="303"/>
      <c r="I186" s="303"/>
    </row>
    <row r="187" spans="1:9" ht="15.75">
      <c r="A187" s="303"/>
      <c r="B187" s="303"/>
      <c r="C187" s="303"/>
      <c r="D187" s="303"/>
      <c r="E187" s="303"/>
      <c r="F187" s="303"/>
      <c r="G187" s="303"/>
      <c r="H187" s="303"/>
      <c r="I187" s="303"/>
    </row>
    <row r="188" spans="1:9" ht="15.75">
      <c r="A188" s="303"/>
      <c r="B188" s="303"/>
      <c r="C188" s="303"/>
      <c r="D188" s="303"/>
      <c r="E188" s="303"/>
      <c r="F188" s="303"/>
      <c r="G188" s="303"/>
      <c r="H188" s="303"/>
      <c r="I188" s="303"/>
    </row>
    <row r="189" spans="1:9" ht="15.75">
      <c r="A189" s="303"/>
      <c r="B189" s="303"/>
      <c r="C189" s="303"/>
      <c r="D189" s="303"/>
      <c r="E189" s="303"/>
      <c r="F189" s="303"/>
      <c r="G189" s="303"/>
      <c r="H189" s="303"/>
      <c r="I189" s="303"/>
    </row>
    <row r="190" spans="1:9" ht="15.75">
      <c r="A190" s="303"/>
      <c r="B190" s="303"/>
      <c r="C190" s="303"/>
      <c r="D190" s="303"/>
      <c r="E190" s="303"/>
      <c r="F190" s="303"/>
      <c r="G190" s="303"/>
      <c r="H190" s="303"/>
      <c r="I190" s="303"/>
    </row>
    <row r="191" spans="1:9" ht="15.75">
      <c r="A191" s="303"/>
      <c r="B191" s="303"/>
      <c r="C191" s="303"/>
      <c r="D191" s="303"/>
      <c r="E191" s="303"/>
      <c r="F191" s="303"/>
      <c r="G191" s="303"/>
      <c r="H191" s="303"/>
      <c r="I191" s="303"/>
    </row>
    <row r="192" spans="1:9" ht="15.75">
      <c r="A192" s="303"/>
      <c r="B192" s="303"/>
      <c r="C192" s="303"/>
      <c r="D192" s="303"/>
      <c r="E192" s="303"/>
      <c r="F192" s="303"/>
      <c r="G192" s="303"/>
      <c r="H192" s="303"/>
      <c r="I192" s="303"/>
    </row>
    <row r="193" spans="1:9" ht="15.75">
      <c r="A193" s="303"/>
      <c r="B193" s="303"/>
      <c r="C193" s="303"/>
      <c r="D193" s="303"/>
      <c r="E193" s="303"/>
      <c r="F193" s="303"/>
      <c r="G193" s="303"/>
      <c r="H193" s="303"/>
      <c r="I193" s="303"/>
    </row>
    <row r="194" spans="1:9" ht="15.75">
      <c r="A194" s="303"/>
      <c r="B194" s="303"/>
      <c r="C194" s="303"/>
      <c r="D194" s="303"/>
      <c r="E194" s="303"/>
      <c r="F194" s="303"/>
      <c r="G194" s="303"/>
      <c r="H194" s="303"/>
      <c r="I194" s="303"/>
    </row>
    <row r="195" spans="1:9" ht="15.75">
      <c r="A195" s="303"/>
      <c r="B195" s="303"/>
      <c r="C195" s="303"/>
      <c r="D195" s="303"/>
      <c r="E195" s="303"/>
      <c r="F195" s="303"/>
      <c r="G195" s="303"/>
      <c r="H195" s="303"/>
      <c r="I195" s="303"/>
    </row>
    <row r="196" spans="1:9" ht="15.75">
      <c r="A196" s="303"/>
      <c r="B196" s="303"/>
      <c r="C196" s="303"/>
      <c r="D196" s="303"/>
      <c r="E196" s="303"/>
      <c r="F196" s="303"/>
      <c r="G196" s="303"/>
      <c r="H196" s="303"/>
      <c r="I196" s="303"/>
    </row>
    <row r="197" spans="1:9" ht="15.75">
      <c r="A197" s="303"/>
      <c r="B197" s="303"/>
      <c r="C197" s="303"/>
      <c r="D197" s="303"/>
      <c r="E197" s="303"/>
      <c r="F197" s="303"/>
      <c r="G197" s="303"/>
      <c r="H197" s="303"/>
      <c r="I197" s="303"/>
    </row>
    <row r="198" spans="1:9" ht="15.75">
      <c r="A198" s="303"/>
      <c r="B198" s="303"/>
      <c r="C198" s="303"/>
      <c r="D198" s="303"/>
      <c r="E198" s="303"/>
      <c r="F198" s="303"/>
      <c r="G198" s="303"/>
      <c r="H198" s="303"/>
      <c r="I198" s="303"/>
    </row>
    <row r="199" spans="1:9" ht="15.75">
      <c r="A199" s="303"/>
      <c r="B199" s="303"/>
      <c r="C199" s="303"/>
      <c r="D199" s="303"/>
      <c r="E199" s="303"/>
      <c r="F199" s="303"/>
      <c r="G199" s="303"/>
      <c r="H199" s="303"/>
      <c r="I199" s="303"/>
    </row>
    <row r="200" spans="1:9" ht="15.75">
      <c r="A200" s="303"/>
      <c r="B200" s="303"/>
      <c r="C200" s="303"/>
      <c r="D200" s="303"/>
      <c r="E200" s="303"/>
      <c r="F200" s="303"/>
      <c r="G200" s="303"/>
      <c r="H200" s="303"/>
      <c r="I200" s="303"/>
    </row>
  </sheetData>
  <mergeCells count="4">
    <mergeCell ref="A2:A3"/>
    <mergeCell ref="B2:B3"/>
    <mergeCell ref="C2:F2"/>
    <mergeCell ref="G2:H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Q61"/>
  <sheetViews>
    <sheetView showGridLines="0" workbookViewId="0">
      <selection activeCell="E7" sqref="E7"/>
    </sheetView>
  </sheetViews>
  <sheetFormatPr defaultRowHeight="15"/>
  <cols>
    <col min="1" max="1" width="23.42578125" style="352" customWidth="1"/>
    <col min="2" max="3" width="9.140625" style="352"/>
    <col min="4" max="4" width="16.7109375" style="352" bestFit="1" customWidth="1"/>
    <col min="5" max="5" width="20" style="352" customWidth="1"/>
    <col min="6" max="6" width="9.140625" style="352"/>
    <col min="7" max="7" width="17.7109375" style="352" bestFit="1" customWidth="1"/>
    <col min="8" max="8" width="13.85546875" style="352" customWidth="1"/>
    <col min="9" max="16384" width="9.140625" style="352"/>
  </cols>
  <sheetData>
    <row r="1" spans="1:11" ht="44.25" customHeight="1"/>
    <row r="2" spans="1:11">
      <c r="A2" s="656" t="s">
        <v>714</v>
      </c>
      <c r="B2" s="657"/>
      <c r="C2" s="657"/>
      <c r="D2" s="657"/>
      <c r="E2" s="657"/>
      <c r="F2" s="657"/>
      <c r="G2" s="657"/>
      <c r="H2" s="657"/>
      <c r="I2" s="657"/>
      <c r="J2" s="657"/>
      <c r="K2" s="658"/>
    </row>
    <row r="3" spans="1:11">
      <c r="A3" s="659"/>
      <c r="B3" s="660"/>
      <c r="C3" s="660"/>
      <c r="D3" s="660"/>
      <c r="E3" s="660"/>
      <c r="F3" s="660"/>
      <c r="G3" s="660"/>
      <c r="H3" s="660"/>
      <c r="I3" s="660"/>
      <c r="J3" s="660"/>
      <c r="K3" s="661"/>
    </row>
    <row r="4" spans="1:11" ht="20.25">
      <c r="A4" s="662" t="s">
        <v>174</v>
      </c>
      <c r="B4" s="353"/>
      <c r="C4" s="354"/>
      <c r="D4" s="354"/>
      <c r="E4" s="354"/>
      <c r="F4" s="354"/>
      <c r="G4" s="354"/>
      <c r="H4" s="354"/>
      <c r="I4" s="354"/>
      <c r="J4" s="354"/>
      <c r="K4" s="355"/>
    </row>
    <row r="5" spans="1:11" ht="21" customHeight="1">
      <c r="A5" s="662"/>
      <c r="B5" s="356"/>
      <c r="C5" s="357"/>
      <c r="D5" s="358" t="s">
        <v>701</v>
      </c>
      <c r="E5" s="655" t="s">
        <v>736</v>
      </c>
      <c r="F5" s="655"/>
      <c r="G5" s="354"/>
      <c r="H5" s="663" t="s">
        <v>715</v>
      </c>
      <c r="I5" s="663"/>
      <c r="J5" s="664"/>
      <c r="K5" s="664"/>
    </row>
    <row r="6" spans="1:11" ht="20.25">
      <c r="A6" s="662"/>
      <c r="B6" s="356"/>
      <c r="C6" s="357"/>
      <c r="D6" s="357"/>
      <c r="E6" s="354"/>
      <c r="F6" s="354"/>
      <c r="G6" s="354"/>
      <c r="H6" s="354"/>
      <c r="I6" s="354"/>
      <c r="J6" s="354"/>
      <c r="K6" s="355"/>
    </row>
    <row r="7" spans="1:11" ht="21" customHeight="1">
      <c r="A7" s="662"/>
      <c r="B7" s="356"/>
      <c r="C7" s="357"/>
      <c r="D7" s="358" t="s">
        <v>716</v>
      </c>
      <c r="E7" s="351"/>
      <c r="F7" s="359"/>
      <c r="G7" s="354"/>
      <c r="H7" s="354"/>
      <c r="I7" s="354"/>
      <c r="J7" s="354"/>
      <c r="K7" s="355"/>
    </row>
    <row r="8" spans="1:11" ht="20.25">
      <c r="A8" s="360"/>
      <c r="B8" s="361"/>
      <c r="C8" s="362"/>
      <c r="D8" s="363"/>
      <c r="E8" s="364"/>
      <c r="F8" s="364"/>
      <c r="G8" s="365"/>
      <c r="H8" s="365"/>
      <c r="I8" s="365"/>
      <c r="J8" s="365"/>
      <c r="K8" s="366"/>
    </row>
    <row r="9" spans="1:11" ht="20.25">
      <c r="A9" s="665" t="s">
        <v>695</v>
      </c>
      <c r="B9" s="367"/>
      <c r="C9" s="368"/>
      <c r="D9" s="369"/>
      <c r="E9" s="370"/>
      <c r="F9" s="370"/>
      <c r="G9" s="371"/>
      <c r="H9" s="371"/>
      <c r="I9" s="371"/>
      <c r="J9" s="371"/>
      <c r="K9" s="372"/>
    </row>
    <row r="10" spans="1:11" ht="21" customHeight="1">
      <c r="A10" s="666"/>
      <c r="B10" s="373"/>
      <c r="C10" s="374"/>
      <c r="D10" s="375" t="s">
        <v>717</v>
      </c>
      <c r="E10" s="296"/>
      <c r="F10" s="376"/>
      <c r="G10" s="377" t="s">
        <v>718</v>
      </c>
      <c r="H10" s="296"/>
      <c r="I10" s="376"/>
      <c r="J10" s="376"/>
      <c r="K10" s="378"/>
    </row>
    <row r="11" spans="1:11" ht="20.25">
      <c r="A11" s="666"/>
      <c r="B11" s="373"/>
      <c r="C11" s="374"/>
      <c r="D11" s="374"/>
      <c r="E11" s="376"/>
      <c r="F11" s="376"/>
      <c r="G11" s="376"/>
      <c r="H11" s="376"/>
      <c r="I11" s="376"/>
      <c r="J11" s="376"/>
      <c r="K11" s="378"/>
    </row>
    <row r="12" spans="1:11" ht="21" customHeight="1">
      <c r="A12" s="666"/>
      <c r="B12" s="373"/>
      <c r="C12" s="374"/>
      <c r="D12" s="377" t="s">
        <v>719</v>
      </c>
      <c r="E12" s="296"/>
      <c r="F12" s="376"/>
      <c r="G12" s="377" t="s">
        <v>722</v>
      </c>
      <c r="H12" s="296"/>
      <c r="I12" s="376"/>
      <c r="J12" s="376"/>
      <c r="K12" s="378"/>
    </row>
    <row r="13" spans="1:11" ht="20.25">
      <c r="A13" s="667"/>
      <c r="B13" s="379"/>
      <c r="C13" s="380"/>
      <c r="D13" s="380"/>
      <c r="E13" s="381"/>
      <c r="F13" s="381"/>
      <c r="G13" s="381"/>
      <c r="H13" s="381"/>
      <c r="I13" s="381"/>
      <c r="J13" s="381"/>
      <c r="K13" s="382"/>
    </row>
    <row r="14" spans="1:11" ht="20.25">
      <c r="A14" s="652" t="s">
        <v>668</v>
      </c>
      <c r="B14" s="383"/>
      <c r="C14" s="384"/>
      <c r="D14" s="385"/>
      <c r="E14" s="386"/>
      <c r="F14" s="386"/>
      <c r="G14" s="387"/>
      <c r="H14" s="387"/>
      <c r="I14" s="387"/>
      <c r="J14" s="387"/>
      <c r="K14" s="388"/>
    </row>
    <row r="15" spans="1:11" ht="21" customHeight="1">
      <c r="A15" s="653"/>
      <c r="B15" s="356"/>
      <c r="C15" s="357"/>
      <c r="D15" s="358" t="s">
        <v>720</v>
      </c>
      <c r="E15" s="297"/>
      <c r="F15" s="354"/>
      <c r="G15" s="389" t="s">
        <v>721</v>
      </c>
      <c r="H15" s="297"/>
      <c r="I15" s="354"/>
      <c r="J15" s="354"/>
      <c r="K15" s="355"/>
    </row>
    <row r="16" spans="1:11" ht="20.25">
      <c r="A16" s="653"/>
      <c r="B16" s="356"/>
      <c r="C16" s="357"/>
      <c r="D16" s="358"/>
      <c r="E16" s="390"/>
      <c r="F16" s="354"/>
      <c r="G16" s="389"/>
      <c r="H16" s="390"/>
      <c r="I16" s="354"/>
      <c r="J16" s="354"/>
      <c r="K16" s="355"/>
    </row>
    <row r="17" spans="1:11" ht="20.25">
      <c r="A17" s="654"/>
      <c r="B17" s="391"/>
      <c r="C17" s="392"/>
      <c r="D17" s="393"/>
      <c r="E17" s="394"/>
      <c r="F17" s="394"/>
      <c r="G17" s="394"/>
      <c r="H17" s="394"/>
      <c r="I17" s="394"/>
      <c r="J17" s="394"/>
      <c r="K17" s="395"/>
    </row>
    <row r="61" spans="2:17" ht="409.5">
      <c r="B61" s="396" t="s">
        <v>713</v>
      </c>
      <c r="C61" s="396" t="s">
        <v>713</v>
      </c>
      <c r="D61" s="396" t="s">
        <v>713</v>
      </c>
      <c r="E61" s="396" t="s">
        <v>713</v>
      </c>
      <c r="F61" s="396" t="s">
        <v>713</v>
      </c>
      <c r="G61" s="396" t="s">
        <v>713</v>
      </c>
      <c r="H61" s="396" t="s">
        <v>713</v>
      </c>
      <c r="I61" s="396" t="s">
        <v>713</v>
      </c>
      <c r="J61" s="396" t="s">
        <v>713</v>
      </c>
      <c r="K61" s="396" t="s">
        <v>713</v>
      </c>
      <c r="L61" s="396" t="s">
        <v>713</v>
      </c>
      <c r="M61" s="396" t="s">
        <v>713</v>
      </c>
      <c r="N61" s="396" t="s">
        <v>713</v>
      </c>
      <c r="O61" s="396" t="s">
        <v>713</v>
      </c>
      <c r="P61" s="396" t="s">
        <v>713</v>
      </c>
      <c r="Q61" s="396" t="s">
        <v>713</v>
      </c>
    </row>
  </sheetData>
  <sheetProtection sheet="1" objects="1" scenarios="1" selectLockedCells="1"/>
  <dataConsolidate/>
  <mergeCells count="7">
    <mergeCell ref="A14:A17"/>
    <mergeCell ref="E5:F5"/>
    <mergeCell ref="A2:K3"/>
    <mergeCell ref="A4:A7"/>
    <mergeCell ref="H5:I5"/>
    <mergeCell ref="J5:K5"/>
    <mergeCell ref="A9:A13"/>
  </mergeCells>
  <dataValidations count="1">
    <dataValidation type="custom" allowBlank="1" showInputMessage="1" showErrorMessage="1" errorTitle="Ngay thang khong hop le" error="Xin nhap ngay thang hop le" sqref="E7">
      <formula1>AND(E7&lt;=TODAY(), E7&lt;=G7)</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5843" r:id="rId4" name="ComboBox1">
          <controlPr defaultSize="0" print="0" autoLine="0" r:id="rId5">
            <anchor moveWithCells="1">
              <from>
                <xdr:col>9</xdr:col>
                <xdr:colOff>9525</xdr:colOff>
                <xdr:row>4</xdr:row>
                <xdr:rowOff>0</xdr:rowOff>
              </from>
              <to>
                <xdr:col>11</xdr:col>
                <xdr:colOff>0</xdr:colOff>
                <xdr:row>4</xdr:row>
                <xdr:rowOff>257175</xdr:rowOff>
              </to>
            </anchor>
          </controlPr>
        </control>
      </mc:Choice>
      <mc:Fallback>
        <control shapeId="35843" r:id="rId4" name="ComboBox1"/>
      </mc:Fallback>
    </mc:AlternateContent>
  </controls>
  <extLst>
    <ext xmlns:x14="http://schemas.microsoft.com/office/spreadsheetml/2009/9/main" uri="{CCE6A557-97BC-4b89-ADB6-D9C93CAAB3DF}">
      <x14:dataValidations xmlns:xm="http://schemas.microsoft.com/office/excel/2006/main" count="7">
        <x14:dataValidation type="list" operator="greaterThanOrEqual" allowBlank="1" showInputMessage="1" showErrorMessage="1" errorTitle="Lỗi nhập dữ liệu" error="Chỉ được nhập dữ liệu dạng số">
          <x14:formula1>
            <xm:f>OFFSET('G:\DOC\[Quan_ly_DV.xlsm.xlsm]DSDV'!#REF!,0,0,COUNTA('G:\DOC\[Quan_ly_DV.xlsm.xlsm]DSDV'!#REF!))</xm:f>
          </x14:formula1>
          <xm:sqref>J5</xm:sqref>
        </x14:dataValidation>
        <x14:dataValidation type="list" operator="greaterThanOrEqual" allowBlank="1" showInputMessage="1" showErrorMessage="1" errorTitle="Lỗi nhập dữ liệu" error="Chỉ được nhập dữ liệu dạng số">
          <x14:formula1>
            <xm:f>OFFSET(ThietLap!$C$26,0,0,COUNTA(ThietLap!$C$26:$C$36))</xm:f>
          </x14:formula1>
          <xm:sqref>E10</xm:sqref>
        </x14:dataValidation>
        <x14:dataValidation type="list" allowBlank="1" showInputMessage="1" showErrorMessage="1">
          <x14:formula1>
            <xm:f>OFFSET(ThietLap!$D$26,0,0,COUNTA(ThietLap!$D$26:$D$36))</xm:f>
          </x14:formula1>
          <xm:sqref>H10</xm:sqref>
        </x14:dataValidation>
        <x14:dataValidation type="list" operator="greaterThanOrEqual" allowBlank="1" showInputMessage="1" showErrorMessage="1" errorTitle="Lỗi nhập dữ liệu" error="Chỉ được nhập dữ liệu dạng số">
          <x14:formula1>
            <xm:f>OFFSET(ThietLap!$E$26,0,0,COUNTA(ThietLap!$E$26:$E$36))</xm:f>
          </x14:formula1>
          <xm:sqref>E12</xm:sqref>
        </x14:dataValidation>
        <x14:dataValidation type="list" allowBlank="1" showInputMessage="1" showErrorMessage="1">
          <x14:formula1>
            <xm:f>OFFSET(ThietLap!$F$26,0,0,COUNTA(ThietLap!$F$26:$F$36))</xm:f>
          </x14:formula1>
          <xm:sqref>H12</xm:sqref>
        </x14:dataValidation>
        <x14:dataValidation type="list" operator="greaterThanOrEqual" allowBlank="1" showInputMessage="1" showErrorMessage="1" errorTitle="Lỗi nhập dữ liệu" error="Chỉ được nhập dữ liệu dạng số">
          <x14:formula1>
            <xm:f>OFFSET(ThietLap!$G$26,0,0,COUNTA(ThietLap!$G$26:$G$36))</xm:f>
          </x14:formula1>
          <xm:sqref>E15</xm:sqref>
        </x14:dataValidation>
        <x14:dataValidation type="list" allowBlank="1" showInputMessage="1" showErrorMessage="1">
          <x14:formula1>
            <xm:f>OFFSET(ThietLap!$H$26,0,0,COUNTA(ThietLap!$H$26:$H$36))</xm:f>
          </x14:formula1>
          <xm:sqref>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5"/>
  <sheetViews>
    <sheetView showGridLines="0" topLeftCell="C1" workbookViewId="0">
      <selection activeCell="D15" sqref="D15"/>
    </sheetView>
  </sheetViews>
  <sheetFormatPr defaultColWidth="9.140625" defaultRowHeight="15"/>
  <cols>
    <col min="1" max="1" width="5.42578125" style="1" hidden="1" customWidth="1"/>
    <col min="2" max="2" width="22" style="1" hidden="1" customWidth="1"/>
    <col min="3" max="3" width="13.28515625" style="1" bestFit="1" customWidth="1"/>
    <col min="4" max="4" width="17.28515625" style="1" customWidth="1"/>
    <col min="5" max="5" width="17" style="1" customWidth="1"/>
    <col min="6" max="6" width="14" style="1" customWidth="1"/>
    <col min="7" max="7" width="12.7109375" style="1" bestFit="1" customWidth="1"/>
    <col min="8" max="8" width="10.140625" style="1" customWidth="1"/>
    <col min="9" max="9" width="16.85546875" style="1" customWidth="1"/>
    <col min="10" max="10" width="16.85546875" style="1" hidden="1" customWidth="1"/>
    <col min="11" max="17" width="10.140625" style="1" hidden="1" customWidth="1"/>
    <col min="18" max="18" width="0" style="1" hidden="1" customWidth="1"/>
    <col min="19" max="19" width="24.140625" style="1" customWidth="1"/>
    <col min="20" max="20" width="32.140625" style="1" customWidth="1"/>
    <col min="21" max="21" width="25.85546875" style="1" customWidth="1"/>
    <col min="22" max="22" width="16.28515625" style="1" customWidth="1"/>
    <col min="23" max="23" width="17.5703125" style="1" customWidth="1"/>
    <col min="24" max="24" width="13.85546875" style="1" customWidth="1"/>
    <col min="25" max="25" width="14.140625" style="1" customWidth="1"/>
    <col min="26" max="26" width="11.5703125" style="1" customWidth="1"/>
    <col min="27" max="16384" width="9.140625" style="1"/>
  </cols>
  <sheetData>
    <row r="1" spans="1:27" ht="21" customHeight="1">
      <c r="A1" s="670"/>
      <c r="B1" s="670"/>
      <c r="C1" s="670"/>
      <c r="D1" s="670"/>
      <c r="E1" s="670"/>
      <c r="F1" s="670"/>
      <c r="G1" s="670"/>
      <c r="H1" s="670"/>
      <c r="I1" s="670"/>
      <c r="J1" s="670"/>
      <c r="K1" s="670"/>
      <c r="L1" s="670"/>
      <c r="M1" s="670"/>
      <c r="N1" s="670"/>
      <c r="O1" s="670"/>
      <c r="P1" s="670"/>
      <c r="Q1" s="670"/>
      <c r="R1" s="16"/>
      <c r="S1" s="94" t="s">
        <v>87</v>
      </c>
      <c r="T1" s="95" t="s">
        <v>109</v>
      </c>
      <c r="U1" s="89" t="s">
        <v>114</v>
      </c>
      <c r="V1" s="273" t="s">
        <v>132</v>
      </c>
      <c r="W1" s="278" t="s">
        <v>696</v>
      </c>
      <c r="X1" s="277" t="s">
        <v>93</v>
      </c>
      <c r="Y1" s="277" t="s">
        <v>147</v>
      </c>
      <c r="Z1" s="292" t="s">
        <v>160</v>
      </c>
      <c r="AA1" s="273" t="s">
        <v>702</v>
      </c>
    </row>
    <row r="2" spans="1:27" ht="19.149999999999999" customHeight="1">
      <c r="A2" s="672"/>
      <c r="B2" s="670"/>
      <c r="C2" s="675"/>
      <c r="D2" s="673"/>
      <c r="E2" s="674"/>
      <c r="F2" s="674"/>
      <c r="G2" s="674"/>
      <c r="H2" s="674"/>
      <c r="I2" s="674"/>
      <c r="J2" s="674"/>
      <c r="K2" s="674"/>
      <c r="L2" s="674"/>
      <c r="M2" s="674"/>
      <c r="N2" s="674"/>
      <c r="O2" s="674"/>
      <c r="P2" s="668"/>
      <c r="Q2" s="668"/>
      <c r="R2" s="16"/>
      <c r="S2" s="91" t="s">
        <v>219</v>
      </c>
      <c r="T2" s="96" t="s">
        <v>110</v>
      </c>
      <c r="U2" s="99" t="s">
        <v>532</v>
      </c>
      <c r="V2" s="276" t="s">
        <v>491</v>
      </c>
      <c r="W2" s="279" t="s">
        <v>697</v>
      </c>
      <c r="X2" s="279" t="s">
        <v>151</v>
      </c>
      <c r="Y2" s="279" t="s">
        <v>148</v>
      </c>
      <c r="Z2" s="293" t="s">
        <v>151</v>
      </c>
      <c r="AA2" s="295" t="s">
        <v>703</v>
      </c>
    </row>
    <row r="3" spans="1:27" ht="19.149999999999999" customHeight="1">
      <c r="A3" s="672"/>
      <c r="B3" s="670"/>
      <c r="C3" s="676"/>
      <c r="D3" s="22"/>
      <c r="E3" s="22"/>
      <c r="F3" s="22"/>
      <c r="G3" s="22"/>
      <c r="H3" s="22"/>
      <c r="I3" s="22"/>
      <c r="J3" s="22"/>
      <c r="K3" s="22"/>
      <c r="L3" s="22"/>
      <c r="M3" s="22"/>
      <c r="N3" s="22"/>
      <c r="O3" s="23"/>
      <c r="P3" s="24"/>
      <c r="Q3" s="24"/>
      <c r="R3" s="16"/>
      <c r="S3" s="91" t="s">
        <v>40</v>
      </c>
      <c r="T3" s="97" t="s">
        <v>97</v>
      </c>
      <c r="U3" s="99" t="s">
        <v>533</v>
      </c>
      <c r="V3" s="276" t="s">
        <v>492</v>
      </c>
      <c r="W3" s="279" t="s">
        <v>698</v>
      </c>
      <c r="X3" s="279" t="s">
        <v>152</v>
      </c>
      <c r="Y3" s="279" t="s">
        <v>15</v>
      </c>
      <c r="Z3" s="293" t="s">
        <v>152</v>
      </c>
      <c r="AA3" s="295" t="s">
        <v>704</v>
      </c>
    </row>
    <row r="4" spans="1:27" ht="19.149999999999999" customHeight="1">
      <c r="A4" s="25"/>
      <c r="B4" s="26"/>
      <c r="C4" s="25"/>
      <c r="D4" s="25"/>
      <c r="E4" s="25"/>
      <c r="F4" s="25"/>
      <c r="G4" s="25"/>
      <c r="H4" s="25"/>
      <c r="I4" s="25"/>
      <c r="J4" s="25"/>
      <c r="K4" s="25"/>
      <c r="L4" s="25"/>
      <c r="M4" s="25"/>
      <c r="N4" s="25"/>
      <c r="O4" s="27"/>
      <c r="P4" s="24"/>
      <c r="Q4" s="24"/>
      <c r="R4" s="16"/>
      <c r="S4" s="91" t="s">
        <v>41</v>
      </c>
      <c r="T4" s="97" t="s">
        <v>98</v>
      </c>
      <c r="U4" s="99" t="s">
        <v>534</v>
      </c>
      <c r="V4" s="276" t="s">
        <v>134</v>
      </c>
      <c r="W4" s="279" t="s">
        <v>699</v>
      </c>
      <c r="X4" s="279" t="s">
        <v>4</v>
      </c>
      <c r="Y4" s="279" t="s">
        <v>149</v>
      </c>
      <c r="Z4" s="293" t="s">
        <v>4</v>
      </c>
      <c r="AA4" s="295" t="s">
        <v>705</v>
      </c>
    </row>
    <row r="5" spans="1:27" ht="19.149999999999999" customHeight="1">
      <c r="A5" s="25"/>
      <c r="B5" s="26"/>
      <c r="C5" s="25"/>
      <c r="D5" s="25"/>
      <c r="E5" s="25"/>
      <c r="F5" s="25"/>
      <c r="G5" s="25"/>
      <c r="H5" s="25"/>
      <c r="I5" s="25"/>
      <c r="J5" s="25"/>
      <c r="K5" s="25"/>
      <c r="L5" s="25"/>
      <c r="M5" s="25"/>
      <c r="N5" s="25"/>
      <c r="O5" s="27"/>
      <c r="P5" s="24"/>
      <c r="Q5" s="24"/>
      <c r="R5" s="16"/>
      <c r="S5" s="91" t="s">
        <v>223</v>
      </c>
      <c r="T5" s="97" t="s">
        <v>99</v>
      </c>
      <c r="U5" s="99" t="s">
        <v>541</v>
      </c>
      <c r="V5" s="276" t="s">
        <v>133</v>
      </c>
      <c r="W5" s="279" t="s">
        <v>700</v>
      </c>
      <c r="X5" s="279" t="s">
        <v>153</v>
      </c>
      <c r="Y5" s="279" t="s">
        <v>150</v>
      </c>
      <c r="Z5" s="293" t="s">
        <v>153</v>
      </c>
      <c r="AA5" s="295" t="s">
        <v>706</v>
      </c>
    </row>
    <row r="6" spans="1:27" ht="19.149999999999999" customHeight="1">
      <c r="A6" s="25"/>
      <c r="B6" s="26"/>
      <c r="C6" s="25"/>
      <c r="D6" s="25"/>
      <c r="E6" s="25"/>
      <c r="F6" s="25"/>
      <c r="G6" s="25"/>
      <c r="H6" s="25"/>
      <c r="I6" s="25"/>
      <c r="J6" s="25"/>
      <c r="K6" s="25"/>
      <c r="L6" s="25"/>
      <c r="M6" s="25"/>
      <c r="N6" s="25"/>
      <c r="O6" s="27"/>
      <c r="P6" s="24"/>
      <c r="Q6" s="24"/>
      <c r="R6" s="16"/>
      <c r="S6" s="91" t="s">
        <v>42</v>
      </c>
      <c r="T6" s="97" t="s">
        <v>100</v>
      </c>
      <c r="U6" s="99" t="s">
        <v>535</v>
      </c>
      <c r="V6" s="276" t="s">
        <v>493</v>
      </c>
      <c r="W6" s="279"/>
      <c r="X6" s="279" t="s">
        <v>15</v>
      </c>
      <c r="Y6" s="280"/>
      <c r="Z6" s="293" t="s">
        <v>15</v>
      </c>
      <c r="AA6" s="295" t="s">
        <v>707</v>
      </c>
    </row>
    <row r="7" spans="1:27" ht="19.149999999999999" customHeight="1">
      <c r="A7" s="16"/>
      <c r="B7" s="16"/>
      <c r="C7" s="16"/>
      <c r="D7" s="16"/>
      <c r="E7" s="16"/>
      <c r="F7" s="16"/>
      <c r="G7" s="16"/>
      <c r="H7" s="16"/>
      <c r="I7" s="16"/>
      <c r="J7" s="16"/>
      <c r="K7" s="16"/>
      <c r="L7" s="16"/>
      <c r="M7" s="16"/>
      <c r="N7" s="16"/>
      <c r="O7" s="16"/>
      <c r="P7" s="16"/>
      <c r="Q7" s="16"/>
      <c r="R7" s="16"/>
      <c r="S7" s="91" t="s">
        <v>224</v>
      </c>
      <c r="T7" s="97" t="s">
        <v>101</v>
      </c>
      <c r="U7" s="99" t="s">
        <v>542</v>
      </c>
      <c r="V7" s="276" t="s">
        <v>135</v>
      </c>
      <c r="W7" s="280"/>
      <c r="X7" s="280"/>
      <c r="Y7" s="280"/>
      <c r="Z7" s="294"/>
      <c r="AA7" s="295" t="s">
        <v>708</v>
      </c>
    </row>
    <row r="8" spans="1:27" ht="19.149999999999999" customHeight="1">
      <c r="A8" s="671" t="s">
        <v>115</v>
      </c>
      <c r="B8" s="671"/>
      <c r="C8" s="115" t="s">
        <v>163</v>
      </c>
      <c r="D8" s="102" t="s">
        <v>92</v>
      </c>
      <c r="E8" s="102" t="s">
        <v>126</v>
      </c>
      <c r="F8" s="101" t="s">
        <v>132</v>
      </c>
      <c r="G8" s="101" t="s">
        <v>93</v>
      </c>
      <c r="H8" s="61" t="s">
        <v>147</v>
      </c>
      <c r="I8" s="110" t="s">
        <v>160</v>
      </c>
      <c r="J8" s="677"/>
      <c r="K8" s="677"/>
      <c r="L8" s="16"/>
      <c r="M8" s="669"/>
      <c r="N8" s="669"/>
      <c r="O8" s="669"/>
      <c r="P8" s="16"/>
      <c r="Q8" s="16"/>
      <c r="R8" s="16"/>
      <c r="S8" s="91" t="s">
        <v>225</v>
      </c>
      <c r="T8" s="97" t="s">
        <v>102</v>
      </c>
      <c r="U8" s="99" t="s">
        <v>536</v>
      </c>
      <c r="V8" s="276" t="s">
        <v>250</v>
      </c>
      <c r="W8" s="280"/>
      <c r="X8" s="280"/>
      <c r="Y8" s="280"/>
      <c r="Z8" s="294"/>
      <c r="AA8" s="295" t="s">
        <v>709</v>
      </c>
    </row>
    <row r="9" spans="1:27" ht="19.149999999999999" customHeight="1">
      <c r="A9" s="84">
        <v>1</v>
      </c>
      <c r="B9" s="30" t="s">
        <v>11</v>
      </c>
      <c r="C9" s="114" t="s">
        <v>6</v>
      </c>
      <c r="D9" s="103" t="s">
        <v>120</v>
      </c>
      <c r="E9" s="103" t="s">
        <v>127</v>
      </c>
      <c r="F9" s="14" t="s">
        <v>491</v>
      </c>
      <c r="G9" s="100" t="s">
        <v>151</v>
      </c>
      <c r="H9" s="111" t="s">
        <v>148</v>
      </c>
      <c r="I9" s="131" t="s">
        <v>151</v>
      </c>
      <c r="J9" s="60"/>
      <c r="K9" s="60"/>
      <c r="L9" s="16"/>
      <c r="M9" s="28"/>
      <c r="N9" s="28"/>
      <c r="O9" s="28"/>
      <c r="P9" s="16"/>
      <c r="Q9" s="16"/>
      <c r="R9" s="16"/>
      <c r="S9" s="91" t="s">
        <v>43</v>
      </c>
      <c r="T9" s="97" t="s">
        <v>103</v>
      </c>
      <c r="U9" s="99" t="s">
        <v>543</v>
      </c>
      <c r="AA9" s="295" t="s">
        <v>710</v>
      </c>
    </row>
    <row r="10" spans="1:27" ht="19.149999999999999" customHeight="1">
      <c r="A10" s="84">
        <v>2</v>
      </c>
      <c r="B10" s="30" t="s">
        <v>12</v>
      </c>
      <c r="C10" s="114" t="s">
        <v>7</v>
      </c>
      <c r="D10" s="104" t="s">
        <v>121</v>
      </c>
      <c r="E10" s="103" t="s">
        <v>128</v>
      </c>
      <c r="F10" s="83" t="s">
        <v>492</v>
      </c>
      <c r="G10" s="100" t="s">
        <v>152</v>
      </c>
      <c r="H10" s="111" t="s">
        <v>15</v>
      </c>
      <c r="I10" s="131" t="s">
        <v>152</v>
      </c>
      <c r="J10" s="83"/>
      <c r="K10" s="83"/>
      <c r="L10" s="16"/>
      <c r="M10" s="29"/>
      <c r="N10" s="29"/>
      <c r="O10" s="29"/>
      <c r="P10" s="16"/>
      <c r="Q10" s="16"/>
      <c r="R10" s="16"/>
      <c r="S10" s="91" t="s">
        <v>44</v>
      </c>
      <c r="T10" s="97" t="s">
        <v>104</v>
      </c>
      <c r="U10" s="99" t="s">
        <v>537</v>
      </c>
      <c r="AA10" s="295" t="s">
        <v>688</v>
      </c>
    </row>
    <row r="11" spans="1:27" ht="19.149999999999999" customHeight="1">
      <c r="A11" s="84">
        <v>3</v>
      </c>
      <c r="B11" s="30" t="s">
        <v>24</v>
      </c>
      <c r="C11" s="16"/>
      <c r="D11" s="103" t="s">
        <v>122</v>
      </c>
      <c r="E11" s="103" t="s">
        <v>129</v>
      </c>
      <c r="F11" s="83" t="s">
        <v>134</v>
      </c>
      <c r="G11" s="100" t="s">
        <v>4</v>
      </c>
      <c r="H11" s="111" t="s">
        <v>149</v>
      </c>
      <c r="I11" s="131" t="s">
        <v>4</v>
      </c>
      <c r="J11" s="83"/>
      <c r="K11" s="83"/>
      <c r="L11" s="16"/>
      <c r="M11" s="29"/>
      <c r="N11" s="29"/>
      <c r="O11" s="29"/>
      <c r="P11" s="16"/>
      <c r="Q11" s="16"/>
      <c r="R11" s="16"/>
      <c r="S11" s="91" t="s">
        <v>45</v>
      </c>
      <c r="T11" s="97" t="s">
        <v>105</v>
      </c>
      <c r="U11" s="99" t="s">
        <v>544</v>
      </c>
      <c r="AA11" s="295" t="s">
        <v>684</v>
      </c>
    </row>
    <row r="12" spans="1:27" ht="19.149999999999999" customHeight="1">
      <c r="A12" s="84">
        <v>4</v>
      </c>
      <c r="B12" s="30" t="s">
        <v>5</v>
      </c>
      <c r="C12" s="16"/>
      <c r="D12" s="103" t="s">
        <v>123</v>
      </c>
      <c r="E12" s="103" t="s">
        <v>130</v>
      </c>
      <c r="F12" s="83" t="s">
        <v>133</v>
      </c>
      <c r="G12" s="100" t="s">
        <v>153</v>
      </c>
      <c r="H12" s="111" t="s">
        <v>150</v>
      </c>
      <c r="I12" s="131" t="s">
        <v>153</v>
      </c>
      <c r="J12" s="83"/>
      <c r="K12" s="83"/>
      <c r="L12" s="16"/>
      <c r="M12" s="29"/>
      <c r="N12" s="29"/>
      <c r="O12" s="29"/>
      <c r="P12" s="16"/>
      <c r="Q12" s="16"/>
      <c r="R12" s="16"/>
      <c r="S12" s="91" t="s">
        <v>46</v>
      </c>
      <c r="T12" s="97" t="s">
        <v>106</v>
      </c>
      <c r="U12" s="99" t="s">
        <v>538</v>
      </c>
      <c r="AA12" s="295" t="s">
        <v>711</v>
      </c>
    </row>
    <row r="13" spans="1:27" ht="19.149999999999999" customHeight="1">
      <c r="A13" s="84">
        <v>5</v>
      </c>
      <c r="B13" s="30" t="s">
        <v>25</v>
      </c>
      <c r="C13" s="16"/>
      <c r="D13" s="103" t="s">
        <v>731</v>
      </c>
      <c r="E13" s="16"/>
      <c r="F13" s="83" t="s">
        <v>493</v>
      </c>
      <c r="G13" s="100" t="s">
        <v>15</v>
      </c>
      <c r="H13" s="16"/>
      <c r="I13" s="131" t="s">
        <v>15</v>
      </c>
      <c r="J13" s="83"/>
      <c r="K13" s="83"/>
      <c r="L13" s="16"/>
      <c r="M13" s="29"/>
      <c r="N13" s="29"/>
      <c r="O13" s="29"/>
      <c r="P13" s="16"/>
      <c r="Q13" s="16"/>
      <c r="R13" s="16"/>
      <c r="S13" s="91" t="s">
        <v>47</v>
      </c>
      <c r="T13" s="97" t="s">
        <v>107</v>
      </c>
      <c r="U13" s="99" t="s">
        <v>545</v>
      </c>
    </row>
    <row r="14" spans="1:27" ht="19.149999999999999" customHeight="1">
      <c r="A14" s="84">
        <v>6</v>
      </c>
      <c r="B14" s="30"/>
      <c r="C14" s="16"/>
      <c r="D14" s="103" t="s">
        <v>124</v>
      </c>
      <c r="E14" s="16"/>
      <c r="F14" s="83" t="s">
        <v>135</v>
      </c>
      <c r="G14" s="16"/>
      <c r="H14" s="16"/>
      <c r="I14" s="16"/>
      <c r="J14" s="83"/>
      <c r="K14" s="83"/>
      <c r="L14" s="16"/>
      <c r="M14" s="29"/>
      <c r="N14" s="29"/>
      <c r="O14" s="29"/>
      <c r="P14" s="16"/>
      <c r="Q14" s="16"/>
      <c r="R14" s="16"/>
      <c r="S14" s="90" t="s">
        <v>48</v>
      </c>
      <c r="T14" s="98" t="s">
        <v>108</v>
      </c>
      <c r="U14" s="99" t="s">
        <v>539</v>
      </c>
    </row>
    <row r="15" spans="1:27" ht="19.149999999999999" customHeight="1">
      <c r="A15" s="84">
        <v>7</v>
      </c>
      <c r="B15" s="30"/>
      <c r="C15" s="16"/>
      <c r="D15" s="103" t="s">
        <v>125</v>
      </c>
      <c r="E15" s="16"/>
      <c r="F15" s="165" t="s">
        <v>250</v>
      </c>
      <c r="G15" s="16"/>
      <c r="H15" s="16"/>
      <c r="I15" s="16"/>
      <c r="J15" s="83"/>
      <c r="K15" s="83"/>
      <c r="L15" s="16"/>
      <c r="M15" s="29"/>
      <c r="N15" s="29"/>
      <c r="O15" s="29"/>
      <c r="P15" s="16"/>
      <c r="Q15" s="16"/>
      <c r="R15" s="16"/>
      <c r="S15" s="90" t="s">
        <v>49</v>
      </c>
      <c r="T15" s="92"/>
      <c r="U15" s="99" t="s">
        <v>546</v>
      </c>
    </row>
    <row r="16" spans="1:27" ht="19.149999999999999" customHeight="1">
      <c r="A16" s="84">
        <v>8</v>
      </c>
      <c r="B16" s="30"/>
      <c r="C16" s="16"/>
      <c r="D16" s="16"/>
      <c r="E16" s="16"/>
      <c r="F16" s="16"/>
      <c r="G16" s="16"/>
      <c r="H16" s="16"/>
      <c r="I16" s="16"/>
      <c r="J16" s="83"/>
      <c r="K16" s="83"/>
      <c r="L16" s="16"/>
      <c r="M16" s="29"/>
      <c r="N16" s="29"/>
      <c r="O16" s="29"/>
      <c r="P16" s="16"/>
      <c r="Q16" s="16"/>
      <c r="R16" s="16"/>
      <c r="S16" s="90" t="s">
        <v>227</v>
      </c>
      <c r="T16" s="92"/>
      <c r="U16" s="99" t="s">
        <v>540</v>
      </c>
    </row>
    <row r="17" spans="1:21" ht="19.149999999999999" customHeight="1">
      <c r="A17" s="84">
        <v>9</v>
      </c>
      <c r="B17" s="30"/>
      <c r="C17" s="16"/>
      <c r="D17" s="16"/>
      <c r="E17" s="16"/>
      <c r="F17" s="16"/>
      <c r="G17" s="16"/>
      <c r="H17" s="16"/>
      <c r="I17" s="16"/>
      <c r="J17" s="83"/>
      <c r="K17" s="83"/>
      <c r="L17" s="16"/>
      <c r="M17" s="29"/>
      <c r="N17" s="29"/>
      <c r="O17" s="29"/>
      <c r="P17" s="16"/>
      <c r="Q17" s="16"/>
      <c r="R17" s="16"/>
      <c r="S17" s="90" t="s">
        <v>50</v>
      </c>
      <c r="T17" s="93"/>
      <c r="U17" s="99" t="s">
        <v>547</v>
      </c>
    </row>
    <row r="18" spans="1:21" ht="19.149999999999999" customHeight="1">
      <c r="A18" s="84">
        <v>10</v>
      </c>
      <c r="B18" s="30"/>
      <c r="C18" s="16"/>
      <c r="D18" s="680" t="s">
        <v>233</v>
      </c>
      <c r="E18" s="680"/>
      <c r="F18" s="150">
        <f ca="1">TODAY()</f>
        <v>44384</v>
      </c>
      <c r="G18" s="16"/>
      <c r="H18" s="16"/>
      <c r="I18" s="16"/>
      <c r="J18" s="83"/>
      <c r="K18" s="83"/>
      <c r="L18" s="16"/>
      <c r="M18" s="29"/>
      <c r="N18" s="29"/>
      <c r="O18" s="29"/>
      <c r="P18" s="16"/>
      <c r="Q18" s="16"/>
      <c r="R18" s="16"/>
      <c r="S18" s="90" t="s">
        <v>226</v>
      </c>
      <c r="T18" s="93"/>
      <c r="U18" s="99" t="s">
        <v>122</v>
      </c>
    </row>
    <row r="19" spans="1:21" ht="19.149999999999999" customHeight="1">
      <c r="A19" s="69"/>
      <c r="B19" s="69"/>
      <c r="C19" s="16"/>
      <c r="D19" s="16"/>
      <c r="E19" s="16"/>
      <c r="F19" s="16"/>
      <c r="G19" s="16"/>
      <c r="H19" s="16"/>
      <c r="I19" s="16"/>
      <c r="J19" s="83"/>
      <c r="K19" s="83"/>
      <c r="L19" s="16"/>
      <c r="M19" s="29"/>
      <c r="N19" s="29"/>
      <c r="O19" s="29"/>
      <c r="P19" s="16"/>
      <c r="Q19" s="16"/>
      <c r="R19" s="16"/>
      <c r="S19" s="90" t="s">
        <v>51</v>
      </c>
      <c r="T19" s="92"/>
      <c r="U19" s="93"/>
    </row>
    <row r="20" spans="1:21" ht="19.149999999999999" customHeight="1">
      <c r="A20" s="671"/>
      <c r="B20" s="671"/>
      <c r="C20" s="16"/>
      <c r="D20" s="678" t="s">
        <v>39</v>
      </c>
      <c r="E20" s="679"/>
      <c r="F20" s="72"/>
      <c r="G20" s="16"/>
      <c r="H20" s="16"/>
      <c r="I20" s="16"/>
      <c r="J20" s="83"/>
      <c r="K20" s="83"/>
      <c r="L20" s="16"/>
      <c r="M20" s="29"/>
      <c r="N20" s="29"/>
      <c r="O20" s="29"/>
      <c r="P20" s="16"/>
      <c r="Q20" s="16"/>
      <c r="R20" s="16"/>
      <c r="S20" s="90" t="s">
        <v>52</v>
      </c>
      <c r="T20" s="92"/>
      <c r="U20" s="93"/>
    </row>
    <row r="21" spans="1:21" ht="19.149999999999999" customHeight="1">
      <c r="A21" s="84"/>
      <c r="B21" s="30"/>
      <c r="C21" s="16"/>
      <c r="D21" s="16"/>
      <c r="E21" s="16"/>
      <c r="F21" s="16"/>
      <c r="G21" s="16"/>
      <c r="H21" s="16"/>
      <c r="I21" s="16"/>
      <c r="J21" s="16"/>
      <c r="K21" s="16"/>
      <c r="L21" s="16"/>
      <c r="M21" s="29"/>
      <c r="N21" s="29"/>
      <c r="O21" s="29"/>
      <c r="P21" s="16"/>
      <c r="Q21" s="16"/>
      <c r="R21" s="16"/>
      <c r="S21" s="90" t="s">
        <v>53</v>
      </c>
      <c r="T21" s="92"/>
      <c r="U21" s="93"/>
    </row>
    <row r="22" spans="1:21" ht="19.149999999999999" customHeight="1">
      <c r="A22" s="84"/>
      <c r="B22" s="30"/>
      <c r="C22" s="16"/>
      <c r="D22" s="16"/>
      <c r="E22" s="16"/>
      <c r="F22" s="16"/>
      <c r="G22" s="16"/>
      <c r="H22" s="16"/>
      <c r="I22" s="16"/>
      <c r="J22" s="16"/>
      <c r="K22" s="16"/>
      <c r="L22" s="16"/>
      <c r="M22" s="16"/>
      <c r="N22" s="16"/>
      <c r="O22" s="16"/>
      <c r="P22" s="16"/>
      <c r="Q22" s="16"/>
      <c r="R22" s="16"/>
      <c r="S22" s="90" t="s">
        <v>54</v>
      </c>
      <c r="T22" s="92"/>
      <c r="U22" s="93"/>
    </row>
    <row r="23" spans="1:21" ht="21" customHeight="1">
      <c r="A23" s="84"/>
      <c r="B23" s="30"/>
      <c r="C23" s="16"/>
      <c r="D23" s="16"/>
      <c r="E23" s="16"/>
      <c r="F23" s="16"/>
      <c r="G23" s="16"/>
      <c r="H23" s="16"/>
      <c r="I23" s="16"/>
      <c r="J23" s="16"/>
      <c r="K23" s="16"/>
      <c r="L23" s="16"/>
      <c r="M23" s="16"/>
      <c r="N23" s="16"/>
      <c r="O23" s="16"/>
      <c r="P23" s="16"/>
      <c r="Q23" s="16"/>
      <c r="R23" s="16"/>
      <c r="S23" s="90" t="s">
        <v>55</v>
      </c>
      <c r="T23" s="92"/>
      <c r="U23" s="93"/>
    </row>
    <row r="24" spans="1:21" ht="24" customHeight="1">
      <c r="A24" s="16"/>
      <c r="B24" s="16"/>
      <c r="C24" s="16"/>
      <c r="D24" s="16"/>
      <c r="E24" s="16"/>
      <c r="F24" s="16"/>
      <c r="G24" s="16"/>
      <c r="H24" s="16"/>
      <c r="I24" s="16"/>
      <c r="J24" s="16"/>
      <c r="K24" s="16"/>
      <c r="L24" s="16"/>
      <c r="M24" s="16"/>
      <c r="N24" s="16"/>
      <c r="O24" s="16"/>
      <c r="P24" s="16"/>
      <c r="Q24" s="16"/>
      <c r="R24" s="16"/>
      <c r="S24" s="90" t="s">
        <v>56</v>
      </c>
      <c r="T24" s="92"/>
      <c r="U24" s="93"/>
    </row>
    <row r="25" spans="1:21" ht="15" customHeight="1">
      <c r="C25" s="298" t="s">
        <v>267</v>
      </c>
      <c r="D25" s="298" t="s">
        <v>121</v>
      </c>
      <c r="E25" s="298" t="s">
        <v>604</v>
      </c>
      <c r="F25" s="298" t="s">
        <v>135</v>
      </c>
      <c r="G25" s="298" t="s">
        <v>478</v>
      </c>
      <c r="H25" s="298" t="s">
        <v>605</v>
      </c>
      <c r="S25" s="90" t="s">
        <v>96</v>
      </c>
      <c r="T25" s="92"/>
      <c r="U25" s="93"/>
    </row>
    <row r="26" spans="1:21" ht="15" customHeight="1">
      <c r="C26" s="299" t="s">
        <v>723</v>
      </c>
      <c r="D26" s="299" t="s">
        <v>723</v>
      </c>
      <c r="E26" s="299" t="s">
        <v>723</v>
      </c>
      <c r="F26" s="299" t="s">
        <v>723</v>
      </c>
      <c r="G26" s="300" t="s">
        <v>727</v>
      </c>
      <c r="H26" s="300" t="s">
        <v>728</v>
      </c>
      <c r="S26" s="90" t="s">
        <v>57</v>
      </c>
      <c r="T26" s="92"/>
      <c r="U26" s="93"/>
    </row>
    <row r="27" spans="1:21" ht="15" customHeight="1">
      <c r="C27" s="299" t="s">
        <v>724</v>
      </c>
      <c r="D27" s="299" t="s">
        <v>724</v>
      </c>
      <c r="E27" s="299" t="s">
        <v>724</v>
      </c>
      <c r="F27" s="299" t="s">
        <v>724</v>
      </c>
      <c r="G27" s="299" t="s">
        <v>728</v>
      </c>
      <c r="H27" s="299" t="s">
        <v>729</v>
      </c>
      <c r="S27" s="90" t="s">
        <v>58</v>
      </c>
      <c r="T27" s="92"/>
      <c r="U27" s="93"/>
    </row>
    <row r="28" spans="1:21" ht="15" customHeight="1">
      <c r="C28" s="299" t="s">
        <v>725</v>
      </c>
      <c r="D28" s="299" t="s">
        <v>725</v>
      </c>
      <c r="E28" s="299" t="s">
        <v>725</v>
      </c>
      <c r="F28" s="299" t="s">
        <v>725</v>
      </c>
      <c r="G28" s="299" t="s">
        <v>729</v>
      </c>
      <c r="H28" s="299"/>
      <c r="S28" s="90" t="s">
        <v>59</v>
      </c>
      <c r="T28" s="92"/>
      <c r="U28" s="93"/>
    </row>
    <row r="29" spans="1:21" ht="18.75">
      <c r="C29" s="299" t="s">
        <v>726</v>
      </c>
      <c r="D29" s="299" t="s">
        <v>726</v>
      </c>
      <c r="E29" s="299" t="s">
        <v>726</v>
      </c>
      <c r="F29" s="299" t="s">
        <v>726</v>
      </c>
      <c r="G29" s="299" t="s">
        <v>730</v>
      </c>
      <c r="H29" s="299"/>
      <c r="S29" s="90" t="s">
        <v>60</v>
      </c>
      <c r="T29" s="93"/>
      <c r="U29" s="93"/>
    </row>
    <row r="30" spans="1:21">
      <c r="C30" s="299"/>
      <c r="D30" s="299"/>
      <c r="E30" s="299"/>
      <c r="F30" s="299"/>
      <c r="G30" s="299"/>
      <c r="H30" s="299"/>
      <c r="S30" s="90" t="s">
        <v>61</v>
      </c>
      <c r="T30" s="93"/>
      <c r="U30" s="93"/>
    </row>
    <row r="31" spans="1:21">
      <c r="C31" s="299"/>
      <c r="D31" s="299"/>
      <c r="E31" s="299"/>
      <c r="F31" s="299"/>
      <c r="G31" s="299"/>
      <c r="H31" s="299"/>
      <c r="S31" s="90" t="s">
        <v>62</v>
      </c>
      <c r="T31" s="93"/>
      <c r="U31" s="93"/>
    </row>
    <row r="32" spans="1:21">
      <c r="C32" s="299"/>
      <c r="D32" s="299"/>
      <c r="E32" s="299"/>
      <c r="F32" s="299"/>
      <c r="G32" s="299"/>
      <c r="H32" s="299"/>
      <c r="S32" s="90" t="s">
        <v>63</v>
      </c>
      <c r="T32" s="93"/>
      <c r="U32" s="93"/>
    </row>
    <row r="33" spans="3:19">
      <c r="C33" s="299"/>
      <c r="D33" s="299"/>
      <c r="E33" s="299"/>
      <c r="F33" s="299"/>
      <c r="G33" s="299"/>
      <c r="H33" s="299"/>
      <c r="S33" s="90" t="s">
        <v>64</v>
      </c>
    </row>
    <row r="34" spans="3:19">
      <c r="C34" s="299"/>
      <c r="D34" s="299"/>
      <c r="E34" s="299"/>
      <c r="F34" s="299"/>
      <c r="G34" s="299"/>
      <c r="H34" s="299"/>
      <c r="S34" s="90" t="s">
        <v>65</v>
      </c>
    </row>
    <row r="35" spans="3:19">
      <c r="C35" s="299"/>
      <c r="D35" s="299"/>
      <c r="E35" s="299"/>
      <c r="F35" s="299"/>
      <c r="G35" s="299"/>
      <c r="H35" s="299"/>
      <c r="S35" s="90" t="s">
        <v>66</v>
      </c>
    </row>
    <row r="36" spans="3:19">
      <c r="C36" s="299"/>
      <c r="D36" s="299"/>
      <c r="E36" s="299"/>
      <c r="F36" s="299"/>
      <c r="G36" s="299"/>
      <c r="H36" s="299"/>
      <c r="S36" s="90" t="s">
        <v>67</v>
      </c>
    </row>
    <row r="37" spans="3:19">
      <c r="S37" s="90" t="s">
        <v>68</v>
      </c>
    </row>
    <row r="38" spans="3:19">
      <c r="S38" s="90" t="s">
        <v>69</v>
      </c>
    </row>
    <row r="39" spans="3:19">
      <c r="S39" s="90" t="s">
        <v>70</v>
      </c>
    </row>
    <row r="40" spans="3:19">
      <c r="S40" s="90" t="s">
        <v>71</v>
      </c>
    </row>
    <row r="41" spans="3:19">
      <c r="S41" s="90" t="s">
        <v>72</v>
      </c>
    </row>
    <row r="42" spans="3:19">
      <c r="S42" s="90" t="s">
        <v>73</v>
      </c>
    </row>
    <row r="43" spans="3:19">
      <c r="S43" s="90" t="s">
        <v>74</v>
      </c>
    </row>
    <row r="44" spans="3:19">
      <c r="S44" s="90" t="s">
        <v>75</v>
      </c>
    </row>
    <row r="45" spans="3:19">
      <c r="S45" s="90" t="s">
        <v>76</v>
      </c>
    </row>
    <row r="46" spans="3:19">
      <c r="S46" s="90" t="s">
        <v>77</v>
      </c>
    </row>
    <row r="47" spans="3:19">
      <c r="S47" s="90" t="s">
        <v>78</v>
      </c>
    </row>
    <row r="48" spans="3:19">
      <c r="S48" s="90" t="s">
        <v>79</v>
      </c>
    </row>
    <row r="49" spans="19:19">
      <c r="S49" s="90" t="s">
        <v>80</v>
      </c>
    </row>
    <row r="50" spans="19:19">
      <c r="S50" s="90" t="s">
        <v>81</v>
      </c>
    </row>
    <row r="51" spans="19:19">
      <c r="S51" s="90" t="s">
        <v>82</v>
      </c>
    </row>
    <row r="52" spans="19:19">
      <c r="S52" s="90" t="s">
        <v>83</v>
      </c>
    </row>
    <row r="53" spans="19:19">
      <c r="S53" s="90" t="s">
        <v>84</v>
      </c>
    </row>
    <row r="54" spans="19:19">
      <c r="S54" s="90" t="s">
        <v>85</v>
      </c>
    </row>
    <row r="55" spans="19:19">
      <c r="S55" s="90" t="s">
        <v>86</v>
      </c>
    </row>
  </sheetData>
  <mergeCells count="12">
    <mergeCell ref="P2:Q2"/>
    <mergeCell ref="M8:O8"/>
    <mergeCell ref="A1:Q1"/>
    <mergeCell ref="A8:B8"/>
    <mergeCell ref="A20:B20"/>
    <mergeCell ref="A2:A3"/>
    <mergeCell ref="B2:B3"/>
    <mergeCell ref="D2:O2"/>
    <mergeCell ref="C2:C3"/>
    <mergeCell ref="J8:K8"/>
    <mergeCell ref="D20:E20"/>
    <mergeCell ref="D18:E18"/>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MENU</vt:lpstr>
      <vt:lpstr>DSDV</vt:lpstr>
      <vt:lpstr>Trich_Yeu</vt:lpstr>
      <vt:lpstr>BC_TH</vt:lpstr>
      <vt:lpstr>Them_DV</vt:lpstr>
      <vt:lpstr>DANHMUCDV</vt:lpstr>
      <vt:lpstr>Danh muc Chi bo</vt:lpstr>
      <vt:lpstr>DK</vt:lpstr>
      <vt:lpstr>QTCT</vt:lpstr>
      <vt:lpstr>Them_QTCT</vt:lpstr>
      <vt:lpstr>Them_QTDT</vt:lpstr>
      <vt:lpstr>QTDT</vt:lpstr>
      <vt:lpstr>Kyluat</vt:lpstr>
      <vt:lpstr>Them_KyLuat</vt:lpstr>
      <vt:lpstr>QHGD</vt:lpstr>
      <vt:lpstr>Them_QHGD</vt:lpstr>
      <vt:lpstr>KQXL</vt:lpstr>
      <vt:lpstr>Them_KQXL</vt:lpstr>
      <vt:lpstr>ThietLap</vt:lpstr>
      <vt:lpstr>Bac_CD</vt:lpstr>
      <vt:lpstr>Bac_DH</vt:lpstr>
      <vt:lpstr>Bac_TC</vt:lpstr>
      <vt:lpstr>Bang_DSDV</vt:lpstr>
      <vt:lpstr>Dân_tộc</vt:lpstr>
      <vt:lpstr>DS_Loai_HD</vt:lpstr>
      <vt:lpstr>DS_TinhTrang</vt:lpstr>
      <vt:lpstr>QT_HoTen</vt:lpstr>
      <vt:lpstr>QT_PC_TNVK</vt:lpstr>
      <vt:lpstr>QT_PC_TrachNhiem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Quân - hocexcel.online</dc:creator>
  <cp:lastModifiedBy>khanhn128</cp:lastModifiedBy>
  <cp:lastPrinted>2021-06-22T11:37:41Z</cp:lastPrinted>
  <dcterms:created xsi:type="dcterms:W3CDTF">2017-11-17T13:18:47Z</dcterms:created>
  <dcterms:modified xsi:type="dcterms:W3CDTF">2021-07-07T11:39:05Z</dcterms:modified>
</cp:coreProperties>
</file>