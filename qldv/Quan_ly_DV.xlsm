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9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10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1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qldv\"/>
    </mc:Choice>
  </mc:AlternateContent>
  <bookViews>
    <workbookView xWindow="0" yWindow="0" windowWidth="19200" windowHeight="7755" tabRatio="682" activeTab="2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QTCT" sheetId="7" state="hidden" r:id="rId9"/>
    <sheet name="Them_QTCT" sheetId="14" r:id="rId10"/>
    <sheet name="Them_QTDT" sheetId="18" r:id="rId11"/>
    <sheet name="QTDT" sheetId="17" state="hidden" r:id="rId12"/>
    <sheet name="Kyluat" sheetId="19" state="hidden" r:id="rId13"/>
    <sheet name="Them_KyLuat" sheetId="20" r:id="rId14"/>
    <sheet name="QHGD" sheetId="21" r:id="rId15"/>
    <sheet name="Them_QHGD" sheetId="22" r:id="rId16"/>
    <sheet name="KQXL" sheetId="24" state="hidden" r:id="rId17"/>
    <sheet name="Them_KQXL" sheetId="25" r:id="rId18"/>
    <sheet name="ThietLap" sheetId="6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6" hidden="1">KQXL!$A$3:$I$200</definedName>
    <definedName name="_xlnm._FilterDatabase" localSheetId="12" hidden="1">Kyluat!$A$2:$B$200</definedName>
    <definedName name="_xlnm._FilterDatabase" localSheetId="14" hidden="1">QHGD!$A$3:$E$500</definedName>
    <definedName name="_xlnm._FilterDatabase" localSheetId="8" hidden="1">QTCT!$A$5:$E$1505</definedName>
    <definedName name="_xlnm._FilterDatabase" localSheetId="11" hidden="1">QTDT!$A$3:$H$1000</definedName>
    <definedName name="_xlnm._FilterDatabase" localSheetId="2" hidden="1">Trich_Yeu!$G$14:$G$299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9">QTCT!#REF!</definedName>
    <definedName name="QT_Bac">QTCT!#REF!</definedName>
    <definedName name="QT_BangCap" localSheetId="9">QTCT!#REF!</definedName>
    <definedName name="QT_BangCap">QTCT!#REF!</definedName>
    <definedName name="QT_ChucVu" localSheetId="9">QTCT!#REF!</definedName>
    <definedName name="QT_ChucVu">QTCT!#REF!</definedName>
    <definedName name="QT_Dang_ApDung" localSheetId="9">QTCT!#REF!</definedName>
    <definedName name="QT_Dang_ApDung">QTCT!#REF!</definedName>
    <definedName name="QT_HoTen">QTCT!$A$1:$A$1505</definedName>
    <definedName name="QT_HSL" localSheetId="9">QTCT!#REF!</definedName>
    <definedName name="QT_HSL">QTCT!#REF!</definedName>
    <definedName name="QT_Ngay_ApDung" localSheetId="9">QTCT!#REF!</definedName>
    <definedName name="QT_Ngay_ApDung">QTCT!#REF!</definedName>
    <definedName name="QT_Ngay_NL">QTCT!#REF!</definedName>
    <definedName name="QT_PC_CV" localSheetId="9">QTCT!#REF!</definedName>
    <definedName name="QT_PC_CV">QTCT!#REF!</definedName>
    <definedName name="QT_PC_TNVK">QTCT!$B$1:$B$1505</definedName>
    <definedName name="QT_PC_TrachNhiem">QTCT!$C$1:$C$1505</definedName>
    <definedName name="QT_TinhTrang" localSheetId="9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/>
  <c r="C4" i="5" a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<sst xmlns="http://schemas.openxmlformats.org/spreadsheetml/2006/main" count="1311" uniqueCount="746">
  <si>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</si>
  <si>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</si>
  <si>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</si>
  <si>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</si>
  <si>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</si>
  <si>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</si>
  <si>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</si>
  <si>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</si>
  <si>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</si>
  <si>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</si>
  <si>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</si>
  <si>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</si>
  <si>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</si>
  <si>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</si>
  <si>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</si>
  <si>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</si>
  <si>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</si>
  <si>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</si>
  <si>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</si>
  <si>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</si>
  <si>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</si>
  <si>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</si>
  <si>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</si>
  <si>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</si>
  <si>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</si>
  <si>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</si>
  <si>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</si>
  <si>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</si>
  <si>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</si>
  <si>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</si>
  <si>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</si>
  <si>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</si>
  <si>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</si>
  <si>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</si>
  <si>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</si>
  <si>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</si>
  <si>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</si>
  <si>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</si>
  <si>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</si>
  <si>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</si>
  <si>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</si>
  <si>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</si>
  <si>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</si>
  <si>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</si>
  <si>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</si>
  <si>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</si>
  <si>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</si>
  <si>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</si>
  <si>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</si>
  <si>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</si>
  <si>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</si>
  <si>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</si>
  <si>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</si>
  <si>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</si>
  <si>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</si>
  <si>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</si>
  <si>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</si>
  <si>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</si>
  <si>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</si>
  <si>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</si>
  <si>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</si>
  <si>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</si>
  <si>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</si>
  <si>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</si>
  <si>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</si>
  <si>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</si>
  <si>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</si>
  <si>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</si>
  <si>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</si>
  <si>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</si>
  <si>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</si>
  <si>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</si>
  <si>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</si>
  <si>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</si>
  <si>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</si>
  <si>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</si>
  <si>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</si>
  <si>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</si>
  <si>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</si>
  <si>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</si>
  <si>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</si>
  <si>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</si>
  <si>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</si>
  <si>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</si>
  <si>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</si>
  <si>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</si>
  <si>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</si>
  <si>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</si>
  <si>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</si>
  <si>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</si>
  <si>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</si>
  <si>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</si>
  <si>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</si>
  <si>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</si>
  <si>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</si>
  <si>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</si>
  <si>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</si>
  <si>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</si>
  <si>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</si>
  <si>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</si>
  <si>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</si>
  <si>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</si>
  <si>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</si>
  <si>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</si>
  <si>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</si>
  <si>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</si>
  <si>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</si>
  <si>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</si>
  <si>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</si>
  <si>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</si>
  <si>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</si>
  <si>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</si>
  <si>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</si>
  <si>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</si>
  <si>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</si>
  <si>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</si>
  <si>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</si>
  <si>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</si>
  <si>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</si>
  <si>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</si>
  <si>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</si>
  <si>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</si>
  <si>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</si>
  <si>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</si>
  <si>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</si>
  <si>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</si>
  <si>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</si>
  <si>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</si>
  <si>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</si>
  <si>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</si>
  <si>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</si>
  <si>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</si>
  <si>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</si>
  <si>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</si>
  <si>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</si>
  <si>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</si>
  <si>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</si>
  <si>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</si>
  <si>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</si>
  <si>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</si>
  <si>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</si>
  <si>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</si>
  <si>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</si>
  <si>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</si>
  <si>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</si>
  <si>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</si>
  <si>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</si>
  <si>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</si>
  <si>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</si>
  <si>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</si>
  <si>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</si>
  <si>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</si>
  <si>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</si>
  <si>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</si>
  <si>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</si>
  <si>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</si>
  <si>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</si>
  <si>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</si>
  <si>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</si>
  <si>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</si>
  <si>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</si>
  <si>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</si>
  <si>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</si>
  <si>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</si>
  <si>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</si>
  <si>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</si>
  <si>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</si>
  <si>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</si>
  <si>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</si>
  <si>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</si>
  <si>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</si>
  <si>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</si>
  <si>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</si>
  <si>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</si>
  <si>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</si>
  <si>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</si>
  <si>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</si>
  <si>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</si>
  <si>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</si>
  <si>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</si>
  <si>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</si>
  <si>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</si>
  <si>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</si>
  <si>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</si>
  <si>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</si>
  <si>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</si>
  <si>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</si>
  <si>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</si>
  <si>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</si>
  <si>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</si>
  <si>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</si>
  <si>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</si>
  <si>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</si>
  <si>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</si>
  <si>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</si>
  <si>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</si>
  <si>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</si>
  <si>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</si>
  <si>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</si>
  <si>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</si>
  <si>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</si>
  <si>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</si>
  <si>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</si>
  <si>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</si>
  <si>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</si>
  <si>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</si>
  <si>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</si>
  <si>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</si>
  <si>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</si>
  <si>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</si>
  <si>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</si>
  <si>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</si>
  <si>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</si>
  <si>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</si>
  <si>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</si>
  <si>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</si>
  <si>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</si>
  <si>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</si>
  <si>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</si>
  <si>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</si>
  <si>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</si>
  <si>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</si>
  <si>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</si>
  <si>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</si>
  <si>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</si>
  <si>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</si>
  <si>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</si>
  <si>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</si>
  <si>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</si>
  <si>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</si>
  <si>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</si>
  <si>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</si>
  <si>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</si>
  <si>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</si>
  <si>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</si>
  <si>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</si>
  <si>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</si>
  <si>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</si>
  <si>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</si>
  <si>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</si>
  <si>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</si>
  <si>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</si>
  <si>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</si>
  <si>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</si>
  <si>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</si>
  <si>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</si>
  <si>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</si>
  <si>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</si>
  <si>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</si>
  <si>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</si>
  <si>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</si>
  <si>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</si>
  <si>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</si>
  <si>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</si>
  <si>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</si>
  <si>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</si>
  <si>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</si>
  <si>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</si>
  <si>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</si>
  <si>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</si>
  <si>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</si>
  <si>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</si>
  <si>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</si>
  <si>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</si>
  <si>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</si>
  <si>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</si>
  <si>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</si>
  <si>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</si>
  <si>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</si>
  <si>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</si>
  <si>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</si>
  <si>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</si>
  <si>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</si>
  <si>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</si>
  <si>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</si>
  <si>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</si>
  <si>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</si>
  <si>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</si>
  <si>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</si>
  <si>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</si>
  <si>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</si>
  <si>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</si>
  <si>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</si>
  <si>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</si>
  <si>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</si>
  <si>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</si>
  <si>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</si>
  <si>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</si>
  <si>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</si>
  <si>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</si>
  <si>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</si>
  <si>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</si>
  <si>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</si>
  <si>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</si>
  <si>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</si>
  <si>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</si>
  <si>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</si>
  <si>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</si>
  <si>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</si>
  <si>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</si>
  <si>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</si>
  <si>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</si>
  <si>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</si>
  <si>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</si>
  <si>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</si>
  <si>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</si>
  <si>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</si>
  <si>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</si>
  <si>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</si>
  <si>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</si>
  <si>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</si>
  <si>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</si>
  <si>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</si>
  <si>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</si>
  <si>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</si>
  <si>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</si>
  <si>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</si>
  <si>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</si>
  <si>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</si>
  <si>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</si>
  <si>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</si>
  <si>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</si>
  <si>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</si>
  <si>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</si>
  <si>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</si>
  <si>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</si>
  <si>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</si>
  <si>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</si>
  <si>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</si>
  <si>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</si>
  <si>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</si>
  <si>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</si>
  <si>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</si>
  <si>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</si>
  <si>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</si>
  <si>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</si>
  <si>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</si>
  <si>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</si>
  <si>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</si>
  <si>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</si>
  <si>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</si>
  <si>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</si>
  <si>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</si>
  <si>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</si>
  <si>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</si>
  <si>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</si>
  <si>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</si>
  <si>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</si>
  <si>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</si>
  <si>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</si>
  <si>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</si>
  <si>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</si>
  <si>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</si>
  <si>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</si>
  <si>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</si>
  <si>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</si>
  <si>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</si>
  <si>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</si>
  <si>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</si>
  <si>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</si>
  <si>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</si>
  <si>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</si>
  <si>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</si>
  <si>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</si>
  <si>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</si>
  <si>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</si>
  <si>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</si>
  <si>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</si>
  <si>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</si>
  <si>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</si>
  <si>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</si>
  <si>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</si>
  <si>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</si>
  <si>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</si>
  <si>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</si>
  <si>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</si>
  <si>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</si>
  <si>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</si>
  <si>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</si>
  <si>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</si>
  <si>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</si>
  <si>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</si>
  <si>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</si>
  <si>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</si>
  <si>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</si>
  <si>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</si>
  <si>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</si>
  <si>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</si>
  <si>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</si>
  <si>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</si>
  <si>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</si>
  <si>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</si>
  <si>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</si>
  <si>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</si>
  <si>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</si>
  <si>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</si>
  <si>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</si>
  <si>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</si>
  <si>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</si>
  <si>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</si>
  <si>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</si>
  <si>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</si>
  <si>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</si>
  <si>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</si>
  <si>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</si>
  <si>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</si>
  <si>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</si>
  <si>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</si>
  <si>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</si>
  <si>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</si>
  <si>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</si>
  <si>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</si>
  <si>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</si>
  <si>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</si>
  <si>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</si>
  <si>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</si>
  <si>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</si>
  <si>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</si>
  <si>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</si>
  <si>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</si>
  <si>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</si>
  <si>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</si>
  <si>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</si>
  <si>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</si>
  <si>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</si>
  <si>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</si>
  <si>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</si>
  <si>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</si>
  <si>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</si>
  <si>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</si>
  <si>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</si>
  <si>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</si>
  <si>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</si>
  <si>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</si>
  <si>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</si>
  <si>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</si>
  <si>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</si>
  <si>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</si>
  <si>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</si>
  <si>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</si>
  <si>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</si>
  <si>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</si>
  <si>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</si>
  <si>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</si>
  <si>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</si>
  <si>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</si>
  <si>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</si>
  <si>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</si>
  <si>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</si>
  <si>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</si>
  <si>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</si>
  <si>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</si>
  <si>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</si>
  <si>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</si>
  <si>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</si>
  <si>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</si>
  <si>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</si>
  <si>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</si>
  <si>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</si>
  <si>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</si>
  <si>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</si>
  <si>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</si>
  <si>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</si>
  <si>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</si>
  <si>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</si>
  <si>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</si>
  <si>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</si>
  <si>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</si>
  <si>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</si>
  <si>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</si>
  <si>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</si>
  <si>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</si>
  <si>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</si>
  <si>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</si>
  <si>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</si>
  <si>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</si>
  <si>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</si>
  <si>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</si>
  <si>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</si>
  <si>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</si>
  <si>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</si>
  <si>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</si>
  <si>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</si>
  <si>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</si>
  <si>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</si>
  <si>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</si>
  <si>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</si>
  <si>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</si>
  <si>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</si>
  <si>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t>Nguyễn Hữu Xá</t>
  </si>
  <si>
    <t>BTCB</t>
  </si>
  <si>
    <t>BTĐU</t>
  </si>
  <si>
    <t>PBTCB</t>
  </si>
  <si>
    <t>Hoàng Xuân Dũng</t>
  </si>
  <si>
    <t>4/2000</t>
  </si>
  <si>
    <t>2/2002</t>
  </si>
  <si>
    <t>zxcxcx</t>
  </si>
  <si>
    <t>BT</t>
  </si>
  <si>
    <t>44</t>
  </si>
  <si>
    <t>sdfds</t>
  </si>
  <si>
    <t>446</t>
  </si>
  <si>
    <t>56</t>
  </si>
  <si>
    <t>78</t>
  </si>
  <si>
    <t>Học lực</t>
  </si>
  <si>
    <t>DV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</si>
  <si>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</si>
  <si>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</si>
  <si>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</si>
  <si>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</si>
  <si>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</si>
  <si>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</si>
  <si>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</si>
  <si>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</si>
  <si>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</si>
  <si>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</si>
  <si>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</si>
  <si>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</si>
  <si>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</si>
  <si>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</si>
  <si>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</si>
  <si>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</si>
  <si>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</si>
  <si>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</si>
  <si>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</si>
  <si>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</si>
  <si>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</si>
  <si>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rr</t>
  </si>
  <si>
    <t>rrr</t>
  </si>
  <si>
    <t>tuấn</t>
  </si>
  <si>
    <t>dd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</si>
  <si>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</si>
  <si>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</si>
  <si>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</si>
  <si>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</si>
  <si>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</si>
  <si>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</si>
  <si>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</si>
  <si>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</si>
  <si>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</si>
  <si>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</si>
  <si>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</si>
  <si>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</si>
  <si>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</si>
  <si>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</si>
  <si>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</si>
  <si>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</si>
  <si>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</si>
  <si>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</si>
  <si>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</si>
  <si>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</si>
  <si>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</si>
  <si>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</si>
  <si>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</si>
  <si>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</si>
  <si>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Chọn LLĐV: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</si>
  <si>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</si>
  <si>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</si>
  <si>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</si>
  <si>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</si>
  <si>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</si>
  <si>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</si>
  <si>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</si>
  <si>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</si>
  <si>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</si>
  <si>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</si>
  <si>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</si>
  <si>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</si>
  <si>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</si>
  <si>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</si>
  <si>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</si>
  <si>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</si>
  <si>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</si>
  <si>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</si>
  <si>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</si>
  <si>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</si>
  <si>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</si>
  <si>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</si>
  <si>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</si>
  <si>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</si>
  <si>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</si>
  <si>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</si>
  <si>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</si>
  <si>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</si>
  <si>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</si>
  <si>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</si>
  <si>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</si>
  <si>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</si>
  <si>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</si>
  <si>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</si>
  <si>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</si>
  <si>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</si>
  <si>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</si>
  <si>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</si>
  <si>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</si>
  <si>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25) QUAN HỆ GIA ĐÌNH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</si>
  <si>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</si>
  <si>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</si>
  <si>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</si>
  <si>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</si>
  <si>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</si>
  <si>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</si>
  <si>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</si>
  <si>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</si>
  <si>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 xml:space="preserve">26) KẾT QUẢ ĐÁNH GIÁ, XẾP LOẠI HẰNG NĂM </t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</si>
  <si>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</si>
  <si>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</si>
  <si>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</si>
  <si>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</si>
  <si>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</si>
  <si>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</si>
  <si>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</si>
  <si>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</si>
  <si>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</si>
  <si>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</si>
  <si>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</si>
  <si>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</si>
  <si>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</si>
  <si>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</si>
  <si>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</si>
  <si>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</si>
  <si>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</si>
  <si>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</si>
  <si>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</si>
  <si>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</si>
  <si>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</si>
  <si>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</si>
  <si>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</si>
  <si>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</si>
  <si>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</si>
  <si>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</si>
  <si>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</si>
  <si>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</si>
  <si>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</si>
  <si>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</si>
  <si>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</si>
  <si>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</si>
  <si>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</si>
  <si>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</si>
  <si>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</si>
  <si>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</si>
  <si>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</si>
  <si>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</si>
  <si>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</si>
  <si>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</si>
  <si>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</si>
  <si>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</si>
  <si>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</si>
  <si>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</si>
  <si>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</si>
  <si>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</si>
  <si>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</si>
  <si>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</si>
  <si>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</si>
  <si>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</si>
  <si>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</si>
  <si>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</si>
  <si>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Nguyễn Văn 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</si>
  <si>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</si>
  <si>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</si>
  <si>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</si>
  <si>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</si>
  <si>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</si>
  <si>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</si>
  <si>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</si>
  <si>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</si>
  <si>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</si>
  <si>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</si>
  <si>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</si>
  <si>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</si>
  <si>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</si>
  <si>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</si>
  <si>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</si>
  <si>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</si>
  <si>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</si>
  <si>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</si>
  <si>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</si>
  <si>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</si>
  <si>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</si>
  <si>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</si>
  <si>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</si>
  <si>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</si>
  <si>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</si>
  <si>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</si>
  <si>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</si>
  <si>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</si>
  <si>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</si>
  <si>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</si>
  <si>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</si>
  <si>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</si>
  <si>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</si>
  <si>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</si>
  <si>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</si>
  <si>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</si>
  <si>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</si>
  <si>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</si>
  <si>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</si>
  <si>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</si>
  <si>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</si>
  <si>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</si>
  <si>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</si>
  <si>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</si>
  <si>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</si>
  <si>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</si>
  <si>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</si>
  <si>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</si>
  <si>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</si>
  <si>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</si>
  <si>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</si>
  <si>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</si>
  <si>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</si>
  <si>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</si>
  <si>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</si>
  <si>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</si>
  <si>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</si>
  <si>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</si>
  <si>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</si>
  <si>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</si>
  <si>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</si>
  <si>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</si>
  <si>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</si>
  <si>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</si>
  <si>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</si>
  <si>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</si>
  <si>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</si>
  <si>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</si>
  <si>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</si>
  <si>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</si>
  <si>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</si>
  <si>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</si>
  <si>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</si>
  <si>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</si>
  <si>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</si>
  <si>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</si>
  <si>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</si>
  <si>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</si>
  <si>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</si>
  <si>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acb</t>
  </si>
  <si>
    <t>sdfa</t>
  </si>
  <si>
    <t>hjkytgu</t>
  </si>
  <si>
    <t>Nguyễn Thị B</t>
  </si>
  <si>
    <t>Nguyễn Văn 3</t>
  </si>
  <si>
    <t>Ngõ 49, Linh Lang, Q. Ba Đình, Hà Nội 10A1 Ngõ 49, Linh Lang, Q. Ba Đình, Hà Nội</t>
  </si>
  <si>
    <r>
      <t xml:space="preserve">23) Kỷ luật </t>
    </r>
    <r>
      <rPr>
        <i/>
        <sz val="11"/>
        <color theme="1"/>
        <rFont val="Calibri"/>
        <family val="2"/>
        <scheme val="minor"/>
      </rPr>
      <t>(Đảng, chính quyền, pháp luật)</t>
    </r>
    <r>
      <rPr>
        <sz val="11"/>
        <color theme="1"/>
        <rFont val="Calibri"/>
        <family val="2"/>
        <scheme val="minor"/>
      </rPr>
      <t>:</t>
    </r>
  </si>
  <si>
    <t>Nguyễn Văn B</t>
  </si>
  <si>
    <r>
      <t xml:space="preserve">Loại cán bộ </t>
    </r>
    <r>
      <rPr>
        <sz val="12"/>
        <color theme="0"/>
        <rFont val="Times New Roman"/>
        <family val="1"/>
      </rPr>
      <t>(Đối tượng SQ)</t>
    </r>
  </si>
  <si>
    <t xml:space="preserve">    hjkytgu
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</si>
</sst>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1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sz val="9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.5"/>
      <color theme="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7" fillId="0" borderId="0"/>
    <xf numFmtId="0" fontId="38" fillId="0" borderId="0"/>
    <xf numFmtId="0" fontId="39" fillId="0" borderId="0"/>
  </cellStyleXfs>
  <cellXfs count="699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6" fillId="0" borderId="0" xfId="0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4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3" fillId="2" borderId="6" xfId="0" applyFont="1" applyFill="1" applyBorder="1" applyAlignment="1">
      <alignment horizontal="center" vertical="center"/>
    </xf>
    <xf numFmtId="0" fontId="33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40" fillId="18" borderId="2" xfId="2" applyFont="1" applyFill="1" applyBorder="1" applyAlignment="1">
      <alignment horizontal="center" vertical="center"/>
    </xf>
    <xf numFmtId="0" fontId="40" fillId="18" borderId="2" xfId="2" applyFont="1" applyFill="1" applyBorder="1" applyAlignment="1">
      <alignment horizontal="center" vertical="center" shrinkToFit="1"/>
    </xf>
    <xf numFmtId="0" fontId="40" fillId="0" borderId="2" xfId="0" applyFont="1" applyFill="1" applyBorder="1" applyAlignment="1">
      <alignment vertical="center"/>
    </xf>
    <xf numFmtId="166" fontId="40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40" fillId="0" borderId="2" xfId="3" applyFont="1" applyFill="1" applyBorder="1" applyAlignment="1">
      <alignment horizontal="left" vertical="center" shrinkToFit="1"/>
    </xf>
    <xf numFmtId="0" fontId="41" fillId="0" borderId="2" xfId="0" applyFont="1" applyBorder="1" applyAlignment="1">
      <alignment horizontal="left" vertical="center" wrapText="1"/>
    </xf>
    <xf numFmtId="0" fontId="41" fillId="0" borderId="2" xfId="0" applyFont="1" applyFill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2" fillId="0" borderId="3" xfId="0" applyNumberFormat="1" applyFont="1" applyFill="1" applyBorder="1" applyAlignment="1">
      <alignment horizontal="center" vertical="center" wrapText="1"/>
    </xf>
    <xf numFmtId="49" fontId="42" fillId="0" borderId="3" xfId="0" applyNumberFormat="1" applyFont="1" applyFill="1" applyBorder="1" applyAlignment="1">
      <alignment horizontal="center" vertical="center" wrapText="1"/>
    </xf>
    <xf numFmtId="0" fontId="42" fillId="0" borderId="2" xfId="0" applyNumberFormat="1" applyFont="1" applyFill="1" applyBorder="1" applyAlignment="1">
      <alignment horizontal="center" vertical="center" wrapText="1"/>
    </xf>
    <xf numFmtId="0" fontId="42" fillId="0" borderId="3" xfId="0" applyNumberFormat="1" applyFont="1" applyFill="1" applyBorder="1" applyAlignment="1">
      <alignment horizontal="center" vertical="center" wrapText="1"/>
    </xf>
    <xf numFmtId="49" fontId="42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2" fillId="0" borderId="0" xfId="0" applyFont="1" applyFill="1" applyBorder="1" applyAlignment="1">
      <alignment vertical="center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43" fillId="0" borderId="0" xfId="0" applyFont="1" applyBorder="1" applyAlignment="1">
      <alignment horizontal="center" vertical="center" wrapText="1"/>
    </xf>
    <xf numFmtId="0" fontId="43" fillId="0" borderId="0" xfId="0" applyFont="1" applyBorder="1" applyAlignment="1">
      <alignment vertical="center" wrapText="1"/>
    </xf>
    <xf numFmtId="0" fontId="44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5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6" fillId="0" borderId="0" xfId="0" applyFont="1" applyFill="1" applyAlignment="1">
      <alignment horizontal="right" vertical="center"/>
    </xf>
    <xf numFmtId="0" fontId="52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3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3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3" fillId="12" borderId="2" xfId="0" applyNumberFormat="1" applyFont="1" applyFill="1" applyBorder="1" applyAlignment="1" applyProtection="1">
      <alignment vertical="center"/>
      <protection locked="0"/>
    </xf>
    <xf numFmtId="165" fontId="63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4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6" fillId="0" borderId="2" xfId="0" applyFont="1" applyBorder="1" applyAlignment="1">
      <alignment horizontal="center"/>
    </xf>
    <xf numFmtId="14" fontId="66" fillId="0" borderId="2" xfId="0" applyNumberFormat="1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5" fillId="0" borderId="0" xfId="1" applyFont="1" applyFill="1" applyAlignment="1">
      <alignment vertical="center"/>
    </xf>
    <xf numFmtId="0" fontId="0" fillId="0" borderId="0" xfId="1" applyFont="1"/>
    <xf numFmtId="0" fontId="58" fillId="4" borderId="3" xfId="0" applyFont="1" applyFill="1" applyBorder="1" applyAlignment="1" applyProtection="1">
      <alignment horizontal="left" vertical="center"/>
      <protection locked="0"/>
    </xf>
    <xf numFmtId="0" fontId="58" fillId="4" borderId="18" xfId="1" applyFont="1" applyFill="1" applyBorder="1" applyAlignment="1" applyProtection="1">
      <alignment horizontal="left" vertical="center"/>
      <protection locked="0"/>
    </xf>
    <xf numFmtId="0" fontId="58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49" fontId="5" fillId="0" borderId="49" xfId="1" quotePrefix="1" applyNumberFormat="1" applyFont="1" applyFill="1" applyBorder="1" applyAlignment="1">
      <alignment horizontal="center" vertical="center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3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3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3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3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3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3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3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3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51" fillId="26" borderId="0" xfId="0" applyFont="1" applyFill="1" applyBorder="1" applyAlignment="1" applyProtection="1">
      <alignment vertical="center"/>
    </xf>
    <xf numFmtId="0" fontId="51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51" fillId="26" borderId="44" xfId="0" applyFont="1" applyFill="1" applyBorder="1" applyAlignment="1" applyProtection="1">
      <alignment vertical="center"/>
    </xf>
    <xf numFmtId="0" fontId="51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51" fillId="22" borderId="47" xfId="0" applyFont="1" applyFill="1" applyBorder="1" applyAlignment="1" applyProtection="1">
      <alignment vertical="center"/>
    </xf>
    <xf numFmtId="0" fontId="51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51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51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51" fillId="22" borderId="44" xfId="0" applyFont="1" applyFill="1" applyBorder="1" applyAlignment="1" applyProtection="1">
      <alignment vertical="center"/>
    </xf>
    <xf numFmtId="0" fontId="51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51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51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51" fillId="26" borderId="1" xfId="0" applyFont="1" applyFill="1" applyBorder="1" applyAlignment="1" applyProtection="1">
      <alignment horizontal="left" vertical="center" indent="1"/>
    </xf>
    <xf numFmtId="0" fontId="51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50" fillId="20" borderId="7" xfId="0" applyFont="1" applyFill="1" applyBorder="1" applyAlignment="1" applyProtection="1">
      <alignment horizontal="center" vertical="center"/>
    </xf>
    <xf numFmtId="0" fontId="50" fillId="20" borderId="0" xfId="0" applyFont="1" applyFill="1" applyBorder="1" applyAlignment="1" applyProtection="1">
      <alignment horizontal="center" vertical="center"/>
    </xf>
    <xf numFmtId="0" fontId="50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51" fillId="26" borderId="0" xfId="0" applyFont="1" applyFill="1" applyBorder="1" applyAlignment="1" applyProtection="1">
      <alignment horizontal="right" vertical="center"/>
    </xf>
    <xf numFmtId="0" fontId="51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51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51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51" fillId="23" borderId="0" xfId="0" applyFont="1" applyFill="1" applyBorder="1" applyAlignment="1" applyProtection="1">
      <alignment horizontal="left" vertical="center" indent="1"/>
    </xf>
    <xf numFmtId="0" fontId="51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51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1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2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47" fillId="0" borderId="49" xfId="0" applyFont="1" applyBorder="1" applyAlignment="1">
      <alignment horizontal="center" vertical="center"/>
    </xf>
    <xf numFmtId="14" fontId="5" fillId="0" borderId="49" xfId="1" quotePrefix="1" applyNumberFormat="1" applyFont="1" applyBorder="1" applyAlignment="1">
      <alignment vertical="center"/>
    </xf>
    <xf numFmtId="0" fontId="5" fillId="0" borderId="49" xfId="1" quotePrefix="1" applyFont="1" applyBorder="1" applyAlignment="1">
      <alignment vertical="center"/>
    </xf>
    <xf numFmtId="14" fontId="5" fillId="0" borderId="49" xfId="0" applyNumberFormat="1" applyFont="1" applyBorder="1" applyAlignment="1">
      <alignment vertical="center"/>
    </xf>
    <xf numFmtId="49" fontId="5" fillId="0" borderId="49" xfId="1" quotePrefix="1" applyNumberFormat="1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7" fillId="0" borderId="49" xfId="1" quotePrefix="1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43" fillId="0" borderId="0" xfId="0" applyFont="1" applyBorder="1" applyAlignment="1">
      <alignment vertical="center"/>
    </xf>
    <xf numFmtId="0" fontId="7" fillId="0" borderId="50" xfId="1" quotePrefix="1" applyFont="1" applyBorder="1" applyAlignment="1">
      <alignment horizontal="left" vertical="center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49" fontId="5" fillId="0" borderId="50" xfId="1" quotePrefix="1" applyNumberFormat="1" applyFont="1" applyFill="1" applyBorder="1" applyAlignment="1">
      <alignment horizontal="center" vertical="center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1" quotePrefix="1" applyFont="1" applyBorder="1" applyAlignment="1">
      <alignment horizontal="center" vertical="center" shrinkToFit="1"/>
    </xf>
    <xf numFmtId="14" fontId="5" fillId="0" borderId="49" xfId="1" quotePrefix="1" applyNumberFormat="1" applyFont="1" applyBorder="1" applyAlignment="1">
      <alignment horizontal="center"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14" fontId="5" fillId="0" borderId="0" xfId="0" applyNumberFormat="1" applyFont="1" applyFill="1" applyAlignment="1">
      <alignment vertical="center" wrapText="1"/>
    </xf>
    <xf numFmtId="0" fontId="69" fillId="14" borderId="3" xfId="0" applyNumberFormat="1" applyFont="1" applyFill="1" applyBorder="1" applyAlignment="1">
      <alignment horizontal="center" vertical="center" wrapText="1"/>
    </xf>
    <xf numFmtId="49" fontId="69" fillId="14" borderId="3" xfId="0" applyNumberFormat="1" applyFont="1" applyFill="1" applyBorder="1" applyAlignment="1">
      <alignment horizontal="center" vertical="center" wrapText="1"/>
    </xf>
    <xf numFmtId="0" fontId="69" fillId="14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12" borderId="0" xfId="0" applyFont="1" applyFill="1" applyAlignment="1">
      <alignment wrapText="1"/>
    </xf>
    <xf numFmtId="0" fontId="36" fillId="13" borderId="34" xfId="0" applyFont="1" applyFill="1" applyBorder="1" applyAlignment="1">
      <alignment horizontal="center" vertical="center"/>
    </xf>
    <xf numFmtId="0" fontId="36" fillId="13" borderId="35" xfId="0" applyFont="1" applyFill="1" applyBorder="1" applyAlignment="1">
      <alignment horizontal="center" vertical="center"/>
    </xf>
    <xf numFmtId="0" fontId="36" fillId="13" borderId="36" xfId="0" applyFont="1" applyFill="1" applyBorder="1" applyAlignment="1">
      <alignment horizontal="center" vertical="center"/>
    </xf>
    <xf numFmtId="0" fontId="59" fillId="2" borderId="3" xfId="1" applyFont="1" applyFill="1" applyBorder="1" applyAlignment="1" applyProtection="1">
      <alignment horizontal="center" vertical="center"/>
      <protection locked="0"/>
    </xf>
    <xf numFmtId="0" fontId="59" fillId="2" borderId="18" xfId="1" applyFont="1" applyFill="1" applyBorder="1" applyAlignment="1" applyProtection="1">
      <alignment horizontal="center" vertical="center"/>
      <protection locked="0"/>
    </xf>
    <xf numFmtId="0" fontId="59" fillId="2" borderId="6" xfId="1" applyFont="1" applyFill="1" applyBorder="1" applyAlignment="1" applyProtection="1">
      <alignment horizontal="center" vertical="center"/>
      <protection locked="0"/>
    </xf>
    <xf numFmtId="0" fontId="60" fillId="7" borderId="3" xfId="1" applyFont="1" applyFill="1" applyBorder="1" applyAlignment="1" applyProtection="1">
      <alignment horizontal="center" vertical="center"/>
      <protection locked="0"/>
    </xf>
    <xf numFmtId="0" fontId="60" fillId="7" borderId="18" xfId="1" applyFont="1" applyFill="1" applyBorder="1" applyAlignment="1" applyProtection="1">
      <alignment horizontal="center" vertical="center"/>
      <protection locked="0"/>
    </xf>
    <xf numFmtId="0" fontId="60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69" fillId="14" borderId="3" xfId="0" applyNumberFormat="1" applyFont="1" applyFill="1" applyBorder="1" applyAlignment="1">
      <alignment horizontal="center" vertical="center" wrapText="1"/>
    </xf>
    <xf numFmtId="0" fontId="69" fillId="14" borderId="6" xfId="0" applyFont="1" applyFill="1" applyBorder="1" applyAlignment="1">
      <alignment horizontal="center" vertical="center" wrapText="1"/>
    </xf>
    <xf numFmtId="0" fontId="69" fillId="14" borderId="6" xfId="0" applyNumberFormat="1" applyFont="1" applyFill="1" applyBorder="1" applyAlignment="1">
      <alignment horizontal="center" vertical="center" wrapText="1"/>
    </xf>
    <xf numFmtId="49" fontId="69" fillId="14" borderId="3" xfId="0" applyNumberFormat="1" applyFont="1" applyFill="1" applyBorder="1" applyAlignment="1">
      <alignment horizontal="center" vertical="center" wrapText="1"/>
    </xf>
    <xf numFmtId="49" fontId="69" fillId="14" borderId="6" xfId="0" applyNumberFormat="1" applyFont="1" applyFill="1" applyBorder="1" applyAlignment="1">
      <alignment horizontal="center" vertical="center" wrapText="1"/>
    </xf>
    <xf numFmtId="0" fontId="69" fillId="14" borderId="3" xfId="0" applyFont="1" applyFill="1" applyBorder="1" applyAlignment="1">
      <alignment horizontal="center" vertical="center" wrapText="1"/>
    </xf>
    <xf numFmtId="0" fontId="69" fillId="14" borderId="2" xfId="0" applyNumberFormat="1" applyFont="1" applyFill="1" applyBorder="1" applyAlignment="1">
      <alignment horizontal="center" vertical="center" wrapText="1"/>
    </xf>
    <xf numFmtId="0" fontId="69" fillId="14" borderId="2" xfId="0" applyFont="1" applyFill="1" applyBorder="1" applyAlignment="1">
      <alignment horizontal="center" vertical="center" wrapText="1"/>
    </xf>
    <xf numFmtId="0" fontId="69" fillId="14" borderId="4" xfId="0" applyNumberFormat="1" applyFont="1" applyFill="1" applyBorder="1" applyAlignment="1">
      <alignment horizontal="center" vertical="center" wrapText="1"/>
    </xf>
    <xf numFmtId="0" fontId="69" fillId="14" borderId="9" xfId="0" applyNumberFormat="1" applyFont="1" applyFill="1" applyBorder="1" applyAlignment="1">
      <alignment horizontal="center" vertical="center" wrapText="1"/>
    </xf>
    <xf numFmtId="0" fontId="69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14" fontId="4" fillId="9" borderId="49" xfId="0" applyNumberFormat="1" applyFont="1" applyFill="1" applyBorder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32" fillId="0" borderId="0" xfId="0" applyFont="1" applyFill="1" applyAlignment="1">
      <alignment horizontal="center" vertical="center"/>
    </xf>
    <xf numFmtId="0" fontId="47" fillId="0" borderId="49" xfId="0" applyFont="1" applyBorder="1" applyAlignment="1">
      <alignment horizontal="center" vertical="center"/>
    </xf>
    <xf numFmtId="0" fontId="5" fillId="0" borderId="49" xfId="1" quotePrefix="1" applyFont="1" applyBorder="1" applyAlignment="1">
      <alignment horizontal="center" vertical="center"/>
    </xf>
    <xf numFmtId="0" fontId="5" fillId="0" borderId="50" xfId="1" quotePrefix="1" applyFont="1" applyBorder="1" applyAlignment="1">
      <alignment horizontal="center" vertical="center" shrinkToFit="1"/>
    </xf>
    <xf numFmtId="0" fontId="5" fillId="0" borderId="51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5" fillId="0" borderId="50" xfId="0" applyFont="1" applyBorder="1" applyAlignment="1">
      <alignment horizontal="center" vertical="center" shrinkToFit="1"/>
    </xf>
    <xf numFmtId="49" fontId="7" fillId="0" borderId="49" xfId="1" quotePrefix="1" applyNumberFormat="1" applyFont="1" applyBorder="1" applyAlignment="1">
      <alignment horizontal="center" vertical="center"/>
    </xf>
    <xf numFmtId="49" fontId="7" fillId="0" borderId="49" xfId="0" applyNumberFormat="1" applyFont="1" applyBorder="1" applyAlignment="1">
      <alignment horizontal="center" vertical="center"/>
    </xf>
    <xf numFmtId="49" fontId="7" fillId="0" borderId="52" xfId="1" quotePrefix="1" applyNumberFormat="1" applyFont="1" applyBorder="1" applyAlignment="1">
      <alignment horizontal="center" vertical="center"/>
    </xf>
    <xf numFmtId="49" fontId="7" fillId="0" borderId="49" xfId="1" quotePrefix="1" applyNumberFormat="1" applyFont="1" applyBorder="1" applyAlignment="1">
      <alignment horizontal="center" vertical="center" wrapText="1"/>
    </xf>
    <xf numFmtId="49" fontId="7" fillId="0" borderId="49" xfId="0" applyNumberFormat="1" applyFont="1" applyBorder="1" applyAlignment="1">
      <alignment horizontal="center" vertical="center" wrapText="1"/>
    </xf>
    <xf numFmtId="0" fontId="7" fillId="0" borderId="49" xfId="0" applyFont="1" applyBorder="1" applyAlignment="1">
      <alignment horizontal="left" vertical="center"/>
    </xf>
    <xf numFmtId="0" fontId="5" fillId="0" borderId="0" xfId="0" applyFont="1" applyFill="1" applyAlignment="1">
      <alignment horizontal="left" vertical="top" wrapText="1"/>
    </xf>
    <xf numFmtId="0" fontId="9" fillId="0" borderId="49" xfId="0" applyFont="1" applyBorder="1" applyAlignment="1">
      <alignment horizontal="center" vertical="top" wrapText="1"/>
    </xf>
    <xf numFmtId="0" fontId="9" fillId="0" borderId="49" xfId="0" applyFont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/>
    </xf>
    <xf numFmtId="0" fontId="7" fillId="0" borderId="49" xfId="1" quotePrefix="1" applyFont="1" applyBorder="1" applyAlignment="1">
      <alignment horizontal="left" vertical="center"/>
    </xf>
    <xf numFmtId="0" fontId="7" fillId="0" borderId="49" xfId="0" applyFont="1" applyBorder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9" fillId="0" borderId="0" xfId="0" applyFont="1" applyFill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47" fillId="0" borderId="0" xfId="0" applyFont="1" applyBorder="1" applyAlignment="1">
      <alignment horizontal="left" vertical="center"/>
    </xf>
    <xf numFmtId="0" fontId="49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14" fontId="31" fillId="0" borderId="0" xfId="0" applyNumberFormat="1" applyFont="1" applyFill="1" applyAlignment="1">
      <alignment horizontal="center" vertical="top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5" fillId="0" borderId="0" xfId="0" applyFont="1" applyBorder="1" applyAlignment="1">
      <alignment horizontal="left" vertical="center"/>
    </xf>
    <xf numFmtId="0" fontId="45" fillId="0" borderId="0" xfId="0" applyFont="1" applyAlignment="1">
      <alignment horizontal="left" vertical="top" wrapText="1"/>
    </xf>
    <xf numFmtId="0" fontId="46" fillId="0" borderId="0" xfId="0" applyFont="1" applyFill="1" applyAlignment="1">
      <alignment horizontal="left" vertical="top" wrapText="1"/>
    </xf>
    <xf numFmtId="0" fontId="35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5" fillId="4" borderId="49" xfId="0" applyFont="1" applyFill="1" applyBorder="1" applyAlignment="1">
      <alignment horizontal="left" vertical="center" indent="1"/>
    </xf>
    <xf numFmtId="0" fontId="35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5" fillId="2" borderId="49" xfId="0" applyFont="1" applyFill="1" applyBorder="1" applyAlignment="1">
      <alignment horizontal="left" vertical="center" indent="1"/>
    </xf>
    <xf numFmtId="0" fontId="35" fillId="8" borderId="49" xfId="0" applyFont="1" applyFill="1" applyBorder="1" applyAlignment="1">
      <alignment horizontal="left" vertical="center" indent="1"/>
    </xf>
    <xf numFmtId="0" fontId="35" fillId="15" borderId="49" xfId="0" applyFont="1" applyFill="1" applyBorder="1" applyAlignment="1">
      <alignment horizontal="left" vertical="center" indent="1"/>
    </xf>
    <xf numFmtId="0" fontId="35" fillId="17" borderId="49" xfId="0" applyFont="1" applyFill="1" applyBorder="1" applyAlignment="1">
      <alignment horizontal="left" vertical="center" indent="1"/>
    </xf>
    <xf numFmtId="0" fontId="35" fillId="5" borderId="49" xfId="0" applyFont="1" applyFill="1" applyBorder="1" applyAlignment="1">
      <alignment horizontal="left" vertical="center" indent="1"/>
    </xf>
    <xf numFmtId="0" fontId="35" fillId="7" borderId="49" xfId="0" applyFont="1" applyFill="1" applyBorder="1" applyAlignment="1">
      <alignment horizontal="left" vertical="center" indent="1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14" fontId="2" fillId="0" borderId="4" xfId="0" applyNumberFormat="1" applyFont="1" applyBorder="1" applyAlignment="1">
      <alignment horizontal="center" vertical="center" wrapText="1"/>
    </xf>
    <xf numFmtId="0" fontId="42" fillId="0" borderId="3" xfId="0" applyFont="1" applyFill="1" applyBorder="1" applyAlignment="1">
      <alignment horizontal="center" vertical="center" wrapText="1"/>
    </xf>
    <xf numFmtId="0" fontId="42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42" fillId="0" borderId="3" xfId="0" applyNumberFormat="1" applyFont="1" applyFill="1" applyBorder="1" applyAlignment="1">
      <alignment horizontal="center" vertical="center" wrapText="1"/>
    </xf>
    <xf numFmtId="0" fontId="42" fillId="0" borderId="3" xfId="0" applyNumberFormat="1" applyFont="1" applyBorder="1" applyAlignment="1">
      <alignment horizontal="center" vertical="center"/>
    </xf>
    <xf numFmtId="0" fontId="42" fillId="0" borderId="6" xfId="0" applyNumberFormat="1" applyFont="1" applyBorder="1" applyAlignment="1">
      <alignment horizontal="center" vertical="center"/>
    </xf>
    <xf numFmtId="0" fontId="42" fillId="0" borderId="3" xfId="0" applyFont="1" applyBorder="1" applyAlignment="1">
      <alignment horizontal="center" vertical="center" wrapText="1"/>
    </xf>
    <xf numFmtId="0" fontId="42" fillId="0" borderId="6" xfId="0" applyFont="1" applyBorder="1" applyAlignment="1">
      <alignment horizontal="center" vertical="center" wrapText="1"/>
    </xf>
    <xf numFmtId="0" fontId="42" fillId="0" borderId="6" xfId="0" applyNumberFormat="1" applyFont="1" applyFill="1" applyBorder="1" applyAlignment="1">
      <alignment horizontal="center" vertical="center" wrapText="1"/>
    </xf>
    <xf numFmtId="49" fontId="42" fillId="0" borderId="3" xfId="0" applyNumberFormat="1" applyFont="1" applyFill="1" applyBorder="1" applyAlignment="1">
      <alignment horizontal="center" vertical="center" wrapText="1"/>
    </xf>
    <xf numFmtId="49" fontId="42" fillId="0" borderId="6" xfId="0" applyNumberFormat="1" applyFont="1" applyFill="1" applyBorder="1" applyAlignment="1">
      <alignment horizontal="center" vertical="center" wrapText="1"/>
    </xf>
    <xf numFmtId="164" fontId="2" fillId="0" borderId="2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2" fillId="0" borderId="2" xfId="0" applyNumberFormat="1" applyFont="1" applyFill="1" applyBorder="1" applyAlignment="1">
      <alignment horizontal="center" vertical="center" wrapText="1"/>
    </xf>
    <xf numFmtId="0" fontId="42" fillId="0" borderId="2" xfId="0" applyFont="1" applyFill="1" applyBorder="1" applyAlignment="1">
      <alignment horizontal="center" vertical="center" wrapText="1"/>
    </xf>
    <xf numFmtId="0" fontId="42" fillId="0" borderId="4" xfId="0" applyNumberFormat="1" applyFont="1" applyBorder="1" applyAlignment="1">
      <alignment horizontal="center" vertical="center"/>
    </xf>
    <xf numFmtId="0" fontId="42" fillId="0" borderId="9" xfId="0" applyNumberFormat="1" applyFont="1" applyBorder="1" applyAlignment="1">
      <alignment horizontal="center" vertical="center"/>
    </xf>
    <xf numFmtId="0" fontId="42" fillId="0" borderId="5" xfId="0" applyNumberFormat="1" applyFont="1" applyBorder="1" applyAlignment="1">
      <alignment horizontal="center" vertical="center"/>
    </xf>
    <xf numFmtId="0" fontId="42" fillId="0" borderId="4" xfId="0" applyNumberFormat="1" applyFont="1" applyFill="1" applyBorder="1" applyAlignment="1">
      <alignment horizontal="center" vertical="center" wrapText="1"/>
    </xf>
    <xf numFmtId="0" fontId="42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5" fillId="2" borderId="7" xfId="0" applyFont="1" applyFill="1" applyBorder="1" applyAlignment="1" applyProtection="1">
      <alignment horizontal="center" vertical="center"/>
      <protection locked="0"/>
    </xf>
    <xf numFmtId="0" fontId="35" fillId="2" borderId="0" xfId="0" applyFont="1" applyFill="1" applyBorder="1" applyAlignment="1" applyProtection="1">
      <alignment horizontal="center" vertical="center"/>
      <protection locked="0"/>
    </xf>
    <xf numFmtId="0" fontId="22" fillId="26" borderId="0" xfId="0" applyFont="1" applyFill="1" applyBorder="1" applyAlignment="1" applyProtection="1">
      <alignment horizontal="right" vertical="center"/>
    </xf>
    <xf numFmtId="0" fontId="52" fillId="28" borderId="2" xfId="0" applyFont="1" applyFill="1" applyBorder="1" applyAlignment="1" applyProtection="1">
      <alignment horizontal="left" vertical="center"/>
      <protection locked="0"/>
    </xf>
    <xf numFmtId="0" fontId="50" fillId="19" borderId="21" xfId="0" applyFont="1" applyFill="1" applyBorder="1" applyAlignment="1" applyProtection="1">
      <alignment horizontal="center" vertical="center"/>
    </xf>
    <xf numFmtId="0" fontId="50" fillId="19" borderId="26" xfId="0" applyFont="1" applyFill="1" applyBorder="1" applyAlignment="1" applyProtection="1">
      <alignment horizontal="center" vertical="center"/>
    </xf>
    <xf numFmtId="0" fontId="50" fillId="19" borderId="22" xfId="0" applyFont="1" applyFill="1" applyBorder="1" applyAlignment="1" applyProtection="1">
      <alignment horizontal="center" vertical="center"/>
    </xf>
    <xf numFmtId="0" fontId="50" fillId="19" borderId="7" xfId="0" applyFont="1" applyFill="1" applyBorder="1" applyAlignment="1" applyProtection="1">
      <alignment horizontal="center" vertical="center"/>
    </xf>
    <xf numFmtId="0" fontId="50" fillId="19" borderId="0" xfId="0" applyFont="1" applyFill="1" applyBorder="1" applyAlignment="1" applyProtection="1">
      <alignment horizontal="center" vertical="center"/>
    </xf>
    <xf numFmtId="0" fontId="50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3" fillId="7" borderId="2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54" fillId="14" borderId="1" xfId="0" applyFont="1" applyFill="1" applyBorder="1" applyAlignment="1">
      <alignment horizontal="center" wrapText="1"/>
    </xf>
    <xf numFmtId="0" fontId="0" fillId="9" borderId="26" xfId="0" applyFill="1" applyBorder="1" applyAlignment="1">
      <alignment horizontal="center" wrapText="1"/>
    </xf>
    <xf numFmtId="0" fontId="55" fillId="24" borderId="21" xfId="0" applyFont="1" applyFill="1" applyBorder="1" applyAlignment="1" applyProtection="1">
      <alignment horizontal="center" vertical="center"/>
    </xf>
    <xf numFmtId="0" fontId="55" fillId="24" borderId="26" xfId="0" applyFont="1" applyFill="1" applyBorder="1" applyAlignment="1" applyProtection="1">
      <alignment horizontal="center" vertical="center"/>
    </xf>
    <xf numFmtId="0" fontId="55" fillId="24" borderId="22" xfId="0" applyFont="1" applyFill="1" applyBorder="1" applyAlignment="1" applyProtection="1">
      <alignment horizontal="center" vertical="center"/>
    </xf>
    <xf numFmtId="0" fontId="55" fillId="24" borderId="40" xfId="0" applyFont="1" applyFill="1" applyBorder="1" applyAlignment="1" applyProtection="1">
      <alignment horizontal="center" vertical="center"/>
    </xf>
    <xf numFmtId="0" fontId="55" fillId="24" borderId="41" xfId="0" applyFont="1" applyFill="1" applyBorder="1" applyAlignment="1" applyProtection="1">
      <alignment horizontal="center" vertical="center"/>
    </xf>
    <xf numFmtId="0" fontId="55" fillId="24" borderId="42" xfId="0" applyFont="1" applyFill="1" applyBorder="1" applyAlignment="1" applyProtection="1">
      <alignment horizontal="center" vertical="center"/>
    </xf>
    <xf numFmtId="0" fontId="51" fillId="21" borderId="0" xfId="0" applyFont="1" applyFill="1" applyBorder="1" applyAlignment="1" applyProtection="1">
      <alignment horizontal="center" vertical="center"/>
    </xf>
    <xf numFmtId="0" fontId="51" fillId="21" borderId="8" xfId="0" applyFont="1" applyFill="1" applyBorder="1" applyAlignment="1" applyProtection="1">
      <alignment horizontal="center" vertical="center"/>
    </xf>
    <xf numFmtId="0" fontId="56" fillId="21" borderId="18" xfId="0" applyFont="1" applyFill="1" applyBorder="1" applyAlignment="1" applyProtection="1">
      <alignment horizontal="center" vertical="center"/>
    </xf>
    <xf numFmtId="0" fontId="56" fillId="21" borderId="6" xfId="0" applyFont="1" applyFill="1" applyBorder="1" applyAlignment="1" applyProtection="1">
      <alignment horizontal="center" vertical="center"/>
    </xf>
    <xf numFmtId="0" fontId="52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51" fillId="0" borderId="2" xfId="0" applyFont="1" applyFill="1" applyBorder="1" applyAlignment="1" applyProtection="1">
      <alignment horizontal="left" vertical="top" wrapText="1" indent="1"/>
      <protection locked="0"/>
    </xf>
    <xf numFmtId="0" fontId="51" fillId="0" borderId="4" xfId="0" applyFont="1" applyFill="1" applyBorder="1" applyAlignment="1" applyProtection="1">
      <alignment horizontal="left" vertical="top" wrapText="1" indent="1"/>
      <protection locked="0"/>
    </xf>
    <xf numFmtId="0" fontId="0" fillId="9" borderId="26" xfId="0" applyFill="1" applyBorder="1" applyAlignment="1">
      <alignment horizontal="center"/>
    </xf>
    <xf numFmtId="0" fontId="45" fillId="15" borderId="4" xfId="0" applyFont="1" applyFill="1" applyBorder="1" applyAlignment="1">
      <alignment horizontal="left" vertical="center"/>
    </xf>
    <xf numFmtId="0" fontId="45" fillId="15" borderId="9" xfId="0" applyFont="1" applyFill="1" applyBorder="1" applyAlignment="1">
      <alignment horizontal="left" vertical="center"/>
    </xf>
    <xf numFmtId="0" fontId="45" fillId="15" borderId="5" xfId="0" applyFont="1" applyFill="1" applyBorder="1" applyAlignment="1">
      <alignment horizontal="left" vertical="center"/>
    </xf>
    <xf numFmtId="0" fontId="57" fillId="25" borderId="2" xfId="0" applyFont="1" applyFill="1" applyBorder="1" applyAlignment="1">
      <alignment horizontal="center" vertical="center"/>
    </xf>
    <xf numFmtId="0" fontId="57" fillId="19" borderId="4" xfId="0" applyFont="1" applyFill="1" applyBorder="1" applyAlignment="1">
      <alignment horizontal="left" vertical="top"/>
    </xf>
    <xf numFmtId="0" fontId="57" fillId="19" borderId="9" xfId="0" applyFont="1" applyFill="1" applyBorder="1" applyAlignment="1">
      <alignment horizontal="left" vertical="top"/>
    </xf>
    <xf numFmtId="0" fontId="57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61" fillId="11" borderId="3" xfId="0" applyFont="1" applyFill="1" applyBorder="1" applyAlignment="1">
      <alignment horizontal="left" vertical="top"/>
    </xf>
    <xf numFmtId="0" fontId="61" fillId="11" borderId="18" xfId="0" applyFont="1" applyFill="1" applyBorder="1" applyAlignment="1">
      <alignment horizontal="left" vertical="top"/>
    </xf>
    <xf numFmtId="0" fontId="61" fillId="11" borderId="7" xfId="0" applyFont="1" applyFill="1" applyBorder="1" applyAlignment="1">
      <alignment horizontal="left" vertical="top"/>
    </xf>
    <xf numFmtId="0" fontId="61" fillId="11" borderId="6" xfId="0" applyFont="1" applyFill="1" applyBorder="1" applyAlignment="1">
      <alignment horizontal="left" vertical="top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2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2" fillId="22" borderId="46" xfId="0" applyFont="1" applyFill="1" applyBorder="1" applyAlignment="1" applyProtection="1">
      <alignment horizontal="center" vertical="center" wrapText="1" shrinkToFit="1"/>
    </xf>
    <xf numFmtId="0" fontId="62" fillId="22" borderId="18" xfId="0" applyFont="1" applyFill="1" applyBorder="1" applyAlignment="1" applyProtection="1">
      <alignment horizontal="center" vertical="center" wrapText="1" shrinkToFit="1"/>
    </xf>
    <xf numFmtId="0" fontId="62" fillId="22" borderId="43" xfId="0" applyFont="1" applyFill="1" applyBorder="1" applyAlignment="1" applyProtection="1">
      <alignment horizontal="center" vertical="center" wrapText="1" shrinkToFi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7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n128\Documents\GitHub\quanlydv\qldv\image\92001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847725</xdr:colOff>
          <xdr:row>0</xdr:row>
          <xdr:rowOff>190500</xdr:rowOff>
        </xdr:from>
        <xdr:to>
          <xdr:col>21</xdr:col>
          <xdr:colOff>676275</xdr:colOff>
          <xdr:row>0</xdr:row>
          <xdr:rowOff>447675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847725</xdr:colOff>
          <xdr:row>0</xdr:row>
          <xdr:rowOff>76200</xdr:rowOff>
        </xdr:from>
        <xdr:to>
          <xdr:col>22</xdr:col>
          <xdr:colOff>600075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19</xdr:col>
      <xdr:colOff>1512795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oneCell">
    <xdr:from>
      <xdr:col>8</xdr:col>
      <xdr:colOff>8465</xdr:colOff>
      <xdr:row>6</xdr:row>
      <xdr:rowOff>89758</xdr:rowOff>
    </xdr:from>
    <xdr:to>
      <xdr:col>13</xdr:col>
      <xdr:colOff>168089</xdr:colOff>
      <xdr:row>11</xdr:row>
      <xdr:rowOff>273635</xdr:rowOff>
    </xdr:to>
    <xdr:pic>
      <xdr:nvPicPr>
        <xdr:cNvPr id="13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3"/>
          <a:ext cx="1064499" cy="13840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276225</xdr:rowOff>
        </xdr:from>
        <xdr:to>
          <xdr:col>7</xdr:col>
          <xdr:colOff>923925</xdr:colOff>
          <xdr:row>0</xdr:row>
          <xdr:rowOff>523875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266700</xdr:colOff>
      <xdr:row>0</xdr:row>
      <xdr:rowOff>247650</xdr:rowOff>
    </xdr:from>
    <xdr:to>
      <xdr:col>7</xdr:col>
      <xdr:colOff>171450</xdr:colOff>
      <xdr:row>0</xdr:row>
      <xdr:rowOff>552450</xdr:rowOff>
    </xdr:to>
    <xdr:sp macro="" textlink="">
      <xdr:nvSpPr>
        <xdr:cNvPr id="4" name="Rectangle 3"/>
        <xdr:cNvSpPr/>
      </xdr:nvSpPr>
      <xdr:spPr>
        <a:xfrm>
          <a:off x="7800975" y="247650"/>
          <a:ext cx="866775" cy="3048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0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Clear</a:t>
          </a: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Clear</a:t>
          </a: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Clear</a:t>
          </a:r>
          <a:endParaRPr lang="en-US" sz="1600" baseline="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image" Target="../media/image8.emf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zoomScale="130" zoomScaleNormal="130" workbookViewId="0">
      <selection activeCell="B4" sqref="B4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39" t="s">
        <v>88</v>
      </c>
      <c r="C2" s="440"/>
      <c r="D2" s="441"/>
      <c r="E2" s="83"/>
    </row>
    <row r="3" spans="1:5" ht="27.75" customHeight="1" thickTop="1">
      <c r="A3" s="142"/>
      <c r="B3" s="248" t="s">
        <v>89</v>
      </c>
      <c r="C3" s="147" t="s">
        <v>215</v>
      </c>
      <c r="D3" s="148" t="s">
        <v>248</v>
      </c>
      <c r="E3" s="14"/>
    </row>
    <row r="4" spans="1:5" ht="27.75" customHeight="1">
      <c r="A4" s="142"/>
      <c r="B4" s="274" t="s">
        <v>91</v>
      </c>
      <c r="C4" s="442" t="s">
        <v>176</v>
      </c>
      <c r="D4" s="445" t="s">
        <v>216</v>
      </c>
      <c r="E4" s="14"/>
    </row>
    <row r="5" spans="1:5" ht="27.75" customHeight="1">
      <c r="A5" s="142"/>
      <c r="B5" s="275" t="s">
        <v>164</v>
      </c>
      <c r="C5" s="443"/>
      <c r="D5" s="446"/>
      <c r="E5" s="14"/>
    </row>
    <row r="6" spans="1:5" ht="27.75" customHeight="1">
      <c r="A6" s="142"/>
      <c r="B6" s="275" t="s">
        <v>684</v>
      </c>
      <c r="C6" s="443"/>
      <c r="D6" s="446"/>
      <c r="E6" s="14"/>
    </row>
    <row r="7" spans="1:5" ht="26.25" customHeight="1">
      <c r="A7" s="143"/>
      <c r="B7" s="275" t="s">
        <v>685</v>
      </c>
      <c r="C7" s="443"/>
      <c r="D7" s="446"/>
      <c r="E7" s="14"/>
    </row>
    <row r="8" spans="1:5" ht="29.25" customHeight="1">
      <c r="A8" s="143"/>
      <c r="B8" s="276" t="s">
        <v>686</v>
      </c>
      <c r="C8" s="444"/>
      <c r="D8" s="447"/>
      <c r="E8" s="14"/>
    </row>
    <row r="9" spans="1:5" ht="18" customHeight="1">
      <c r="A9" s="14"/>
      <c r="B9" s="451" t="s">
        <v>683</v>
      </c>
      <c r="C9" s="452"/>
      <c r="D9" s="448"/>
      <c r="E9" s="14"/>
    </row>
    <row r="10" spans="1:5" ht="18" customHeight="1">
      <c r="A10" s="14"/>
      <c r="B10" s="451"/>
      <c r="C10" s="453"/>
      <c r="D10" s="449"/>
      <c r="E10" s="14"/>
    </row>
    <row r="11" spans="1:5" ht="18" customHeight="1">
      <c r="A11" s="14"/>
      <c r="B11" s="451"/>
      <c r="C11" s="453"/>
      <c r="D11" s="449"/>
      <c r="E11" s="14"/>
    </row>
    <row r="12" spans="1:5" ht="18" customHeight="1">
      <c r="A12" s="14"/>
      <c r="B12" s="451"/>
      <c r="C12" s="453"/>
      <c r="D12" s="449"/>
      <c r="E12" s="14"/>
    </row>
    <row r="13" spans="1:5" ht="18" customHeight="1">
      <c r="A13" s="14"/>
      <c r="B13" s="451"/>
      <c r="C13" s="453"/>
      <c r="D13" s="449"/>
      <c r="E13" s="14"/>
    </row>
    <row r="14" spans="1:5" ht="18" customHeight="1">
      <c r="A14" s="14"/>
      <c r="B14" s="451"/>
      <c r="C14" s="453"/>
      <c r="D14" s="449"/>
      <c r="E14" s="14"/>
    </row>
    <row r="15" spans="1:5" ht="23.25" customHeight="1">
      <c r="A15" s="14"/>
      <c r="B15" s="454"/>
      <c r="C15" s="455"/>
      <c r="D15" s="450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71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85" customWidth="1"/>
    <col min="4" max="4" width="13.42578125" style="111" customWidth="1"/>
    <col min="5" max="5" width="11.42578125" style="159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6.42578125" style="111" customWidth="1"/>
    <col min="11" max="11" width="11.42578125" style="111" customWidth="1"/>
    <col min="12" max="12" width="10.140625" style="111" customWidth="1"/>
    <col min="13" max="13" width="13.140625" style="160" customWidth="1"/>
    <col min="14" max="14" width="13.42578125" style="154" customWidth="1"/>
    <col min="15" max="15" width="17" style="159" customWidth="1"/>
    <col min="16" max="16" width="11.7109375" style="112" customWidth="1"/>
    <col min="17" max="17" width="15.140625" style="112" customWidth="1"/>
    <col min="18" max="18" width="12.42578125" style="151" customWidth="1"/>
    <col min="19" max="19" width="15" style="216" customWidth="1"/>
    <col min="20" max="20" width="11.140625" style="216" customWidth="1"/>
    <col min="21" max="21" width="12" style="152" customWidth="1"/>
    <col min="22" max="22" width="20.5703125" style="217" customWidth="1"/>
    <col min="23" max="23" width="17.7109375" style="159" customWidth="1"/>
    <col min="24" max="24" width="7.28515625" style="159" customWidth="1"/>
    <col min="25" max="25" width="10.42578125" style="111" customWidth="1"/>
    <col min="26" max="26" width="14" style="111" customWidth="1"/>
    <col min="27" max="27" width="11" style="154" customWidth="1"/>
    <col min="28" max="28" width="16" style="216" customWidth="1"/>
    <col min="29" max="29" width="14.42578125" style="153" customWidth="1"/>
    <col min="30" max="30" width="10.140625" style="153" customWidth="1"/>
    <col min="31" max="31" width="15.7109375" style="153" customWidth="1"/>
    <col min="32" max="32" width="14.42578125" style="153" customWidth="1"/>
    <col min="33" max="33" width="44.140625" style="154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50"/>
      <c r="C1" s="381"/>
      <c r="D1" s="149"/>
      <c r="E1" s="149"/>
      <c r="F1" s="150"/>
      <c r="G1" s="150"/>
      <c r="H1" s="149"/>
      <c r="I1" s="149"/>
      <c r="J1" s="149"/>
      <c r="K1" s="149"/>
      <c r="L1" s="149"/>
      <c r="M1" s="149"/>
      <c r="N1" s="150"/>
      <c r="O1" s="150"/>
      <c r="V1" s="219"/>
      <c r="W1" s="153"/>
      <c r="X1" s="153"/>
    </row>
    <row r="2" spans="1:76" ht="29.25" customHeight="1">
      <c r="A2" s="467" t="s">
        <v>90</v>
      </c>
      <c r="B2" s="467"/>
      <c r="C2" s="467"/>
      <c r="D2" s="467"/>
      <c r="E2" s="467"/>
      <c r="F2" s="467"/>
      <c r="G2" s="467"/>
      <c r="H2" s="467"/>
      <c r="I2" s="467"/>
      <c r="J2" s="467"/>
      <c r="K2" s="467"/>
      <c r="L2" s="467"/>
      <c r="M2" s="467"/>
      <c r="N2" s="467"/>
      <c r="O2" s="467"/>
      <c r="V2" s="220"/>
      <c r="W2" s="155"/>
      <c r="X2" s="155"/>
      <c r="Y2" s="156"/>
      <c r="Z2" s="156"/>
      <c r="AA2" s="228"/>
    </row>
    <row r="3" spans="1:76" s="438" customFormat="1" ht="19.149999999999999" customHeight="1">
      <c r="A3" s="463" t="s">
        <v>0</v>
      </c>
      <c r="B3" s="461" t="s">
        <v>463</v>
      </c>
      <c r="C3" s="459" t="s">
        <v>464</v>
      </c>
      <c r="D3" s="461" t="s">
        <v>155</v>
      </c>
      <c r="E3" s="461" t="s">
        <v>482</v>
      </c>
      <c r="F3" s="456" t="s">
        <v>480</v>
      </c>
      <c r="G3" s="456" t="s">
        <v>481</v>
      </c>
      <c r="H3" s="456" t="s">
        <v>10</v>
      </c>
      <c r="I3" s="462" t="s">
        <v>112</v>
      </c>
      <c r="J3" s="456" t="s">
        <v>465</v>
      </c>
      <c r="K3" s="456" t="s">
        <v>1</v>
      </c>
      <c r="L3" s="464" t="s">
        <v>466</v>
      </c>
      <c r="M3" s="465"/>
      <c r="N3" s="465"/>
      <c r="O3" s="465"/>
      <c r="P3" s="465"/>
      <c r="Q3" s="465"/>
      <c r="R3" s="466"/>
      <c r="S3" s="464" t="s">
        <v>3</v>
      </c>
      <c r="T3" s="466"/>
      <c r="U3" s="462" t="s">
        <v>487</v>
      </c>
      <c r="V3" s="462" t="s">
        <v>467</v>
      </c>
      <c r="W3" s="456" t="s">
        <v>468</v>
      </c>
      <c r="X3" s="456" t="s">
        <v>95</v>
      </c>
      <c r="Y3" s="456" t="s">
        <v>111</v>
      </c>
      <c r="Z3" s="459" t="s">
        <v>469</v>
      </c>
      <c r="AA3" s="456" t="s">
        <v>160</v>
      </c>
      <c r="AB3" s="456" t="s">
        <v>470</v>
      </c>
      <c r="AC3" s="456" t="s">
        <v>472</v>
      </c>
      <c r="AD3" s="456" t="s">
        <v>488</v>
      </c>
      <c r="AE3" s="456" t="s">
        <v>471</v>
      </c>
      <c r="AF3" s="461" t="s">
        <v>744</v>
      </c>
      <c r="AG3" s="456" t="s">
        <v>116</v>
      </c>
      <c r="AH3" s="456" t="s">
        <v>474</v>
      </c>
      <c r="AI3" s="437"/>
      <c r="AJ3" s="437"/>
      <c r="AK3" s="437"/>
    </row>
    <row r="4" spans="1:76" s="438" customFormat="1" ht="57" customHeight="1">
      <c r="A4" s="463"/>
      <c r="B4" s="457"/>
      <c r="C4" s="460"/>
      <c r="D4" s="457"/>
      <c r="E4" s="457"/>
      <c r="F4" s="457"/>
      <c r="G4" s="457"/>
      <c r="H4" s="458"/>
      <c r="I4" s="463"/>
      <c r="J4" s="458"/>
      <c r="K4" s="458"/>
      <c r="L4" s="434" t="s">
        <v>475</v>
      </c>
      <c r="M4" s="434" t="s">
        <v>483</v>
      </c>
      <c r="N4" s="434" t="s">
        <v>476</v>
      </c>
      <c r="O4" s="434" t="s">
        <v>484</v>
      </c>
      <c r="P4" s="435" t="s">
        <v>477</v>
      </c>
      <c r="Q4" s="435" t="s">
        <v>485</v>
      </c>
      <c r="R4" s="435" t="s">
        <v>486</v>
      </c>
      <c r="S4" s="436" t="s">
        <v>478</v>
      </c>
      <c r="T4" s="436" t="s">
        <v>479</v>
      </c>
      <c r="U4" s="463"/>
      <c r="V4" s="463"/>
      <c r="W4" s="458"/>
      <c r="X4" s="458"/>
      <c r="Y4" s="458"/>
      <c r="Z4" s="460"/>
      <c r="AA4" s="458"/>
      <c r="AB4" s="458"/>
      <c r="AC4" s="458"/>
      <c r="AD4" s="457"/>
      <c r="AE4" s="458"/>
      <c r="AF4" s="457"/>
      <c r="AG4" s="457"/>
      <c r="AH4" s="457"/>
      <c r="AI4" s="437"/>
      <c r="AJ4" s="437"/>
      <c r="AK4" s="437"/>
    </row>
    <row r="5" spans="1:76" ht="15" hidden="1" customHeight="1">
      <c r="A5" s="157" t="s">
        <v>22</v>
      </c>
      <c r="B5" s="157">
        <v>1</v>
      </c>
      <c r="C5" s="382">
        <v>1</v>
      </c>
      <c r="D5" s="157">
        <v>2</v>
      </c>
      <c r="E5" s="157">
        <v>3</v>
      </c>
      <c r="F5" s="157">
        <v>1</v>
      </c>
      <c r="G5" s="157">
        <v>1</v>
      </c>
      <c r="H5" s="157">
        <v>1</v>
      </c>
      <c r="I5" s="157">
        <v>1</v>
      </c>
      <c r="J5" s="157">
        <v>1</v>
      </c>
      <c r="K5" s="157">
        <v>1</v>
      </c>
      <c r="L5" s="157">
        <v>1</v>
      </c>
      <c r="M5" s="157">
        <v>4</v>
      </c>
      <c r="N5" s="157">
        <v>5</v>
      </c>
      <c r="O5" s="157">
        <v>6</v>
      </c>
      <c r="P5" s="157">
        <f t="shared" ref="P5:AG5" si="0">COLUMN()-1</f>
        <v>15</v>
      </c>
      <c r="Q5" s="157">
        <f t="shared" si="0"/>
        <v>16</v>
      </c>
      <c r="R5" s="157">
        <f t="shared" si="0"/>
        <v>17</v>
      </c>
      <c r="S5" s="212">
        <f t="shared" si="0"/>
        <v>18</v>
      </c>
      <c r="T5" s="212">
        <f t="shared" si="0"/>
        <v>19</v>
      </c>
      <c r="U5" s="157">
        <f t="shared" si="0"/>
        <v>20</v>
      </c>
      <c r="V5" s="212">
        <v>7</v>
      </c>
      <c r="W5" s="157">
        <v>8</v>
      </c>
      <c r="X5" s="157"/>
      <c r="Y5" s="157">
        <v>9</v>
      </c>
      <c r="Z5" s="157"/>
      <c r="AA5" s="157">
        <f>COLUMN()-1</f>
        <v>26</v>
      </c>
      <c r="AB5" s="212">
        <f t="shared" si="0"/>
        <v>27</v>
      </c>
      <c r="AC5" s="212">
        <f t="shared" si="0"/>
        <v>28</v>
      </c>
      <c r="AD5" s="212">
        <f t="shared" si="0"/>
        <v>29</v>
      </c>
      <c r="AE5" s="212">
        <f t="shared" si="0"/>
        <v>30</v>
      </c>
      <c r="AF5" s="212">
        <f t="shared" si="0"/>
        <v>31</v>
      </c>
      <c r="AG5" s="157">
        <f t="shared" si="0"/>
        <v>32</v>
      </c>
      <c r="AH5" s="204"/>
    </row>
    <row r="6" spans="1:76" s="112" customFormat="1" ht="17.45" customHeight="1">
      <c r="A6" s="158">
        <f>COLUMN()</f>
        <v>1</v>
      </c>
      <c r="B6" s="158">
        <v>2</v>
      </c>
      <c r="C6" s="383">
        <v>3</v>
      </c>
      <c r="D6" s="158">
        <v>4</v>
      </c>
      <c r="E6" s="158">
        <v>5</v>
      </c>
      <c r="F6" s="158">
        <v>6</v>
      </c>
      <c r="G6" s="158">
        <v>7</v>
      </c>
      <c r="H6" s="158">
        <v>8</v>
      </c>
      <c r="I6" s="158">
        <v>9</v>
      </c>
      <c r="J6" s="158">
        <v>10</v>
      </c>
      <c r="K6" s="158">
        <v>11</v>
      </c>
      <c r="L6" s="158">
        <v>12</v>
      </c>
      <c r="M6" s="158">
        <v>13</v>
      </c>
      <c r="N6" s="158">
        <v>14</v>
      </c>
      <c r="O6" s="158">
        <v>15</v>
      </c>
      <c r="P6" s="158">
        <v>16</v>
      </c>
      <c r="Q6" s="158">
        <v>17</v>
      </c>
      <c r="R6" s="158">
        <v>18</v>
      </c>
      <c r="S6" s="158">
        <v>19</v>
      </c>
      <c r="T6" s="158">
        <v>20</v>
      </c>
      <c r="U6" s="158">
        <v>21</v>
      </c>
      <c r="V6" s="158">
        <v>22</v>
      </c>
      <c r="W6" s="158">
        <v>23</v>
      </c>
      <c r="X6" s="158">
        <v>24</v>
      </c>
      <c r="Y6" s="158">
        <v>25</v>
      </c>
      <c r="Z6" s="158">
        <v>26</v>
      </c>
      <c r="AA6" s="158">
        <v>27</v>
      </c>
      <c r="AB6" s="158">
        <v>28</v>
      </c>
      <c r="AC6" s="158">
        <v>29</v>
      </c>
      <c r="AD6" s="158">
        <v>30</v>
      </c>
      <c r="AE6" s="158">
        <v>31</v>
      </c>
      <c r="AF6" s="158">
        <v>32</v>
      </c>
      <c r="AG6" s="158">
        <v>33</v>
      </c>
      <c r="AH6" s="158">
        <v>34</v>
      </c>
      <c r="AI6" s="201"/>
      <c r="AJ6" s="201" t="s">
        <v>239</v>
      </c>
      <c r="AK6" s="201" t="s">
        <v>236</v>
      </c>
      <c r="AL6" s="202"/>
      <c r="AM6" s="202"/>
      <c r="AN6" s="202"/>
      <c r="AO6" s="202"/>
      <c r="AP6" s="202"/>
      <c r="AQ6" s="202"/>
      <c r="AR6" s="202"/>
      <c r="AS6" s="202"/>
      <c r="AT6" s="202"/>
      <c r="AU6" s="202"/>
      <c r="AV6" s="202"/>
      <c r="AW6" s="202"/>
      <c r="AX6" s="202"/>
      <c r="AY6" s="202"/>
      <c r="AZ6" s="202"/>
      <c r="BA6" s="202"/>
      <c r="BB6" s="202"/>
      <c r="BC6" s="202"/>
      <c r="BD6" s="202"/>
      <c r="BE6" s="202"/>
      <c r="BF6" s="202"/>
      <c r="BG6" s="202"/>
      <c r="BH6" s="202"/>
      <c r="BI6" s="202"/>
      <c r="BJ6" s="202"/>
      <c r="BK6" s="202"/>
      <c r="BL6" s="202"/>
      <c r="BM6" s="202"/>
      <c r="BN6" s="202"/>
      <c r="BO6" s="202"/>
      <c r="BP6" s="202"/>
      <c r="BQ6" s="202"/>
      <c r="BR6" s="202"/>
      <c r="BS6" s="202"/>
      <c r="BT6" s="202"/>
      <c r="BU6" s="202"/>
      <c r="BV6" s="202"/>
      <c r="BW6" s="202"/>
      <c r="BX6" s="202"/>
    </row>
    <row r="7" spans="1:76" s="227" customFormat="1" ht="22.5" customHeight="1">
      <c r="A7" s="222">
        <v>2</v>
      </c>
      <c r="B7" s="222">
        <v>123456</v>
      </c>
      <c r="C7" s="198">
        <v>32131265</v>
      </c>
      <c r="D7" s="364">
        <v>456498</v>
      </c>
      <c r="E7" s="365">
        <v>123213</v>
      </c>
      <c r="F7" s="222" t="s">
        <v>725</v>
      </c>
      <c r="G7" s="222" t="s">
        <v>725</v>
      </c>
      <c r="H7" s="222" t="s">
        <v>6</v>
      </c>
      <c r="I7" s="222" t="s">
        <v>532</v>
      </c>
      <c r="J7" s="222" t="s">
        <v>120</v>
      </c>
      <c r="K7" s="197">
        <v>34700</v>
      </c>
      <c r="L7" s="197">
        <v>34700</v>
      </c>
      <c r="M7" s="222" t="s">
        <v>680</v>
      </c>
      <c r="N7" s="197">
        <v>34700</v>
      </c>
      <c r="O7" s="367">
        <v>0</v>
      </c>
      <c r="P7" s="197">
        <v>34700</v>
      </c>
      <c r="Q7" s="197">
        <v>34700</v>
      </c>
      <c r="R7" s="197">
        <v>34700</v>
      </c>
      <c r="S7" s="197" t="s">
        <v>726</v>
      </c>
      <c r="T7" s="197" t="s">
        <v>491</v>
      </c>
      <c r="U7" s="197" t="s">
        <v>338</v>
      </c>
      <c r="V7" s="198" t="s">
        <v>258</v>
      </c>
      <c r="W7" s="198" t="s">
        <v>509</v>
      </c>
      <c r="X7" s="198" t="s">
        <v>219</v>
      </c>
      <c r="Y7" s="198" t="s">
        <v>110</v>
      </c>
      <c r="Z7" s="198" t="s">
        <v>727</v>
      </c>
      <c r="AA7" s="198" t="s">
        <v>152</v>
      </c>
      <c r="AB7" s="194">
        <v>0</v>
      </c>
      <c r="AC7" s="194" t="s">
        <v>728</v>
      </c>
      <c r="AD7" s="194" t="s">
        <v>148</v>
      </c>
      <c r="AE7" s="194" t="s">
        <v>128</v>
      </c>
      <c r="AF7" s="194" t="s">
        <v>127</v>
      </c>
      <c r="AG7" s="194" t="s">
        <v>680</v>
      </c>
      <c r="AH7" s="194" t="s">
        <v>680</v>
      </c>
      <c r="AI7" s="201"/>
      <c r="AJ7" s="201">
        <f t="shared" ref="AJ7:AJ45" ca="1" si="1">IF(TRIM(K7)&lt;&gt;"",DATEDIF(K7,TODAY(),"y"),0)</f>
        <v>26</v>
      </c>
      <c r="AK7" s="201">
        <f t="shared" ref="AK7:AK45" ca="1" si="2">IF(TRIM(P7)&lt;&gt;"",DATEDIF(P7,TODAY(),"m"),0)</f>
        <v>319</v>
      </c>
      <c r="AL7" s="202"/>
      <c r="AM7" s="202"/>
      <c r="AN7" s="202"/>
      <c r="AO7" s="202"/>
      <c r="AP7" s="202"/>
      <c r="AQ7" s="202"/>
      <c r="AR7" s="202"/>
      <c r="AS7" s="202"/>
      <c r="AT7" s="202"/>
      <c r="AU7" s="202"/>
      <c r="AV7" s="202"/>
      <c r="AW7" s="202"/>
      <c r="AX7" s="202"/>
      <c r="AY7" s="202"/>
      <c r="AZ7" s="202"/>
      <c r="BA7" s="202"/>
      <c r="BB7" s="202"/>
      <c r="BC7" s="202"/>
      <c r="BD7" s="202"/>
      <c r="BE7" s="202"/>
      <c r="BF7" s="202"/>
      <c r="BG7" s="202"/>
      <c r="BH7" s="202"/>
      <c r="BI7" s="202"/>
      <c r="BJ7" s="202"/>
      <c r="BK7" s="202"/>
      <c r="BL7" s="202"/>
      <c r="BM7" s="202"/>
      <c r="BN7" s="202"/>
      <c r="BO7" s="202"/>
      <c r="BP7" s="202"/>
      <c r="BQ7" s="202"/>
      <c r="BR7" s="202"/>
      <c r="BS7" s="202"/>
      <c r="BT7" s="202"/>
      <c r="BU7" s="202"/>
      <c r="BV7" s="202"/>
      <c r="BW7" s="202"/>
      <c r="BX7" s="202"/>
    </row>
    <row r="8" spans="1:76" s="227" customFormat="1" ht="22.5" customHeight="1">
      <c r="A8" s="222">
        <v>3</v>
      </c>
      <c r="B8" s="222">
        <v>170608</v>
      </c>
      <c r="C8" s="198">
        <v>79461356</v>
      </c>
      <c r="D8" s="364">
        <v>142678615</v>
      </c>
      <c r="E8" s="365">
        <v>13265478</v>
      </c>
      <c r="F8" s="222" t="s">
        <v>721</v>
      </c>
      <c r="G8" s="222" t="s">
        <v>721</v>
      </c>
      <c r="H8" s="222" t="s">
        <v>6</v>
      </c>
      <c r="I8" s="222" t="s">
        <v>531</v>
      </c>
      <c r="J8" s="222" t="s">
        <v>120</v>
      </c>
      <c r="K8" s="197">
        <v>35001</v>
      </c>
      <c r="L8" s="197">
        <v>36892</v>
      </c>
      <c r="M8" s="222" t="s">
        <v>678</v>
      </c>
      <c r="N8" s="197">
        <v>36893</v>
      </c>
      <c r="O8" s="197" t="s">
        <v>678</v>
      </c>
      <c r="P8" s="197">
        <v>36894</v>
      </c>
      <c r="Q8" s="197">
        <v>36895</v>
      </c>
      <c r="R8" s="197">
        <v>36896</v>
      </c>
      <c r="S8" s="197" t="s">
        <v>723</v>
      </c>
      <c r="T8" s="197" t="s">
        <v>491</v>
      </c>
      <c r="U8" s="197" t="s">
        <v>337</v>
      </c>
      <c r="V8" s="198" t="s">
        <v>257</v>
      </c>
      <c r="W8" s="198" t="s">
        <v>509</v>
      </c>
      <c r="X8" s="198" t="s">
        <v>219</v>
      </c>
      <c r="Y8" s="198" t="s">
        <v>110</v>
      </c>
      <c r="Z8" s="198" t="s">
        <v>547</v>
      </c>
      <c r="AA8" s="198" t="s">
        <v>4</v>
      </c>
      <c r="AB8" s="194">
        <v>0</v>
      </c>
      <c r="AC8" s="194" t="s">
        <v>724</v>
      </c>
      <c r="AD8" s="194" t="s">
        <v>148</v>
      </c>
      <c r="AE8" s="194" t="s">
        <v>127</v>
      </c>
      <c r="AF8" s="194" t="s">
        <v>128</v>
      </c>
      <c r="AG8" s="194" t="s">
        <v>680</v>
      </c>
      <c r="AH8" s="194" t="s">
        <v>680</v>
      </c>
      <c r="AI8" s="201"/>
      <c r="AJ8" s="201"/>
      <c r="AK8" s="201"/>
      <c r="AL8" s="202"/>
      <c r="AM8" s="202"/>
      <c r="AN8" s="202"/>
      <c r="AO8" s="202"/>
      <c r="AP8" s="202"/>
      <c r="AQ8" s="202"/>
      <c r="AR8" s="202"/>
      <c r="AS8" s="202"/>
      <c r="AT8" s="202"/>
      <c r="AU8" s="202"/>
      <c r="AV8" s="202"/>
      <c r="AW8" s="202"/>
      <c r="AX8" s="202"/>
      <c r="AY8" s="202"/>
      <c r="AZ8" s="202"/>
      <c r="BA8" s="202"/>
      <c r="BB8" s="202"/>
      <c r="BC8" s="202"/>
      <c r="BD8" s="202"/>
      <c r="BE8" s="202"/>
      <c r="BF8" s="202"/>
      <c r="BG8" s="202"/>
      <c r="BH8" s="202"/>
      <c r="BI8" s="202"/>
      <c r="BJ8" s="202"/>
      <c r="BK8" s="202"/>
      <c r="BL8" s="202"/>
      <c r="BM8" s="202"/>
      <c r="BN8" s="202"/>
      <c r="BO8" s="202"/>
      <c r="BP8" s="202"/>
      <c r="BQ8" s="202"/>
      <c r="BR8" s="202"/>
      <c r="BS8" s="202"/>
      <c r="BT8" s="202"/>
      <c r="BU8" s="202"/>
      <c r="BV8" s="202"/>
      <c r="BW8" s="202"/>
      <c r="BX8" s="202"/>
    </row>
    <row r="9" spans="1:76" s="199" customFormat="1" ht="22.5" customHeight="1">
      <c r="A9" s="222">
        <v>4</v>
      </c>
      <c r="B9" s="222">
        <v>920016</v>
      </c>
      <c r="C9" s="198">
        <v>77194808</v>
      </c>
      <c r="D9" s="222">
        <v>111111</v>
      </c>
      <c r="E9" s="194">
        <v>22222</v>
      </c>
      <c r="F9" s="222" t="s">
        <v>548</v>
      </c>
      <c r="G9" s="222" t="s">
        <v>548</v>
      </c>
      <c r="H9" s="222" t="s">
        <v>6</v>
      </c>
      <c r="I9" s="222" t="s">
        <v>544</v>
      </c>
      <c r="J9" s="222" t="s">
        <v>121</v>
      </c>
      <c r="K9" s="197">
        <v>30339</v>
      </c>
      <c r="L9" s="197">
        <v>38236</v>
      </c>
      <c r="M9" s="222" t="s">
        <v>561</v>
      </c>
      <c r="N9" s="197">
        <v>38601</v>
      </c>
      <c r="O9" s="197" t="s">
        <v>562</v>
      </c>
      <c r="P9" s="197">
        <v>37531</v>
      </c>
      <c r="Q9" s="197">
        <v>39083</v>
      </c>
      <c r="R9" s="197"/>
      <c r="S9" s="197" t="s">
        <v>549</v>
      </c>
      <c r="T9" s="197" t="s">
        <v>135</v>
      </c>
      <c r="U9" s="197" t="s">
        <v>348</v>
      </c>
      <c r="V9" s="198" t="s">
        <v>266</v>
      </c>
      <c r="W9" s="198" t="s">
        <v>510</v>
      </c>
      <c r="X9" s="198" t="s">
        <v>219</v>
      </c>
      <c r="Y9" s="198" t="s">
        <v>110</v>
      </c>
      <c r="Z9" s="198" t="s">
        <v>547</v>
      </c>
      <c r="AA9" s="198" t="s">
        <v>15</v>
      </c>
      <c r="AB9" s="194" t="s">
        <v>15</v>
      </c>
      <c r="AC9" s="194" t="s">
        <v>149</v>
      </c>
      <c r="AD9" s="194" t="s">
        <v>15</v>
      </c>
      <c r="AE9" s="194" t="s">
        <v>550</v>
      </c>
      <c r="AF9" s="194" t="s">
        <v>129</v>
      </c>
      <c r="AG9" s="194" t="s">
        <v>551</v>
      </c>
      <c r="AH9" s="194" t="s">
        <v>552</v>
      </c>
      <c r="AI9" s="201"/>
      <c r="AJ9" s="91">
        <f t="shared" ca="1" si="1"/>
        <v>38</v>
      </c>
      <c r="AK9" s="91">
        <f t="shared" ca="1" si="2"/>
        <v>226</v>
      </c>
      <c r="AL9" s="203"/>
      <c r="AM9" s="203"/>
      <c r="AN9" s="203"/>
      <c r="AO9" s="203"/>
      <c r="AP9" s="203"/>
      <c r="AQ9" s="203"/>
      <c r="AR9" s="203"/>
      <c r="AS9" s="203"/>
      <c r="AT9" s="203"/>
      <c r="AU9" s="203"/>
      <c r="AV9" s="203"/>
      <c r="AW9" s="203"/>
      <c r="AX9" s="203"/>
      <c r="AY9" s="203"/>
      <c r="AZ9" s="203"/>
      <c r="BA9" s="203"/>
      <c r="BB9" s="203"/>
      <c r="BC9" s="203"/>
      <c r="BD9" s="203"/>
      <c r="BE9" s="203"/>
      <c r="BF9" s="203"/>
      <c r="BG9" s="203"/>
      <c r="BH9" s="203"/>
      <c r="BI9" s="203"/>
      <c r="BJ9" s="203"/>
      <c r="BK9" s="203"/>
      <c r="BL9" s="203"/>
      <c r="BM9" s="203"/>
      <c r="BN9" s="203"/>
      <c r="BO9" s="203"/>
      <c r="BP9" s="203"/>
      <c r="BQ9" s="203"/>
      <c r="BR9" s="203"/>
      <c r="BS9" s="203"/>
      <c r="BT9" s="203"/>
      <c r="BU9" s="203"/>
      <c r="BV9" s="203"/>
      <c r="BW9" s="203"/>
      <c r="BX9" s="203"/>
    </row>
    <row r="10" spans="1:76" s="199" customFormat="1" ht="22.5" customHeight="1">
      <c r="A10" s="222">
        <v>5</v>
      </c>
      <c r="B10" s="222"/>
      <c r="C10" s="198"/>
      <c r="D10" s="193"/>
      <c r="E10" s="194"/>
      <c r="F10" s="222"/>
      <c r="G10" s="222"/>
      <c r="H10" s="193"/>
      <c r="I10" s="193"/>
      <c r="J10" s="193"/>
      <c r="K10" s="195"/>
      <c r="L10" s="196"/>
      <c r="M10" s="193"/>
      <c r="N10" s="197"/>
      <c r="O10" s="197"/>
      <c r="P10" s="197"/>
      <c r="Q10" s="197"/>
      <c r="R10" s="196"/>
      <c r="S10" s="195"/>
      <c r="T10" s="195"/>
      <c r="U10" s="197"/>
      <c r="V10" s="213"/>
      <c r="W10" s="198"/>
      <c r="X10" s="198"/>
      <c r="Y10" s="198"/>
      <c r="Z10" s="198"/>
      <c r="AA10" s="198"/>
      <c r="AB10" s="200"/>
      <c r="AC10" s="200"/>
      <c r="AD10" s="200"/>
      <c r="AE10" s="200"/>
      <c r="AF10" s="200"/>
      <c r="AG10" s="200"/>
      <c r="AH10" s="200"/>
      <c r="AI10" s="91"/>
      <c r="AJ10" s="91">
        <f t="shared" ca="1" si="1"/>
        <v>0</v>
      </c>
      <c r="AK10" s="91">
        <f t="shared" ca="1" si="2"/>
        <v>0</v>
      </c>
      <c r="AL10" s="203"/>
      <c r="AM10" s="203"/>
      <c r="AN10" s="203"/>
      <c r="AO10" s="203"/>
      <c r="AP10" s="203"/>
      <c r="AQ10" s="203"/>
      <c r="AR10" s="203"/>
      <c r="AS10" s="203"/>
      <c r="AT10" s="203"/>
      <c r="AU10" s="203"/>
      <c r="AV10" s="203"/>
      <c r="AW10" s="203"/>
      <c r="AX10" s="203"/>
      <c r="AY10" s="203"/>
      <c r="AZ10" s="203"/>
      <c r="BA10" s="203"/>
      <c r="BB10" s="203"/>
      <c r="BC10" s="203"/>
      <c r="BD10" s="203"/>
      <c r="BE10" s="203"/>
      <c r="BF10" s="203"/>
      <c r="BG10" s="203"/>
      <c r="BH10" s="203"/>
      <c r="BI10" s="203"/>
      <c r="BJ10" s="203"/>
      <c r="BK10" s="203"/>
      <c r="BL10" s="203"/>
      <c r="BM10" s="203"/>
      <c r="BN10" s="203"/>
      <c r="BO10" s="203"/>
      <c r="BP10" s="203"/>
      <c r="BQ10" s="203"/>
      <c r="BR10" s="203"/>
      <c r="BS10" s="203"/>
      <c r="BT10" s="203"/>
      <c r="BU10" s="203"/>
      <c r="BV10" s="203"/>
      <c r="BW10" s="203"/>
      <c r="BX10" s="203"/>
    </row>
    <row r="11" spans="1:76" s="199" customFormat="1" ht="22.5" customHeight="1">
      <c r="A11" s="222">
        <v>6</v>
      </c>
      <c r="B11" s="222"/>
      <c r="C11" s="198"/>
      <c r="D11" s="193"/>
      <c r="E11" s="194"/>
      <c r="F11" s="222"/>
      <c r="G11" s="222"/>
      <c r="H11" s="193"/>
      <c r="I11" s="193"/>
      <c r="J11" s="193"/>
      <c r="K11" s="195"/>
      <c r="L11" s="196"/>
      <c r="M11" s="193"/>
      <c r="N11" s="197"/>
      <c r="O11" s="197"/>
      <c r="P11" s="197"/>
      <c r="Q11" s="197"/>
      <c r="R11" s="196"/>
      <c r="S11" s="195"/>
      <c r="T11" s="195"/>
      <c r="U11" s="197"/>
      <c r="V11" s="213"/>
      <c r="W11" s="198"/>
      <c r="X11" s="198"/>
      <c r="Y11" s="198"/>
      <c r="Z11" s="198"/>
      <c r="AA11" s="198"/>
      <c r="AB11" s="200"/>
      <c r="AC11" s="200"/>
      <c r="AD11" s="200"/>
      <c r="AE11" s="200"/>
      <c r="AF11" s="200"/>
      <c r="AG11" s="200"/>
      <c r="AH11" s="200"/>
      <c r="AI11" s="91"/>
      <c r="AJ11" s="91">
        <f t="shared" ca="1" si="1"/>
        <v>0</v>
      </c>
      <c r="AK11" s="91">
        <f t="shared" ca="1" si="2"/>
        <v>0</v>
      </c>
      <c r="AL11" s="203"/>
      <c r="AM11" s="203"/>
      <c r="AN11" s="203"/>
      <c r="AO11" s="203"/>
      <c r="AP11" s="203"/>
      <c r="AQ11" s="203"/>
      <c r="AR11" s="203"/>
      <c r="AS11" s="203"/>
      <c r="AT11" s="203"/>
      <c r="AU11" s="203"/>
      <c r="AV11" s="203"/>
      <c r="AW11" s="203"/>
      <c r="AX11" s="203"/>
      <c r="AY11" s="203"/>
      <c r="AZ11" s="203"/>
      <c r="BA11" s="203"/>
      <c r="BB11" s="203"/>
      <c r="BC11" s="203"/>
      <c r="BD11" s="203"/>
      <c r="BE11" s="203"/>
      <c r="BF11" s="203"/>
      <c r="BG11" s="203"/>
      <c r="BH11" s="203"/>
      <c r="BI11" s="203"/>
      <c r="BJ11" s="203"/>
      <c r="BK11" s="203"/>
      <c r="BL11" s="203"/>
      <c r="BM11" s="203"/>
      <c r="BN11" s="203"/>
      <c r="BO11" s="203"/>
      <c r="BP11" s="203"/>
      <c r="BQ11" s="203"/>
      <c r="BR11" s="203"/>
      <c r="BS11" s="203"/>
      <c r="BT11" s="203"/>
      <c r="BU11" s="203"/>
      <c r="BV11" s="203"/>
      <c r="BW11" s="203"/>
      <c r="BX11" s="203"/>
    </row>
    <row r="12" spans="1:76" s="199" customFormat="1" ht="22.5" customHeight="1">
      <c r="A12" s="222">
        <v>7</v>
      </c>
      <c r="B12" s="222"/>
      <c r="C12" s="198"/>
      <c r="D12" s="193"/>
      <c r="E12" s="194"/>
      <c r="F12" s="222"/>
      <c r="G12" s="222"/>
      <c r="H12" s="193"/>
      <c r="I12" s="193"/>
      <c r="J12" s="193"/>
      <c r="K12" s="195"/>
      <c r="L12" s="196"/>
      <c r="M12" s="193"/>
      <c r="N12" s="197"/>
      <c r="O12" s="197"/>
      <c r="P12" s="197"/>
      <c r="Q12" s="197"/>
      <c r="R12" s="196"/>
      <c r="S12" s="195"/>
      <c r="T12" s="195"/>
      <c r="U12" s="197"/>
      <c r="V12" s="213"/>
      <c r="W12" s="198"/>
      <c r="X12" s="198"/>
      <c r="Y12" s="198"/>
      <c r="Z12" s="198"/>
      <c r="AA12" s="198"/>
      <c r="AB12" s="200"/>
      <c r="AC12" s="200"/>
      <c r="AD12" s="200"/>
      <c r="AE12" s="200"/>
      <c r="AF12" s="200"/>
      <c r="AG12" s="200"/>
      <c r="AH12" s="200"/>
      <c r="AI12" s="91"/>
      <c r="AJ12" s="91">
        <f t="shared" ca="1" si="1"/>
        <v>0</v>
      </c>
      <c r="AK12" s="91">
        <f t="shared" ca="1" si="2"/>
        <v>0</v>
      </c>
      <c r="AL12" s="203"/>
      <c r="AM12" s="203"/>
      <c r="AN12" s="203"/>
      <c r="AO12" s="203"/>
      <c r="AP12" s="203"/>
      <c r="AQ12" s="203"/>
      <c r="AR12" s="203"/>
      <c r="AS12" s="203"/>
      <c r="AT12" s="203"/>
      <c r="AU12" s="203"/>
      <c r="AV12" s="203"/>
      <c r="AW12" s="203"/>
      <c r="AX12" s="203"/>
      <c r="AY12" s="203"/>
      <c r="AZ12" s="203"/>
      <c r="BA12" s="203"/>
      <c r="BB12" s="203"/>
      <c r="BC12" s="203"/>
      <c r="BD12" s="203"/>
      <c r="BE12" s="203"/>
      <c r="BF12" s="203"/>
      <c r="BG12" s="203"/>
      <c r="BH12" s="203"/>
      <c r="BI12" s="203"/>
      <c r="BJ12" s="203"/>
      <c r="BK12" s="203"/>
      <c r="BL12" s="203"/>
      <c r="BM12" s="203"/>
      <c r="BN12" s="203"/>
      <c r="BO12" s="203"/>
      <c r="BP12" s="203"/>
      <c r="BQ12" s="203"/>
      <c r="BR12" s="203"/>
      <c r="BS12" s="203"/>
      <c r="BT12" s="203"/>
      <c r="BU12" s="203"/>
      <c r="BV12" s="203"/>
      <c r="BW12" s="203"/>
      <c r="BX12" s="203"/>
    </row>
    <row r="13" spans="1:76" s="199" customFormat="1" ht="22.5" customHeight="1">
      <c r="A13" s="222">
        <v>8</v>
      </c>
      <c r="B13" s="222"/>
      <c r="C13" s="198"/>
      <c r="D13" s="193"/>
      <c r="E13" s="194"/>
      <c r="F13" s="222"/>
      <c r="G13" s="222"/>
      <c r="H13" s="193"/>
      <c r="I13" s="193"/>
      <c r="J13" s="193"/>
      <c r="K13" s="195"/>
      <c r="L13" s="196"/>
      <c r="M13" s="193"/>
      <c r="N13" s="197"/>
      <c r="O13" s="197"/>
      <c r="P13" s="197"/>
      <c r="Q13" s="197"/>
      <c r="R13" s="196"/>
      <c r="S13" s="195"/>
      <c r="T13" s="195"/>
      <c r="U13" s="197"/>
      <c r="V13" s="213"/>
      <c r="W13" s="198"/>
      <c r="X13" s="198"/>
      <c r="Y13" s="198"/>
      <c r="Z13" s="198"/>
      <c r="AA13" s="198"/>
      <c r="AB13" s="200"/>
      <c r="AC13" s="200"/>
      <c r="AD13" s="200"/>
      <c r="AE13" s="200"/>
      <c r="AF13" s="200"/>
      <c r="AG13" s="200"/>
      <c r="AH13" s="200"/>
      <c r="AI13" s="91"/>
      <c r="AJ13" s="91">
        <f t="shared" ca="1" si="1"/>
        <v>0</v>
      </c>
      <c r="AK13" s="91">
        <f t="shared" ca="1" si="2"/>
        <v>0</v>
      </c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3"/>
      <c r="BN13" s="203"/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</row>
    <row r="14" spans="1:76" s="199" customFormat="1" ht="22.5" customHeight="1">
      <c r="A14" s="222">
        <v>9</v>
      </c>
      <c r="B14" s="222"/>
      <c r="C14" s="198"/>
      <c r="D14" s="193"/>
      <c r="E14" s="194"/>
      <c r="F14" s="222"/>
      <c r="G14" s="222"/>
      <c r="H14" s="193"/>
      <c r="I14" s="193"/>
      <c r="J14" s="193"/>
      <c r="K14" s="195"/>
      <c r="L14" s="196"/>
      <c r="M14" s="193"/>
      <c r="N14" s="197"/>
      <c r="O14" s="197"/>
      <c r="P14" s="197"/>
      <c r="Q14" s="197"/>
      <c r="R14" s="196"/>
      <c r="S14" s="195"/>
      <c r="T14" s="195"/>
      <c r="U14" s="197"/>
      <c r="V14" s="213"/>
      <c r="W14" s="198"/>
      <c r="X14" s="198"/>
      <c r="Y14" s="198"/>
      <c r="Z14" s="198"/>
      <c r="AA14" s="198"/>
      <c r="AB14" s="200"/>
      <c r="AC14" s="200"/>
      <c r="AD14" s="200"/>
      <c r="AE14" s="200"/>
      <c r="AF14" s="200"/>
      <c r="AG14" s="200"/>
      <c r="AH14" s="200"/>
      <c r="AI14" s="91"/>
      <c r="AJ14" s="91">
        <f t="shared" ca="1" si="1"/>
        <v>0</v>
      </c>
      <c r="AK14" s="91">
        <f t="shared" ca="1" si="2"/>
        <v>0</v>
      </c>
      <c r="AL14" s="203"/>
      <c r="AM14" s="203"/>
      <c r="AN14" s="203"/>
      <c r="AO14" s="203"/>
      <c r="AP14" s="203"/>
      <c r="AQ14" s="203"/>
      <c r="AR14" s="203"/>
      <c r="AS14" s="203"/>
      <c r="AT14" s="203"/>
      <c r="AU14" s="203"/>
      <c r="AV14" s="203"/>
      <c r="AW14" s="203"/>
      <c r="AX14" s="203"/>
      <c r="AY14" s="203"/>
      <c r="AZ14" s="203"/>
      <c r="BA14" s="203"/>
      <c r="BB14" s="203"/>
      <c r="BC14" s="203"/>
      <c r="BD14" s="203"/>
      <c r="BE14" s="203"/>
      <c r="BF14" s="203"/>
      <c r="BG14" s="203"/>
      <c r="BH14" s="203"/>
      <c r="BI14" s="203"/>
      <c r="BJ14" s="203"/>
      <c r="BK14" s="203"/>
      <c r="BL14" s="203"/>
      <c r="BM14" s="203"/>
      <c r="BN14" s="203"/>
      <c r="BO14" s="203"/>
      <c r="BP14" s="203"/>
      <c r="BQ14" s="203"/>
      <c r="BR14" s="203"/>
      <c r="BS14" s="203"/>
      <c r="BT14" s="203"/>
      <c r="BU14" s="203"/>
      <c r="BV14" s="203"/>
      <c r="BW14" s="203"/>
      <c r="BX14" s="203"/>
    </row>
    <row r="15" spans="1:76" s="199" customFormat="1" ht="22.5" customHeight="1">
      <c r="A15" s="222">
        <v>10</v>
      </c>
      <c r="B15" s="222"/>
      <c r="C15" s="198"/>
      <c r="D15" s="193"/>
      <c r="E15" s="194"/>
      <c r="F15" s="222"/>
      <c r="G15" s="222"/>
      <c r="H15" s="193"/>
      <c r="I15" s="193"/>
      <c r="J15" s="193"/>
      <c r="K15" s="195"/>
      <c r="L15" s="196"/>
      <c r="M15" s="193"/>
      <c r="N15" s="197"/>
      <c r="O15" s="197"/>
      <c r="P15" s="197"/>
      <c r="Q15" s="197"/>
      <c r="R15" s="196"/>
      <c r="S15" s="195"/>
      <c r="T15" s="195"/>
      <c r="U15" s="197"/>
      <c r="V15" s="213"/>
      <c r="W15" s="198"/>
      <c r="X15" s="198"/>
      <c r="Y15" s="198"/>
      <c r="Z15" s="198"/>
      <c r="AA15" s="198"/>
      <c r="AB15" s="200"/>
      <c r="AC15" s="200"/>
      <c r="AD15" s="200"/>
      <c r="AE15" s="200"/>
      <c r="AF15" s="200"/>
      <c r="AG15" s="200"/>
      <c r="AH15" s="200"/>
      <c r="AI15" s="91"/>
      <c r="AJ15" s="91">
        <f t="shared" ca="1" si="1"/>
        <v>0</v>
      </c>
      <c r="AK15" s="91">
        <f t="shared" ca="1" si="2"/>
        <v>0</v>
      </c>
      <c r="AL15" s="203"/>
      <c r="AM15" s="203"/>
      <c r="AN15" s="203"/>
      <c r="AO15" s="203"/>
      <c r="AP15" s="203"/>
      <c r="AQ15" s="203"/>
      <c r="AR15" s="203"/>
      <c r="AS15" s="203"/>
      <c r="AT15" s="203"/>
      <c r="AU15" s="203"/>
      <c r="AV15" s="203"/>
      <c r="AW15" s="203"/>
      <c r="AX15" s="203"/>
      <c r="AY15" s="203"/>
      <c r="AZ15" s="203"/>
      <c r="BA15" s="203"/>
      <c r="BB15" s="203"/>
      <c r="BC15" s="203"/>
      <c r="BD15" s="203"/>
      <c r="BE15" s="203"/>
      <c r="BF15" s="203"/>
      <c r="BG15" s="203"/>
      <c r="BH15" s="203"/>
      <c r="BI15" s="203"/>
      <c r="BJ15" s="203"/>
      <c r="BK15" s="203"/>
      <c r="BL15" s="203"/>
      <c r="BM15" s="203"/>
      <c r="BN15" s="203"/>
      <c r="BO15" s="203"/>
      <c r="BP15" s="203"/>
      <c r="BQ15" s="203"/>
      <c r="BR15" s="203"/>
      <c r="BS15" s="203"/>
      <c r="BT15" s="203"/>
      <c r="BU15" s="203"/>
      <c r="BV15" s="203"/>
      <c r="BW15" s="203"/>
      <c r="BX15" s="203"/>
    </row>
    <row r="16" spans="1:76" s="199" customFormat="1" ht="22.5" customHeight="1">
      <c r="A16" s="222">
        <v>11</v>
      </c>
      <c r="B16" s="222"/>
      <c r="C16" s="198"/>
      <c r="D16" s="193"/>
      <c r="E16" s="194"/>
      <c r="F16" s="222"/>
      <c r="G16" s="222"/>
      <c r="H16" s="193"/>
      <c r="I16" s="193"/>
      <c r="J16" s="193"/>
      <c r="K16" s="195"/>
      <c r="L16" s="196"/>
      <c r="M16" s="193"/>
      <c r="N16" s="197"/>
      <c r="O16" s="197"/>
      <c r="P16" s="197"/>
      <c r="Q16" s="197"/>
      <c r="R16" s="196"/>
      <c r="S16" s="195"/>
      <c r="T16" s="195"/>
      <c r="U16" s="197"/>
      <c r="V16" s="213"/>
      <c r="W16" s="198"/>
      <c r="X16" s="198"/>
      <c r="Y16" s="198"/>
      <c r="Z16" s="198"/>
      <c r="AA16" s="198"/>
      <c r="AB16" s="200"/>
      <c r="AC16" s="200"/>
      <c r="AD16" s="200"/>
      <c r="AE16" s="200"/>
      <c r="AF16" s="200"/>
      <c r="AG16" s="200"/>
      <c r="AH16" s="200"/>
      <c r="AI16" s="91"/>
      <c r="AJ16" s="91">
        <f t="shared" ca="1" si="1"/>
        <v>0</v>
      </c>
      <c r="AK16" s="91">
        <f t="shared" ca="1" si="2"/>
        <v>0</v>
      </c>
      <c r="AL16" s="203"/>
      <c r="AM16" s="203"/>
      <c r="AN16" s="203"/>
      <c r="AO16" s="203"/>
      <c r="AP16" s="203"/>
      <c r="AQ16" s="203"/>
      <c r="AR16" s="203"/>
      <c r="AS16" s="203"/>
      <c r="AT16" s="203"/>
      <c r="AU16" s="203"/>
      <c r="AV16" s="203"/>
      <c r="AW16" s="203"/>
      <c r="AX16" s="203"/>
      <c r="AY16" s="203"/>
      <c r="AZ16" s="203"/>
      <c r="BA16" s="203"/>
      <c r="BB16" s="203"/>
      <c r="BC16" s="203"/>
      <c r="BD16" s="203"/>
      <c r="BE16" s="203"/>
      <c r="BF16" s="203"/>
      <c r="BG16" s="203"/>
      <c r="BH16" s="203"/>
      <c r="BI16" s="203"/>
      <c r="BJ16" s="203"/>
      <c r="BK16" s="203"/>
      <c r="BL16" s="203"/>
      <c r="BM16" s="203"/>
      <c r="BN16" s="203"/>
      <c r="BO16" s="203"/>
      <c r="BP16" s="203"/>
      <c r="BQ16" s="203"/>
      <c r="BR16" s="203"/>
      <c r="BS16" s="203"/>
      <c r="BT16" s="203"/>
      <c r="BU16" s="203"/>
      <c r="BV16" s="203"/>
      <c r="BW16" s="203"/>
      <c r="BX16" s="203"/>
    </row>
    <row r="17" spans="1:76" s="199" customFormat="1" ht="22.5" customHeight="1">
      <c r="A17" s="222">
        <v>12</v>
      </c>
      <c r="B17" s="222"/>
      <c r="C17" s="198"/>
      <c r="D17" s="193"/>
      <c r="E17" s="194"/>
      <c r="F17" s="222"/>
      <c r="G17" s="222"/>
      <c r="H17" s="193"/>
      <c r="I17" s="193"/>
      <c r="J17" s="193"/>
      <c r="K17" s="195"/>
      <c r="L17" s="196"/>
      <c r="M17" s="193"/>
      <c r="N17" s="197"/>
      <c r="O17" s="197"/>
      <c r="P17" s="197"/>
      <c r="Q17" s="197"/>
      <c r="R17" s="196"/>
      <c r="S17" s="195"/>
      <c r="T17" s="195"/>
      <c r="U17" s="197"/>
      <c r="V17" s="213"/>
      <c r="W17" s="198"/>
      <c r="X17" s="198"/>
      <c r="Y17" s="198"/>
      <c r="Z17" s="198"/>
      <c r="AA17" s="198"/>
      <c r="AB17" s="200"/>
      <c r="AC17" s="200"/>
      <c r="AD17" s="200"/>
      <c r="AE17" s="200"/>
      <c r="AF17" s="200"/>
      <c r="AG17" s="200"/>
      <c r="AH17" s="200"/>
      <c r="AI17" s="91"/>
      <c r="AJ17" s="91">
        <f t="shared" ca="1" si="1"/>
        <v>0</v>
      </c>
      <c r="AK17" s="91">
        <f t="shared" ca="1" si="2"/>
        <v>0</v>
      </c>
      <c r="AL17" s="203"/>
      <c r="AM17" s="203"/>
      <c r="AN17" s="203"/>
      <c r="AO17" s="203"/>
      <c r="AP17" s="203"/>
      <c r="AQ17" s="203"/>
      <c r="AR17" s="203"/>
      <c r="AS17" s="203"/>
      <c r="AT17" s="203"/>
      <c r="AU17" s="203"/>
      <c r="AV17" s="203"/>
      <c r="AW17" s="203"/>
      <c r="AX17" s="203"/>
      <c r="AY17" s="203"/>
      <c r="AZ17" s="203"/>
      <c r="BA17" s="203"/>
      <c r="BB17" s="203"/>
      <c r="BC17" s="203"/>
      <c r="BD17" s="203"/>
      <c r="BE17" s="203"/>
      <c r="BF17" s="203"/>
      <c r="BG17" s="203"/>
      <c r="BH17" s="203"/>
      <c r="BI17" s="203"/>
      <c r="BJ17" s="203"/>
      <c r="BK17" s="203"/>
      <c r="BL17" s="203"/>
      <c r="BM17" s="203"/>
      <c r="BN17" s="203"/>
      <c r="BO17" s="203"/>
      <c r="BP17" s="203"/>
      <c r="BQ17" s="203"/>
      <c r="BR17" s="203"/>
      <c r="BS17" s="203"/>
      <c r="BT17" s="203"/>
      <c r="BU17" s="203"/>
      <c r="BV17" s="203"/>
      <c r="BW17" s="203"/>
      <c r="BX17" s="203"/>
    </row>
    <row r="18" spans="1:76" s="199" customFormat="1" ht="22.5" customHeight="1">
      <c r="A18" s="222">
        <v>13</v>
      </c>
      <c r="B18" s="222"/>
      <c r="C18" s="198"/>
      <c r="D18" s="193"/>
      <c r="E18" s="194"/>
      <c r="F18" s="222"/>
      <c r="G18" s="222"/>
      <c r="H18" s="193"/>
      <c r="I18" s="193"/>
      <c r="J18" s="193"/>
      <c r="K18" s="195"/>
      <c r="L18" s="196"/>
      <c r="M18" s="193"/>
      <c r="N18" s="197"/>
      <c r="O18" s="197"/>
      <c r="P18" s="197"/>
      <c r="Q18" s="197"/>
      <c r="R18" s="196"/>
      <c r="S18" s="195"/>
      <c r="T18" s="195"/>
      <c r="U18" s="197"/>
      <c r="V18" s="213"/>
      <c r="W18" s="198"/>
      <c r="X18" s="198"/>
      <c r="Y18" s="198"/>
      <c r="Z18" s="198"/>
      <c r="AA18" s="198"/>
      <c r="AB18" s="200"/>
      <c r="AC18" s="200"/>
      <c r="AD18" s="200"/>
      <c r="AE18" s="200"/>
      <c r="AF18" s="200"/>
      <c r="AG18" s="200"/>
      <c r="AH18" s="200"/>
      <c r="AI18" s="91"/>
      <c r="AJ18" s="91">
        <f t="shared" ca="1" si="1"/>
        <v>0</v>
      </c>
      <c r="AK18" s="91">
        <f t="shared" ca="1" si="2"/>
        <v>0</v>
      </c>
      <c r="AL18" s="203"/>
      <c r="AM18" s="203"/>
      <c r="AN18" s="203"/>
      <c r="AO18" s="203"/>
      <c r="AP18" s="203"/>
      <c r="AQ18" s="203"/>
      <c r="AR18" s="203"/>
      <c r="AS18" s="203"/>
      <c r="AT18" s="203"/>
      <c r="AU18" s="203"/>
      <c r="AV18" s="203"/>
      <c r="AW18" s="203"/>
      <c r="AX18" s="203"/>
      <c r="AY18" s="203"/>
      <c r="AZ18" s="203"/>
      <c r="BA18" s="203"/>
      <c r="BB18" s="203"/>
      <c r="BC18" s="203"/>
      <c r="BD18" s="203"/>
      <c r="BE18" s="203"/>
      <c r="BF18" s="203"/>
      <c r="BG18" s="203"/>
      <c r="BH18" s="203"/>
      <c r="BI18" s="203"/>
      <c r="BJ18" s="203"/>
      <c r="BK18" s="203"/>
      <c r="BL18" s="203"/>
      <c r="BM18" s="203"/>
      <c r="BN18" s="203"/>
      <c r="BO18" s="203"/>
      <c r="BP18" s="203"/>
      <c r="BQ18" s="203"/>
      <c r="BR18" s="203"/>
      <c r="BS18" s="203"/>
      <c r="BT18" s="203"/>
      <c r="BU18" s="203"/>
      <c r="BV18" s="203"/>
      <c r="BW18" s="203"/>
      <c r="BX18" s="203"/>
    </row>
    <row r="19" spans="1:76" s="199" customFormat="1" ht="22.5" customHeight="1">
      <c r="A19" s="222">
        <v>14</v>
      </c>
      <c r="B19" s="222"/>
      <c r="C19" s="198"/>
      <c r="D19" s="193"/>
      <c r="E19" s="194"/>
      <c r="F19" s="222"/>
      <c r="G19" s="222"/>
      <c r="H19" s="193"/>
      <c r="I19" s="193"/>
      <c r="J19" s="193"/>
      <c r="K19" s="195"/>
      <c r="L19" s="196"/>
      <c r="M19" s="193"/>
      <c r="N19" s="197"/>
      <c r="O19" s="197"/>
      <c r="P19" s="197"/>
      <c r="Q19" s="197"/>
      <c r="R19" s="196"/>
      <c r="S19" s="195"/>
      <c r="T19" s="195"/>
      <c r="U19" s="197"/>
      <c r="V19" s="213"/>
      <c r="W19" s="198"/>
      <c r="X19" s="198"/>
      <c r="Y19" s="198"/>
      <c r="Z19" s="198"/>
      <c r="AA19" s="198"/>
      <c r="AB19" s="200"/>
      <c r="AC19" s="200"/>
      <c r="AD19" s="200"/>
      <c r="AE19" s="200"/>
      <c r="AF19" s="200"/>
      <c r="AG19" s="200"/>
      <c r="AH19" s="200"/>
      <c r="AI19" s="91"/>
      <c r="AJ19" s="91">
        <f t="shared" ca="1" si="1"/>
        <v>0</v>
      </c>
      <c r="AK19" s="91">
        <f t="shared" ca="1" si="2"/>
        <v>0</v>
      </c>
      <c r="AL19" s="203"/>
      <c r="AM19" s="203"/>
      <c r="AN19" s="203"/>
      <c r="AO19" s="203"/>
      <c r="AP19" s="203"/>
      <c r="AQ19" s="203"/>
      <c r="AR19" s="203"/>
      <c r="AS19" s="203"/>
      <c r="AT19" s="203"/>
      <c r="AU19" s="203"/>
      <c r="AV19" s="203"/>
      <c r="AW19" s="203"/>
      <c r="AX19" s="203"/>
      <c r="AY19" s="203"/>
      <c r="AZ19" s="203"/>
      <c r="BA19" s="203"/>
      <c r="BB19" s="203"/>
      <c r="BC19" s="203"/>
      <c r="BD19" s="203"/>
      <c r="BE19" s="203"/>
      <c r="BF19" s="203"/>
      <c r="BG19" s="203"/>
      <c r="BH19" s="203"/>
      <c r="BI19" s="203"/>
      <c r="BJ19" s="203"/>
      <c r="BK19" s="203"/>
      <c r="BL19" s="203"/>
      <c r="BM19" s="203"/>
      <c r="BN19" s="203"/>
      <c r="BO19" s="203"/>
      <c r="BP19" s="203"/>
      <c r="BQ19" s="203"/>
      <c r="BR19" s="203"/>
      <c r="BS19" s="203"/>
      <c r="BT19" s="203"/>
      <c r="BU19" s="203"/>
      <c r="BV19" s="203"/>
      <c r="BW19" s="203"/>
      <c r="BX19" s="203"/>
    </row>
    <row r="20" spans="1:76" s="199" customFormat="1" ht="22.5" customHeight="1">
      <c r="A20" s="222">
        <v>15</v>
      </c>
      <c r="B20" s="222"/>
      <c r="C20" s="198"/>
      <c r="D20" s="193"/>
      <c r="E20" s="194"/>
      <c r="F20" s="222"/>
      <c r="G20" s="222"/>
      <c r="H20" s="193"/>
      <c r="I20" s="193"/>
      <c r="J20" s="193"/>
      <c r="K20" s="195"/>
      <c r="L20" s="196"/>
      <c r="M20" s="193"/>
      <c r="N20" s="197"/>
      <c r="O20" s="197"/>
      <c r="P20" s="197"/>
      <c r="Q20" s="197"/>
      <c r="R20" s="196"/>
      <c r="S20" s="195"/>
      <c r="T20" s="195"/>
      <c r="U20" s="197"/>
      <c r="V20" s="213"/>
      <c r="W20" s="198"/>
      <c r="X20" s="198"/>
      <c r="Y20" s="198"/>
      <c r="Z20" s="198"/>
      <c r="AA20" s="198"/>
      <c r="AB20" s="200"/>
      <c r="AC20" s="200"/>
      <c r="AD20" s="200"/>
      <c r="AE20" s="200"/>
      <c r="AF20" s="200"/>
      <c r="AG20" s="200"/>
      <c r="AH20" s="200"/>
      <c r="AI20" s="91"/>
      <c r="AJ20" s="91">
        <f t="shared" ca="1" si="1"/>
        <v>0</v>
      </c>
      <c r="AK20" s="91">
        <f t="shared" ca="1" si="2"/>
        <v>0</v>
      </c>
      <c r="AL20" s="203"/>
      <c r="AM20" s="203"/>
      <c r="AN20" s="203"/>
      <c r="AO20" s="203"/>
      <c r="AP20" s="203"/>
      <c r="AQ20" s="203"/>
      <c r="AR20" s="203"/>
      <c r="AS20" s="203"/>
      <c r="AT20" s="203"/>
      <c r="AU20" s="203"/>
      <c r="AV20" s="203"/>
      <c r="AW20" s="203"/>
      <c r="AX20" s="203"/>
      <c r="AY20" s="203"/>
      <c r="AZ20" s="203"/>
      <c r="BA20" s="203"/>
      <c r="BB20" s="203"/>
      <c r="BC20" s="203"/>
      <c r="BD20" s="203"/>
      <c r="BE20" s="203"/>
      <c r="BF20" s="203"/>
      <c r="BG20" s="203"/>
      <c r="BH20" s="203"/>
      <c r="BI20" s="203"/>
      <c r="BJ20" s="203"/>
      <c r="BK20" s="203"/>
      <c r="BL20" s="203"/>
      <c r="BM20" s="203"/>
      <c r="BN20" s="203"/>
      <c r="BO20" s="203"/>
      <c r="BP20" s="203"/>
      <c r="BQ20" s="203"/>
      <c r="BR20" s="203"/>
      <c r="BS20" s="203"/>
      <c r="BT20" s="203"/>
      <c r="BU20" s="203"/>
      <c r="BV20" s="203"/>
      <c r="BW20" s="203"/>
      <c r="BX20" s="203"/>
    </row>
    <row r="21" spans="1:76" s="199" customFormat="1" ht="22.5" customHeight="1">
      <c r="A21" s="222">
        <v>16</v>
      </c>
      <c r="B21" s="222"/>
      <c r="C21" s="198"/>
      <c r="D21" s="193"/>
      <c r="E21" s="194"/>
      <c r="F21" s="222"/>
      <c r="G21" s="222"/>
      <c r="H21" s="193"/>
      <c r="I21" s="193"/>
      <c r="J21" s="193"/>
      <c r="K21" s="195"/>
      <c r="L21" s="196"/>
      <c r="M21" s="193"/>
      <c r="N21" s="197"/>
      <c r="O21" s="197"/>
      <c r="P21" s="197"/>
      <c r="Q21" s="197"/>
      <c r="R21" s="196"/>
      <c r="S21" s="195"/>
      <c r="T21" s="195"/>
      <c r="U21" s="197"/>
      <c r="V21" s="213"/>
      <c r="W21" s="198"/>
      <c r="X21" s="198"/>
      <c r="Y21" s="198"/>
      <c r="Z21" s="198"/>
      <c r="AA21" s="198"/>
      <c r="AB21" s="200"/>
      <c r="AC21" s="200"/>
      <c r="AD21" s="200"/>
      <c r="AE21" s="200"/>
      <c r="AF21" s="200"/>
      <c r="AG21" s="200"/>
      <c r="AH21" s="200"/>
      <c r="AI21" s="91"/>
      <c r="AJ21" s="91">
        <f t="shared" ca="1" si="1"/>
        <v>0</v>
      </c>
      <c r="AK21" s="91">
        <f t="shared" ca="1" si="2"/>
        <v>0</v>
      </c>
      <c r="AL21" s="203"/>
      <c r="AM21" s="203"/>
      <c r="AN21" s="203"/>
      <c r="AO21" s="203"/>
      <c r="AP21" s="203"/>
      <c r="AQ21" s="203"/>
      <c r="AR21" s="203"/>
      <c r="AS21" s="203"/>
      <c r="AT21" s="203"/>
      <c r="AU21" s="203"/>
      <c r="AV21" s="203"/>
      <c r="AW21" s="203"/>
      <c r="AX21" s="203"/>
      <c r="AY21" s="203"/>
      <c r="AZ21" s="203"/>
      <c r="BA21" s="203"/>
      <c r="BB21" s="203"/>
      <c r="BC21" s="203"/>
      <c r="BD21" s="203"/>
      <c r="BE21" s="203"/>
      <c r="BF21" s="203"/>
      <c r="BG21" s="203"/>
      <c r="BH21" s="203"/>
      <c r="BI21" s="203"/>
      <c r="BJ21" s="203"/>
      <c r="BK21" s="203"/>
      <c r="BL21" s="203"/>
      <c r="BM21" s="203"/>
      <c r="BN21" s="203"/>
      <c r="BO21" s="203"/>
      <c r="BP21" s="203"/>
      <c r="BQ21" s="203"/>
      <c r="BR21" s="203"/>
      <c r="BS21" s="203"/>
      <c r="BT21" s="203"/>
      <c r="BU21" s="203"/>
      <c r="BV21" s="203"/>
      <c r="BW21" s="203"/>
      <c r="BX21" s="203"/>
    </row>
    <row r="22" spans="1:76" s="199" customFormat="1" ht="22.5" customHeight="1">
      <c r="A22" s="222">
        <v>17</v>
      </c>
      <c r="B22" s="222"/>
      <c r="C22" s="198"/>
      <c r="D22" s="193"/>
      <c r="E22" s="194"/>
      <c r="F22" s="222"/>
      <c r="G22" s="222"/>
      <c r="H22" s="193"/>
      <c r="I22" s="193"/>
      <c r="J22" s="193"/>
      <c r="K22" s="195"/>
      <c r="L22" s="196"/>
      <c r="M22" s="193"/>
      <c r="N22" s="197"/>
      <c r="O22" s="197"/>
      <c r="P22" s="197"/>
      <c r="Q22" s="197"/>
      <c r="R22" s="196"/>
      <c r="S22" s="195"/>
      <c r="T22" s="195"/>
      <c r="U22" s="197"/>
      <c r="V22" s="213"/>
      <c r="W22" s="198"/>
      <c r="X22" s="198"/>
      <c r="Y22" s="198"/>
      <c r="Z22" s="198"/>
      <c r="AA22" s="198"/>
      <c r="AB22" s="200"/>
      <c r="AC22" s="200"/>
      <c r="AD22" s="200"/>
      <c r="AE22" s="200"/>
      <c r="AF22" s="200"/>
      <c r="AG22" s="200"/>
      <c r="AH22" s="200"/>
      <c r="AI22" s="91"/>
      <c r="AJ22" s="91">
        <f t="shared" ca="1" si="1"/>
        <v>0</v>
      </c>
      <c r="AK22" s="91">
        <f t="shared" ca="1" si="2"/>
        <v>0</v>
      </c>
      <c r="AL22" s="203"/>
      <c r="AM22" s="203"/>
      <c r="AN22" s="203"/>
      <c r="AO22" s="203"/>
      <c r="AP22" s="203"/>
      <c r="AQ22" s="203"/>
      <c r="AR22" s="203"/>
      <c r="AS22" s="203"/>
      <c r="AT22" s="203"/>
      <c r="AU22" s="203"/>
      <c r="AV22" s="203"/>
      <c r="AW22" s="203"/>
      <c r="AX22" s="203"/>
      <c r="AY22" s="203"/>
      <c r="AZ22" s="203"/>
      <c r="BA22" s="203"/>
      <c r="BB22" s="203"/>
      <c r="BC22" s="203"/>
      <c r="BD22" s="203"/>
      <c r="BE22" s="203"/>
      <c r="BF22" s="203"/>
      <c r="BG22" s="203"/>
      <c r="BH22" s="203"/>
      <c r="BI22" s="203"/>
      <c r="BJ22" s="203"/>
      <c r="BK22" s="203"/>
      <c r="BL22" s="203"/>
      <c r="BM22" s="203"/>
      <c r="BN22" s="203"/>
      <c r="BO22" s="203"/>
      <c r="BP22" s="203"/>
      <c r="BQ22" s="203"/>
      <c r="BR22" s="203"/>
      <c r="BS22" s="203"/>
      <c r="BT22" s="203"/>
      <c r="BU22" s="203"/>
      <c r="BV22" s="203"/>
      <c r="BW22" s="203"/>
      <c r="BX22" s="203"/>
    </row>
    <row r="23" spans="1:76" s="199" customFormat="1" ht="22.5" customHeight="1">
      <c r="A23" s="222">
        <v>18</v>
      </c>
      <c r="B23" s="222"/>
      <c r="C23" s="198"/>
      <c r="D23" s="193"/>
      <c r="E23" s="194"/>
      <c r="F23" s="222"/>
      <c r="G23" s="222"/>
      <c r="H23" s="193"/>
      <c r="I23" s="193"/>
      <c r="J23" s="193"/>
      <c r="K23" s="195"/>
      <c r="L23" s="196"/>
      <c r="M23" s="193"/>
      <c r="N23" s="197"/>
      <c r="O23" s="197"/>
      <c r="P23" s="197"/>
      <c r="Q23" s="197"/>
      <c r="R23" s="196"/>
      <c r="S23" s="195"/>
      <c r="T23" s="195"/>
      <c r="U23" s="197"/>
      <c r="V23" s="213"/>
      <c r="W23" s="198"/>
      <c r="X23" s="198"/>
      <c r="Y23" s="198"/>
      <c r="Z23" s="198"/>
      <c r="AA23" s="198"/>
      <c r="AB23" s="200"/>
      <c r="AC23" s="200"/>
      <c r="AD23" s="200"/>
      <c r="AE23" s="200"/>
      <c r="AF23" s="200"/>
      <c r="AG23" s="200"/>
      <c r="AH23" s="200"/>
      <c r="AI23" s="91"/>
      <c r="AJ23" s="91">
        <f t="shared" ca="1" si="1"/>
        <v>0</v>
      </c>
      <c r="AK23" s="91">
        <f t="shared" ca="1" si="2"/>
        <v>0</v>
      </c>
      <c r="AL23" s="203"/>
      <c r="AM23" s="203"/>
      <c r="AN23" s="203"/>
      <c r="AO23" s="203"/>
      <c r="AP23" s="203"/>
      <c r="AQ23" s="203"/>
      <c r="AR23" s="203"/>
      <c r="AS23" s="203"/>
      <c r="AT23" s="203"/>
      <c r="AU23" s="203"/>
      <c r="AV23" s="203"/>
      <c r="AW23" s="203"/>
      <c r="AX23" s="203"/>
      <c r="AY23" s="203"/>
      <c r="AZ23" s="203"/>
      <c r="BA23" s="203"/>
      <c r="BB23" s="203"/>
      <c r="BC23" s="203"/>
      <c r="BD23" s="203"/>
      <c r="BE23" s="203"/>
      <c r="BF23" s="203"/>
      <c r="BG23" s="203"/>
      <c r="BH23" s="203"/>
      <c r="BI23" s="203"/>
      <c r="BJ23" s="203"/>
      <c r="BK23" s="203"/>
      <c r="BL23" s="203"/>
      <c r="BM23" s="203"/>
      <c r="BN23" s="203"/>
      <c r="BO23" s="203"/>
      <c r="BP23" s="203"/>
      <c r="BQ23" s="203"/>
      <c r="BR23" s="203"/>
      <c r="BS23" s="203"/>
      <c r="BT23" s="203"/>
      <c r="BU23" s="203"/>
      <c r="BV23" s="203"/>
      <c r="BW23" s="203"/>
      <c r="BX23" s="203"/>
    </row>
    <row r="24" spans="1:76" s="199" customFormat="1" ht="22.5" customHeight="1">
      <c r="A24" s="222">
        <v>19</v>
      </c>
      <c r="B24" s="222"/>
      <c r="C24" s="198"/>
      <c r="D24" s="193"/>
      <c r="E24" s="194"/>
      <c r="F24" s="222"/>
      <c r="G24" s="222"/>
      <c r="H24" s="193"/>
      <c r="I24" s="193"/>
      <c r="J24" s="193"/>
      <c r="K24" s="195"/>
      <c r="L24" s="196"/>
      <c r="M24" s="193"/>
      <c r="N24" s="197"/>
      <c r="O24" s="197"/>
      <c r="P24" s="197"/>
      <c r="Q24" s="197"/>
      <c r="R24" s="196"/>
      <c r="S24" s="195"/>
      <c r="T24" s="195"/>
      <c r="U24" s="197"/>
      <c r="V24" s="213"/>
      <c r="W24" s="198"/>
      <c r="X24" s="198"/>
      <c r="Y24" s="198"/>
      <c r="Z24" s="198"/>
      <c r="AA24" s="198"/>
      <c r="AB24" s="200"/>
      <c r="AC24" s="200"/>
      <c r="AD24" s="200"/>
      <c r="AE24" s="200"/>
      <c r="AF24" s="200"/>
      <c r="AG24" s="200"/>
      <c r="AH24" s="200"/>
      <c r="AI24" s="91"/>
      <c r="AJ24" s="91">
        <f t="shared" ca="1" si="1"/>
        <v>0</v>
      </c>
      <c r="AK24" s="91">
        <f t="shared" ca="1" si="2"/>
        <v>0</v>
      </c>
      <c r="AL24" s="203"/>
      <c r="AM24" s="203"/>
      <c r="AN24" s="203"/>
      <c r="AO24" s="203"/>
      <c r="AP24" s="203"/>
      <c r="AQ24" s="203"/>
      <c r="AR24" s="203"/>
      <c r="AS24" s="203"/>
      <c r="AT24" s="203"/>
      <c r="AU24" s="203"/>
      <c r="AV24" s="203"/>
      <c r="AW24" s="203"/>
      <c r="AX24" s="203"/>
      <c r="AY24" s="203"/>
      <c r="AZ24" s="203"/>
      <c r="BA24" s="203"/>
      <c r="BB24" s="203"/>
      <c r="BC24" s="203"/>
      <c r="BD24" s="203"/>
      <c r="BE24" s="203"/>
      <c r="BF24" s="203"/>
      <c r="BG24" s="203"/>
      <c r="BH24" s="203"/>
      <c r="BI24" s="203"/>
      <c r="BJ24" s="203"/>
      <c r="BK24" s="203"/>
      <c r="BL24" s="203"/>
      <c r="BM24" s="203"/>
      <c r="BN24" s="203"/>
      <c r="BO24" s="203"/>
      <c r="BP24" s="203"/>
      <c r="BQ24" s="203"/>
      <c r="BR24" s="203"/>
      <c r="BS24" s="203"/>
      <c r="BT24" s="203"/>
      <c r="BU24" s="203"/>
      <c r="BV24" s="203"/>
      <c r="BW24" s="203"/>
      <c r="BX24" s="203"/>
    </row>
    <row r="25" spans="1:76" s="199" customFormat="1" ht="22.5" customHeight="1">
      <c r="A25" s="222">
        <v>20</v>
      </c>
      <c r="B25" s="222"/>
      <c r="C25" s="198"/>
      <c r="D25" s="193"/>
      <c r="E25" s="194"/>
      <c r="F25" s="222"/>
      <c r="G25" s="222"/>
      <c r="H25" s="193"/>
      <c r="I25" s="193"/>
      <c r="J25" s="193"/>
      <c r="K25" s="195"/>
      <c r="L25" s="196"/>
      <c r="M25" s="193"/>
      <c r="N25" s="197"/>
      <c r="O25" s="197"/>
      <c r="P25" s="197"/>
      <c r="Q25" s="197"/>
      <c r="R25" s="196"/>
      <c r="S25" s="195"/>
      <c r="T25" s="195"/>
      <c r="U25" s="197"/>
      <c r="V25" s="213"/>
      <c r="W25" s="198"/>
      <c r="X25" s="198"/>
      <c r="Y25" s="198"/>
      <c r="Z25" s="198"/>
      <c r="AA25" s="198"/>
      <c r="AB25" s="200"/>
      <c r="AC25" s="200"/>
      <c r="AD25" s="200"/>
      <c r="AE25" s="200"/>
      <c r="AF25" s="200"/>
      <c r="AG25" s="200"/>
      <c r="AH25" s="200"/>
      <c r="AI25" s="91"/>
      <c r="AJ25" s="91">
        <f t="shared" ca="1" si="1"/>
        <v>0</v>
      </c>
      <c r="AK25" s="91">
        <f t="shared" ca="1" si="2"/>
        <v>0</v>
      </c>
      <c r="AL25" s="203"/>
      <c r="AM25" s="203"/>
      <c r="AN25" s="203"/>
      <c r="AO25" s="203"/>
      <c r="AP25" s="203"/>
      <c r="AQ25" s="203"/>
      <c r="AR25" s="203"/>
      <c r="AS25" s="203"/>
      <c r="AT25" s="203"/>
      <c r="AU25" s="203"/>
      <c r="AV25" s="203"/>
      <c r="AW25" s="203"/>
      <c r="AX25" s="203"/>
      <c r="AY25" s="203"/>
      <c r="AZ25" s="203"/>
      <c r="BA25" s="203"/>
      <c r="BB25" s="203"/>
      <c r="BC25" s="203"/>
      <c r="BD25" s="203"/>
      <c r="BE25" s="203"/>
      <c r="BF25" s="203"/>
      <c r="BG25" s="203"/>
      <c r="BH25" s="203"/>
      <c r="BI25" s="203"/>
      <c r="BJ25" s="203"/>
      <c r="BK25" s="203"/>
      <c r="BL25" s="203"/>
      <c r="BM25" s="203"/>
      <c r="BN25" s="203"/>
      <c r="BO25" s="203"/>
      <c r="BP25" s="203"/>
      <c r="BQ25" s="203"/>
      <c r="BR25" s="203"/>
      <c r="BS25" s="203"/>
      <c r="BT25" s="203"/>
      <c r="BU25" s="203"/>
      <c r="BV25" s="203"/>
      <c r="BW25" s="203"/>
      <c r="BX25" s="203"/>
    </row>
    <row r="26" spans="1:76" s="199" customFormat="1" ht="22.5" customHeight="1">
      <c r="A26" s="222">
        <v>21</v>
      </c>
      <c r="B26" s="222"/>
      <c r="C26" s="198"/>
      <c r="D26" s="193"/>
      <c r="E26" s="194"/>
      <c r="F26" s="222"/>
      <c r="G26" s="222"/>
      <c r="H26" s="193"/>
      <c r="I26" s="193"/>
      <c r="J26" s="193"/>
      <c r="K26" s="195"/>
      <c r="L26" s="196"/>
      <c r="M26" s="193"/>
      <c r="N26" s="197"/>
      <c r="O26" s="197"/>
      <c r="P26" s="197"/>
      <c r="Q26" s="197"/>
      <c r="R26" s="196"/>
      <c r="S26" s="195"/>
      <c r="T26" s="195"/>
      <c r="U26" s="197"/>
      <c r="V26" s="213"/>
      <c r="W26" s="198"/>
      <c r="X26" s="198"/>
      <c r="Y26" s="198"/>
      <c r="Z26" s="198"/>
      <c r="AA26" s="198"/>
      <c r="AB26" s="200"/>
      <c r="AC26" s="200"/>
      <c r="AD26" s="200"/>
      <c r="AE26" s="200"/>
      <c r="AF26" s="200"/>
      <c r="AG26" s="200"/>
      <c r="AH26" s="200"/>
      <c r="AI26" s="91"/>
      <c r="AJ26" s="91">
        <f t="shared" ca="1" si="1"/>
        <v>0</v>
      </c>
      <c r="AK26" s="91">
        <f t="shared" ca="1" si="2"/>
        <v>0</v>
      </c>
      <c r="AL26" s="203"/>
      <c r="AM26" s="203"/>
      <c r="AN26" s="203"/>
      <c r="AO26" s="203"/>
      <c r="AP26" s="203"/>
      <c r="AQ26" s="203"/>
      <c r="AR26" s="203"/>
      <c r="AS26" s="203"/>
      <c r="AT26" s="203"/>
      <c r="AU26" s="203"/>
      <c r="AV26" s="203"/>
      <c r="AW26" s="203"/>
      <c r="AX26" s="203"/>
      <c r="AY26" s="203"/>
      <c r="AZ26" s="203"/>
      <c r="BA26" s="203"/>
      <c r="BB26" s="203"/>
      <c r="BC26" s="203"/>
      <c r="BD26" s="203"/>
      <c r="BE26" s="203"/>
      <c r="BF26" s="203"/>
      <c r="BG26" s="203"/>
      <c r="BH26" s="203"/>
      <c r="BI26" s="203"/>
      <c r="BJ26" s="203"/>
      <c r="BK26" s="203"/>
      <c r="BL26" s="203"/>
      <c r="BM26" s="203"/>
      <c r="BN26" s="203"/>
      <c r="BO26" s="203"/>
      <c r="BP26" s="203"/>
      <c r="BQ26" s="203"/>
      <c r="BR26" s="203"/>
      <c r="BS26" s="203"/>
      <c r="BT26" s="203"/>
      <c r="BU26" s="203"/>
      <c r="BV26" s="203"/>
      <c r="BW26" s="203"/>
      <c r="BX26" s="203"/>
    </row>
    <row r="27" spans="1:76" s="199" customFormat="1" ht="22.5" customHeight="1">
      <c r="A27" s="222">
        <v>22</v>
      </c>
      <c r="B27" s="222"/>
      <c r="C27" s="198"/>
      <c r="D27" s="193"/>
      <c r="E27" s="194"/>
      <c r="F27" s="222"/>
      <c r="G27" s="222"/>
      <c r="H27" s="193"/>
      <c r="I27" s="193"/>
      <c r="J27" s="193"/>
      <c r="K27" s="195"/>
      <c r="L27" s="196"/>
      <c r="M27" s="193"/>
      <c r="N27" s="197"/>
      <c r="O27" s="197"/>
      <c r="P27" s="197"/>
      <c r="Q27" s="197"/>
      <c r="R27" s="196"/>
      <c r="S27" s="195"/>
      <c r="T27" s="195"/>
      <c r="U27" s="197"/>
      <c r="V27" s="213"/>
      <c r="W27" s="198"/>
      <c r="X27" s="198"/>
      <c r="Y27" s="198"/>
      <c r="Z27" s="198"/>
      <c r="AA27" s="198"/>
      <c r="AB27" s="200"/>
      <c r="AC27" s="200"/>
      <c r="AD27" s="200"/>
      <c r="AE27" s="200"/>
      <c r="AF27" s="200"/>
      <c r="AG27" s="200"/>
      <c r="AH27" s="200"/>
      <c r="AI27" s="91"/>
      <c r="AJ27" s="91">
        <f t="shared" ca="1" si="1"/>
        <v>0</v>
      </c>
      <c r="AK27" s="91">
        <f t="shared" ca="1" si="2"/>
        <v>0</v>
      </c>
      <c r="AL27" s="203"/>
      <c r="AM27" s="203"/>
      <c r="AN27" s="203"/>
      <c r="AO27" s="203"/>
      <c r="AP27" s="203"/>
      <c r="AQ27" s="203"/>
      <c r="AR27" s="203"/>
      <c r="AS27" s="203"/>
      <c r="AT27" s="203"/>
      <c r="AU27" s="203"/>
      <c r="AV27" s="203"/>
      <c r="AW27" s="203"/>
      <c r="AX27" s="203"/>
      <c r="AY27" s="203"/>
      <c r="AZ27" s="203"/>
      <c r="BA27" s="203"/>
      <c r="BB27" s="203"/>
      <c r="BC27" s="203"/>
      <c r="BD27" s="203"/>
      <c r="BE27" s="203"/>
      <c r="BF27" s="203"/>
      <c r="BG27" s="203"/>
      <c r="BH27" s="203"/>
      <c r="BI27" s="203"/>
      <c r="BJ27" s="203"/>
      <c r="BK27" s="203"/>
      <c r="BL27" s="203"/>
      <c r="BM27" s="203"/>
      <c r="BN27" s="203"/>
      <c r="BO27" s="203"/>
      <c r="BP27" s="203"/>
      <c r="BQ27" s="203"/>
      <c r="BR27" s="203"/>
      <c r="BS27" s="203"/>
      <c r="BT27" s="203"/>
      <c r="BU27" s="203"/>
      <c r="BV27" s="203"/>
      <c r="BW27" s="203"/>
      <c r="BX27" s="203"/>
    </row>
    <row r="28" spans="1:76" s="199" customFormat="1" ht="22.5" customHeight="1">
      <c r="A28" s="222">
        <v>23</v>
      </c>
      <c r="B28" s="222"/>
      <c r="C28" s="198"/>
      <c r="D28" s="193"/>
      <c r="E28" s="194"/>
      <c r="F28" s="222"/>
      <c r="G28" s="222"/>
      <c r="H28" s="193"/>
      <c r="I28" s="193"/>
      <c r="J28" s="193"/>
      <c r="K28" s="195"/>
      <c r="L28" s="196"/>
      <c r="M28" s="193"/>
      <c r="N28" s="197"/>
      <c r="O28" s="197"/>
      <c r="P28" s="197"/>
      <c r="Q28" s="197"/>
      <c r="R28" s="196"/>
      <c r="S28" s="195"/>
      <c r="T28" s="195"/>
      <c r="U28" s="197"/>
      <c r="V28" s="213"/>
      <c r="W28" s="198"/>
      <c r="X28" s="198"/>
      <c r="Y28" s="198"/>
      <c r="Z28" s="198"/>
      <c r="AA28" s="198"/>
      <c r="AB28" s="200"/>
      <c r="AC28" s="200"/>
      <c r="AD28" s="200"/>
      <c r="AE28" s="200"/>
      <c r="AF28" s="200"/>
      <c r="AG28" s="200"/>
      <c r="AH28" s="200"/>
      <c r="AI28" s="91"/>
      <c r="AJ28" s="91">
        <f t="shared" ca="1" si="1"/>
        <v>0</v>
      </c>
      <c r="AK28" s="91">
        <f t="shared" ca="1" si="2"/>
        <v>0</v>
      </c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3"/>
      <c r="AX28" s="203"/>
      <c r="AY28" s="203"/>
      <c r="AZ28" s="203"/>
      <c r="BA28" s="203"/>
      <c r="BB28" s="203"/>
      <c r="BC28" s="203"/>
      <c r="BD28" s="203"/>
      <c r="BE28" s="203"/>
      <c r="BF28" s="203"/>
      <c r="BG28" s="203"/>
      <c r="BH28" s="203"/>
      <c r="BI28" s="203"/>
      <c r="BJ28" s="203"/>
      <c r="BK28" s="203"/>
      <c r="BL28" s="203"/>
      <c r="BM28" s="203"/>
      <c r="BN28" s="203"/>
      <c r="BO28" s="203"/>
      <c r="BP28" s="203"/>
      <c r="BQ28" s="203"/>
      <c r="BR28" s="203"/>
      <c r="BS28" s="203"/>
      <c r="BT28" s="203"/>
      <c r="BU28" s="203"/>
      <c r="BV28" s="203"/>
      <c r="BW28" s="203"/>
      <c r="BX28" s="203"/>
    </row>
    <row r="29" spans="1:76" s="199" customFormat="1" ht="22.5" customHeight="1">
      <c r="A29" s="222">
        <v>24</v>
      </c>
      <c r="B29" s="222"/>
      <c r="C29" s="198"/>
      <c r="D29" s="193"/>
      <c r="E29" s="194"/>
      <c r="F29" s="222"/>
      <c r="G29" s="222"/>
      <c r="H29" s="193"/>
      <c r="I29" s="193"/>
      <c r="J29" s="193"/>
      <c r="K29" s="195"/>
      <c r="L29" s="196"/>
      <c r="M29" s="193"/>
      <c r="N29" s="197"/>
      <c r="O29" s="197"/>
      <c r="P29" s="197"/>
      <c r="Q29" s="197"/>
      <c r="R29" s="196"/>
      <c r="S29" s="195"/>
      <c r="T29" s="195"/>
      <c r="U29" s="197"/>
      <c r="V29" s="213"/>
      <c r="W29" s="198"/>
      <c r="X29" s="198"/>
      <c r="Y29" s="198"/>
      <c r="Z29" s="198"/>
      <c r="AA29" s="198"/>
      <c r="AB29" s="200"/>
      <c r="AC29" s="200"/>
      <c r="AD29" s="200"/>
      <c r="AE29" s="200"/>
      <c r="AF29" s="200"/>
      <c r="AG29" s="200"/>
      <c r="AH29" s="200"/>
      <c r="AI29" s="91"/>
      <c r="AJ29" s="91">
        <f t="shared" ca="1" si="1"/>
        <v>0</v>
      </c>
      <c r="AK29" s="91">
        <f t="shared" ca="1" si="2"/>
        <v>0</v>
      </c>
      <c r="AL29" s="203"/>
      <c r="AM29" s="203"/>
      <c r="AN29" s="203"/>
      <c r="AO29" s="203"/>
      <c r="AP29" s="203"/>
      <c r="AQ29" s="203"/>
      <c r="AR29" s="203"/>
      <c r="AS29" s="203"/>
      <c r="AT29" s="203"/>
      <c r="AU29" s="203"/>
      <c r="AV29" s="203"/>
      <c r="AW29" s="203"/>
      <c r="AX29" s="203"/>
      <c r="AY29" s="203"/>
      <c r="AZ29" s="203"/>
      <c r="BA29" s="203"/>
      <c r="BB29" s="203"/>
      <c r="BC29" s="203"/>
      <c r="BD29" s="203"/>
      <c r="BE29" s="203"/>
      <c r="BF29" s="203"/>
      <c r="BG29" s="203"/>
      <c r="BH29" s="203"/>
      <c r="BI29" s="203"/>
      <c r="BJ29" s="203"/>
      <c r="BK29" s="203"/>
      <c r="BL29" s="203"/>
      <c r="BM29" s="203"/>
      <c r="BN29" s="203"/>
      <c r="BO29" s="203"/>
      <c r="BP29" s="203"/>
      <c r="BQ29" s="203"/>
      <c r="BR29" s="203"/>
      <c r="BS29" s="203"/>
      <c r="BT29" s="203"/>
      <c r="BU29" s="203"/>
      <c r="BV29" s="203"/>
      <c r="BW29" s="203"/>
      <c r="BX29" s="203"/>
    </row>
    <row r="30" spans="1:76" s="199" customFormat="1" ht="22.5" customHeight="1">
      <c r="A30" s="222">
        <v>25</v>
      </c>
      <c r="B30" s="222"/>
      <c r="C30" s="198"/>
      <c r="D30" s="193"/>
      <c r="E30" s="194"/>
      <c r="F30" s="222"/>
      <c r="G30" s="222"/>
      <c r="H30" s="193"/>
      <c r="I30" s="193"/>
      <c r="J30" s="193"/>
      <c r="K30" s="195"/>
      <c r="L30" s="196"/>
      <c r="M30" s="193"/>
      <c r="N30" s="197"/>
      <c r="O30" s="197"/>
      <c r="P30" s="197"/>
      <c r="Q30" s="197"/>
      <c r="R30" s="196"/>
      <c r="S30" s="195"/>
      <c r="T30" s="195"/>
      <c r="U30" s="197"/>
      <c r="V30" s="213"/>
      <c r="W30" s="198"/>
      <c r="X30" s="198"/>
      <c r="Y30" s="198"/>
      <c r="Z30" s="198"/>
      <c r="AA30" s="198"/>
      <c r="AB30" s="200"/>
      <c r="AC30" s="200"/>
      <c r="AD30" s="200"/>
      <c r="AE30" s="200"/>
      <c r="AF30" s="200"/>
      <c r="AG30" s="200"/>
      <c r="AH30" s="200"/>
      <c r="AI30" s="91"/>
      <c r="AJ30" s="91">
        <f t="shared" ca="1" si="1"/>
        <v>0</v>
      </c>
      <c r="AK30" s="91">
        <f t="shared" ca="1" si="2"/>
        <v>0</v>
      </c>
      <c r="AL30" s="203"/>
      <c r="AM30" s="203"/>
      <c r="AN30" s="203"/>
      <c r="AO30" s="203"/>
      <c r="AP30" s="203"/>
      <c r="AQ30" s="203"/>
      <c r="AR30" s="203"/>
      <c r="AS30" s="203"/>
      <c r="AT30" s="203"/>
      <c r="AU30" s="203"/>
      <c r="AV30" s="203"/>
      <c r="AW30" s="203"/>
      <c r="AX30" s="203"/>
      <c r="AY30" s="203"/>
      <c r="AZ30" s="203"/>
      <c r="BA30" s="203"/>
      <c r="BB30" s="203"/>
      <c r="BC30" s="203"/>
      <c r="BD30" s="203"/>
      <c r="BE30" s="203"/>
      <c r="BF30" s="203"/>
      <c r="BG30" s="203"/>
      <c r="BH30" s="203"/>
      <c r="BI30" s="203"/>
      <c r="BJ30" s="203"/>
      <c r="BK30" s="203"/>
      <c r="BL30" s="203"/>
      <c r="BM30" s="203"/>
      <c r="BN30" s="203"/>
      <c r="BO30" s="203"/>
      <c r="BP30" s="203"/>
      <c r="BQ30" s="203"/>
      <c r="BR30" s="203"/>
      <c r="BS30" s="203"/>
      <c r="BT30" s="203"/>
      <c r="BU30" s="203"/>
      <c r="BV30" s="203"/>
      <c r="BW30" s="203"/>
      <c r="BX30" s="203"/>
    </row>
    <row r="31" spans="1:76" s="199" customFormat="1" ht="22.5" customHeight="1">
      <c r="A31" s="222">
        <v>26</v>
      </c>
      <c r="B31" s="222"/>
      <c r="C31" s="198"/>
      <c r="D31" s="193"/>
      <c r="E31" s="194"/>
      <c r="F31" s="222"/>
      <c r="G31" s="222"/>
      <c r="H31" s="193"/>
      <c r="I31" s="193"/>
      <c r="J31" s="193"/>
      <c r="K31" s="195"/>
      <c r="L31" s="196"/>
      <c r="M31" s="193"/>
      <c r="N31" s="197"/>
      <c r="O31" s="197"/>
      <c r="P31" s="197"/>
      <c r="Q31" s="197"/>
      <c r="R31" s="196"/>
      <c r="S31" s="195"/>
      <c r="T31" s="195"/>
      <c r="U31" s="197"/>
      <c r="V31" s="213"/>
      <c r="W31" s="198"/>
      <c r="X31" s="198"/>
      <c r="Y31" s="198"/>
      <c r="Z31" s="198"/>
      <c r="AA31" s="198"/>
      <c r="AB31" s="200"/>
      <c r="AC31" s="200"/>
      <c r="AD31" s="200"/>
      <c r="AE31" s="200"/>
      <c r="AF31" s="200"/>
      <c r="AG31" s="200"/>
      <c r="AH31" s="200"/>
      <c r="AI31" s="91"/>
      <c r="AJ31" s="91">
        <f t="shared" ca="1" si="1"/>
        <v>0</v>
      </c>
      <c r="AK31" s="91">
        <f t="shared" ca="1" si="2"/>
        <v>0</v>
      </c>
      <c r="AL31" s="203"/>
      <c r="AM31" s="203"/>
      <c r="AN31" s="203"/>
      <c r="AO31" s="203"/>
      <c r="AP31" s="203"/>
      <c r="AQ31" s="203"/>
      <c r="AR31" s="203"/>
      <c r="AS31" s="203"/>
      <c r="AT31" s="203"/>
      <c r="AU31" s="203"/>
      <c r="AV31" s="203"/>
      <c r="AW31" s="203"/>
      <c r="AX31" s="203"/>
      <c r="AY31" s="203"/>
      <c r="AZ31" s="203"/>
      <c r="BA31" s="203"/>
      <c r="BB31" s="203"/>
      <c r="BC31" s="203"/>
      <c r="BD31" s="203"/>
      <c r="BE31" s="203"/>
      <c r="BF31" s="203"/>
      <c r="BG31" s="203"/>
      <c r="BH31" s="203"/>
      <c r="BI31" s="203"/>
      <c r="BJ31" s="203"/>
      <c r="BK31" s="203"/>
      <c r="BL31" s="203"/>
      <c r="BM31" s="203"/>
      <c r="BN31" s="203"/>
      <c r="BO31" s="203"/>
      <c r="BP31" s="203"/>
      <c r="BQ31" s="203"/>
      <c r="BR31" s="203"/>
      <c r="BS31" s="203"/>
      <c r="BT31" s="203"/>
      <c r="BU31" s="203"/>
      <c r="BV31" s="203"/>
      <c r="BW31" s="203"/>
      <c r="BX31" s="203"/>
    </row>
    <row r="32" spans="1:76" s="199" customFormat="1" ht="22.5" customHeight="1">
      <c r="A32" s="222">
        <v>27</v>
      </c>
      <c r="B32" s="222"/>
      <c r="C32" s="198"/>
      <c r="D32" s="193"/>
      <c r="E32" s="194"/>
      <c r="F32" s="222"/>
      <c r="G32" s="222"/>
      <c r="H32" s="193"/>
      <c r="I32" s="193"/>
      <c r="J32" s="193"/>
      <c r="K32" s="195"/>
      <c r="L32" s="196"/>
      <c r="M32" s="193"/>
      <c r="N32" s="197"/>
      <c r="O32" s="197"/>
      <c r="P32" s="197"/>
      <c r="Q32" s="197"/>
      <c r="R32" s="196"/>
      <c r="S32" s="195"/>
      <c r="T32" s="195"/>
      <c r="U32" s="197"/>
      <c r="V32" s="213"/>
      <c r="W32" s="198"/>
      <c r="X32" s="198"/>
      <c r="Y32" s="198"/>
      <c r="Z32" s="198"/>
      <c r="AA32" s="198"/>
      <c r="AB32" s="200"/>
      <c r="AC32" s="200"/>
      <c r="AD32" s="200"/>
      <c r="AE32" s="200"/>
      <c r="AF32" s="200"/>
      <c r="AG32" s="200"/>
      <c r="AH32" s="200"/>
      <c r="AI32" s="91"/>
      <c r="AJ32" s="91">
        <f t="shared" ca="1" si="1"/>
        <v>0</v>
      </c>
      <c r="AK32" s="91">
        <f t="shared" ca="1" si="2"/>
        <v>0</v>
      </c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3"/>
      <c r="AX32" s="203"/>
      <c r="AY32" s="203"/>
      <c r="AZ32" s="203"/>
      <c r="BA32" s="203"/>
      <c r="BB32" s="203"/>
      <c r="BC32" s="203"/>
      <c r="BD32" s="203"/>
      <c r="BE32" s="203"/>
      <c r="BF32" s="203"/>
      <c r="BG32" s="203"/>
      <c r="BH32" s="203"/>
      <c r="BI32" s="203"/>
      <c r="BJ32" s="203"/>
      <c r="BK32" s="203"/>
      <c r="BL32" s="203"/>
      <c r="BM32" s="203"/>
      <c r="BN32" s="203"/>
      <c r="BO32" s="203"/>
      <c r="BP32" s="203"/>
      <c r="BQ32" s="203"/>
      <c r="BR32" s="203"/>
      <c r="BS32" s="203"/>
      <c r="BT32" s="203"/>
      <c r="BU32" s="203"/>
      <c r="BV32" s="203"/>
      <c r="BW32" s="203"/>
      <c r="BX32" s="203"/>
    </row>
    <row r="33" spans="1:76" s="199" customFormat="1" ht="22.5" customHeight="1">
      <c r="A33" s="222">
        <v>28</v>
      </c>
      <c r="B33" s="222"/>
      <c r="C33" s="198"/>
      <c r="D33" s="193"/>
      <c r="E33" s="194"/>
      <c r="F33" s="222"/>
      <c r="G33" s="222"/>
      <c r="H33" s="193"/>
      <c r="I33" s="193"/>
      <c r="J33" s="193"/>
      <c r="K33" s="195"/>
      <c r="L33" s="196"/>
      <c r="M33" s="193"/>
      <c r="N33" s="197"/>
      <c r="O33" s="197"/>
      <c r="P33" s="197"/>
      <c r="Q33" s="197"/>
      <c r="R33" s="196"/>
      <c r="S33" s="195"/>
      <c r="T33" s="195"/>
      <c r="U33" s="197"/>
      <c r="V33" s="213"/>
      <c r="W33" s="198"/>
      <c r="X33" s="198"/>
      <c r="Y33" s="198"/>
      <c r="Z33" s="198"/>
      <c r="AA33" s="198"/>
      <c r="AB33" s="200"/>
      <c r="AC33" s="200"/>
      <c r="AD33" s="200"/>
      <c r="AE33" s="200"/>
      <c r="AF33" s="200"/>
      <c r="AG33" s="200"/>
      <c r="AH33" s="200"/>
      <c r="AI33" s="91"/>
      <c r="AJ33" s="91">
        <f t="shared" ca="1" si="1"/>
        <v>0</v>
      </c>
      <c r="AK33" s="91">
        <f t="shared" ca="1" si="2"/>
        <v>0</v>
      </c>
      <c r="AL33" s="203"/>
      <c r="AM33" s="203"/>
      <c r="AN33" s="203"/>
      <c r="AO33" s="203"/>
      <c r="AP33" s="203"/>
      <c r="AQ33" s="203"/>
      <c r="AR33" s="203"/>
      <c r="AS33" s="203"/>
      <c r="AT33" s="203"/>
      <c r="AU33" s="203"/>
      <c r="AV33" s="203"/>
      <c r="AW33" s="203"/>
      <c r="AX33" s="203"/>
      <c r="AY33" s="203"/>
      <c r="AZ33" s="203"/>
      <c r="BA33" s="203"/>
      <c r="BB33" s="203"/>
      <c r="BC33" s="203"/>
      <c r="BD33" s="203"/>
      <c r="BE33" s="203"/>
      <c r="BF33" s="203"/>
      <c r="BG33" s="203"/>
      <c r="BH33" s="203"/>
      <c r="BI33" s="203"/>
      <c r="BJ33" s="203"/>
      <c r="BK33" s="203"/>
      <c r="BL33" s="203"/>
      <c r="BM33" s="203"/>
      <c r="BN33" s="203"/>
      <c r="BO33" s="203"/>
      <c r="BP33" s="203"/>
      <c r="BQ33" s="203"/>
      <c r="BR33" s="203"/>
      <c r="BS33" s="203"/>
      <c r="BT33" s="203"/>
      <c r="BU33" s="203"/>
      <c r="BV33" s="203"/>
      <c r="BW33" s="203"/>
      <c r="BX33" s="203"/>
    </row>
    <row r="34" spans="1:76" s="199" customFormat="1" ht="22.5" customHeight="1">
      <c r="A34" s="222">
        <v>29</v>
      </c>
      <c r="B34" s="222"/>
      <c r="C34" s="198"/>
      <c r="D34" s="193"/>
      <c r="E34" s="194"/>
      <c r="F34" s="222"/>
      <c r="G34" s="222"/>
      <c r="H34" s="193"/>
      <c r="I34" s="193"/>
      <c r="J34" s="193"/>
      <c r="K34" s="195"/>
      <c r="L34" s="196"/>
      <c r="M34" s="193"/>
      <c r="N34" s="197"/>
      <c r="O34" s="197"/>
      <c r="P34" s="197"/>
      <c r="Q34" s="197"/>
      <c r="R34" s="196"/>
      <c r="S34" s="195"/>
      <c r="T34" s="195"/>
      <c r="U34" s="197"/>
      <c r="V34" s="213"/>
      <c r="W34" s="198"/>
      <c r="X34" s="198"/>
      <c r="Y34" s="198"/>
      <c r="Z34" s="198"/>
      <c r="AA34" s="198"/>
      <c r="AB34" s="200"/>
      <c r="AC34" s="200"/>
      <c r="AD34" s="200"/>
      <c r="AE34" s="200"/>
      <c r="AF34" s="200"/>
      <c r="AG34" s="200"/>
      <c r="AH34" s="200"/>
      <c r="AI34" s="91"/>
      <c r="AJ34" s="91">
        <f t="shared" ca="1" si="1"/>
        <v>0</v>
      </c>
      <c r="AK34" s="91">
        <f t="shared" ca="1" si="2"/>
        <v>0</v>
      </c>
      <c r="AL34" s="203"/>
      <c r="AM34" s="203"/>
      <c r="AN34" s="203"/>
      <c r="AO34" s="203"/>
      <c r="AP34" s="203"/>
      <c r="AQ34" s="203"/>
      <c r="AR34" s="203"/>
      <c r="AS34" s="203"/>
      <c r="AT34" s="203"/>
      <c r="AU34" s="203"/>
      <c r="AV34" s="203"/>
      <c r="AW34" s="203"/>
      <c r="AX34" s="203"/>
      <c r="AY34" s="203"/>
      <c r="AZ34" s="203"/>
      <c r="BA34" s="203"/>
      <c r="BB34" s="203"/>
      <c r="BC34" s="203"/>
      <c r="BD34" s="203"/>
      <c r="BE34" s="203"/>
      <c r="BF34" s="203"/>
      <c r="BG34" s="203"/>
      <c r="BH34" s="203"/>
      <c r="BI34" s="203"/>
      <c r="BJ34" s="203"/>
      <c r="BK34" s="203"/>
      <c r="BL34" s="203"/>
      <c r="BM34" s="203"/>
      <c r="BN34" s="203"/>
      <c r="BO34" s="203"/>
      <c r="BP34" s="203"/>
      <c r="BQ34" s="203"/>
      <c r="BR34" s="203"/>
      <c r="BS34" s="203"/>
      <c r="BT34" s="203"/>
      <c r="BU34" s="203"/>
      <c r="BV34" s="203"/>
      <c r="BW34" s="203"/>
      <c r="BX34" s="203"/>
    </row>
    <row r="35" spans="1:76" s="199" customFormat="1" ht="22.5" customHeight="1">
      <c r="A35" s="222">
        <v>30</v>
      </c>
      <c r="B35" s="222"/>
      <c r="C35" s="198"/>
      <c r="D35" s="193"/>
      <c r="E35" s="194"/>
      <c r="F35" s="222"/>
      <c r="G35" s="222"/>
      <c r="H35" s="193"/>
      <c r="I35" s="193"/>
      <c r="J35" s="193"/>
      <c r="K35" s="195"/>
      <c r="L35" s="196"/>
      <c r="M35" s="193"/>
      <c r="N35" s="197"/>
      <c r="O35" s="197"/>
      <c r="P35" s="197"/>
      <c r="Q35" s="197"/>
      <c r="R35" s="196"/>
      <c r="S35" s="195"/>
      <c r="T35" s="195"/>
      <c r="U35" s="197"/>
      <c r="V35" s="213"/>
      <c r="W35" s="198"/>
      <c r="X35" s="198"/>
      <c r="Y35" s="198"/>
      <c r="Z35" s="198"/>
      <c r="AA35" s="198"/>
      <c r="AB35" s="200"/>
      <c r="AC35" s="200"/>
      <c r="AD35" s="200"/>
      <c r="AE35" s="200"/>
      <c r="AF35" s="200"/>
      <c r="AG35" s="200"/>
      <c r="AH35" s="200"/>
      <c r="AI35" s="91"/>
      <c r="AJ35" s="91">
        <f t="shared" ca="1" si="1"/>
        <v>0</v>
      </c>
      <c r="AK35" s="91">
        <f t="shared" ca="1" si="2"/>
        <v>0</v>
      </c>
      <c r="AL35" s="203"/>
      <c r="AM35" s="203"/>
      <c r="AN35" s="203"/>
      <c r="AO35" s="203"/>
      <c r="AP35" s="203"/>
      <c r="AQ35" s="203"/>
      <c r="AR35" s="203"/>
      <c r="AS35" s="203"/>
      <c r="AT35" s="203"/>
      <c r="AU35" s="203"/>
      <c r="AV35" s="203"/>
      <c r="AW35" s="203"/>
      <c r="AX35" s="203"/>
      <c r="AY35" s="203"/>
      <c r="AZ35" s="203"/>
      <c r="BA35" s="203"/>
      <c r="BB35" s="203"/>
      <c r="BC35" s="203"/>
      <c r="BD35" s="203"/>
      <c r="BE35" s="203"/>
      <c r="BF35" s="203"/>
      <c r="BG35" s="203"/>
      <c r="BH35" s="203"/>
      <c r="BI35" s="203"/>
      <c r="BJ35" s="203"/>
      <c r="BK35" s="203"/>
      <c r="BL35" s="203"/>
      <c r="BM35" s="203"/>
      <c r="BN35" s="203"/>
      <c r="BO35" s="203"/>
      <c r="BP35" s="203"/>
      <c r="BQ35" s="203"/>
      <c r="BR35" s="203"/>
      <c r="BS35" s="203"/>
      <c r="BT35" s="203"/>
      <c r="BU35" s="203"/>
      <c r="BV35" s="203"/>
      <c r="BW35" s="203"/>
      <c r="BX35" s="203"/>
    </row>
    <row r="36" spans="1:76" s="199" customFormat="1" ht="22.5" customHeight="1">
      <c r="A36" s="222">
        <v>31</v>
      </c>
      <c r="B36" s="222"/>
      <c r="C36" s="198"/>
      <c r="D36" s="193"/>
      <c r="E36" s="194"/>
      <c r="F36" s="222"/>
      <c r="G36" s="222"/>
      <c r="H36" s="193"/>
      <c r="I36" s="193"/>
      <c r="J36" s="193"/>
      <c r="K36" s="195"/>
      <c r="L36" s="196"/>
      <c r="M36" s="193"/>
      <c r="N36" s="197"/>
      <c r="O36" s="197"/>
      <c r="P36" s="197"/>
      <c r="Q36" s="197"/>
      <c r="R36" s="196"/>
      <c r="S36" s="195"/>
      <c r="T36" s="195"/>
      <c r="U36" s="197"/>
      <c r="V36" s="213"/>
      <c r="W36" s="198"/>
      <c r="X36" s="198"/>
      <c r="Y36" s="198"/>
      <c r="Z36" s="198"/>
      <c r="AA36" s="198"/>
      <c r="AB36" s="200"/>
      <c r="AC36" s="200"/>
      <c r="AD36" s="200"/>
      <c r="AE36" s="200"/>
      <c r="AF36" s="200"/>
      <c r="AG36" s="200"/>
      <c r="AH36" s="200"/>
      <c r="AI36" s="91"/>
      <c r="AJ36" s="91">
        <f t="shared" ca="1" si="1"/>
        <v>0</v>
      </c>
      <c r="AK36" s="91">
        <f t="shared" ca="1" si="2"/>
        <v>0</v>
      </c>
      <c r="AL36" s="203"/>
      <c r="AM36" s="203"/>
      <c r="AN36" s="203"/>
      <c r="AO36" s="203"/>
      <c r="AP36" s="203"/>
      <c r="AQ36" s="203"/>
      <c r="AR36" s="203"/>
      <c r="AS36" s="203"/>
      <c r="AT36" s="203"/>
      <c r="AU36" s="203"/>
      <c r="AV36" s="203"/>
      <c r="AW36" s="203"/>
      <c r="AX36" s="203"/>
      <c r="AY36" s="203"/>
      <c r="AZ36" s="203"/>
      <c r="BA36" s="203"/>
      <c r="BB36" s="203"/>
      <c r="BC36" s="203"/>
      <c r="BD36" s="203"/>
      <c r="BE36" s="203"/>
      <c r="BF36" s="203"/>
      <c r="BG36" s="203"/>
      <c r="BH36" s="203"/>
      <c r="BI36" s="203"/>
      <c r="BJ36" s="203"/>
      <c r="BK36" s="203"/>
      <c r="BL36" s="203"/>
      <c r="BM36" s="203"/>
      <c r="BN36" s="203"/>
      <c r="BO36" s="203"/>
      <c r="BP36" s="203"/>
      <c r="BQ36" s="203"/>
      <c r="BR36" s="203"/>
      <c r="BS36" s="203"/>
      <c r="BT36" s="203"/>
      <c r="BU36" s="203"/>
      <c r="BV36" s="203"/>
      <c r="BW36" s="203"/>
      <c r="BX36" s="203"/>
    </row>
    <row r="37" spans="1:76" s="199" customFormat="1" ht="22.5" customHeight="1">
      <c r="A37" s="222">
        <v>32</v>
      </c>
      <c r="B37" s="222"/>
      <c r="C37" s="198"/>
      <c r="D37" s="193"/>
      <c r="E37" s="194"/>
      <c r="F37" s="222"/>
      <c r="G37" s="222"/>
      <c r="H37" s="193"/>
      <c r="I37" s="193"/>
      <c r="J37" s="193"/>
      <c r="K37" s="195"/>
      <c r="L37" s="196"/>
      <c r="M37" s="193"/>
      <c r="N37" s="197"/>
      <c r="O37" s="197"/>
      <c r="P37" s="197"/>
      <c r="Q37" s="197"/>
      <c r="R37" s="196"/>
      <c r="S37" s="195"/>
      <c r="T37" s="195"/>
      <c r="U37" s="197"/>
      <c r="V37" s="213"/>
      <c r="W37" s="198"/>
      <c r="X37" s="198"/>
      <c r="Y37" s="198"/>
      <c r="Z37" s="198"/>
      <c r="AA37" s="198"/>
      <c r="AB37" s="200"/>
      <c r="AC37" s="200"/>
      <c r="AD37" s="200"/>
      <c r="AE37" s="200"/>
      <c r="AF37" s="200"/>
      <c r="AG37" s="200"/>
      <c r="AH37" s="200"/>
      <c r="AI37" s="91"/>
      <c r="AJ37" s="91">
        <f t="shared" ca="1" si="1"/>
        <v>0</v>
      </c>
      <c r="AK37" s="91">
        <f t="shared" ca="1" si="2"/>
        <v>0</v>
      </c>
      <c r="AL37" s="203"/>
      <c r="AM37" s="203"/>
      <c r="AN37" s="203"/>
      <c r="AO37" s="203"/>
      <c r="AP37" s="203"/>
      <c r="AQ37" s="203"/>
      <c r="AR37" s="203"/>
      <c r="AS37" s="203"/>
      <c r="AT37" s="203"/>
      <c r="AU37" s="203"/>
      <c r="AV37" s="203"/>
      <c r="AW37" s="203"/>
      <c r="AX37" s="203"/>
      <c r="AY37" s="203"/>
      <c r="AZ37" s="203"/>
      <c r="BA37" s="203"/>
      <c r="BB37" s="203"/>
      <c r="BC37" s="203"/>
      <c r="BD37" s="203"/>
      <c r="BE37" s="203"/>
      <c r="BF37" s="203"/>
      <c r="BG37" s="203"/>
      <c r="BH37" s="203"/>
      <c r="BI37" s="203"/>
      <c r="BJ37" s="203"/>
      <c r="BK37" s="203"/>
      <c r="BL37" s="203"/>
      <c r="BM37" s="203"/>
      <c r="BN37" s="203"/>
      <c r="BO37" s="203"/>
      <c r="BP37" s="203"/>
      <c r="BQ37" s="203"/>
      <c r="BR37" s="203"/>
      <c r="BS37" s="203"/>
      <c r="BT37" s="203"/>
      <c r="BU37" s="203"/>
      <c r="BV37" s="203"/>
      <c r="BW37" s="203"/>
      <c r="BX37" s="203"/>
    </row>
    <row r="38" spans="1:76" s="199" customFormat="1" ht="22.5" customHeight="1">
      <c r="A38" s="222">
        <v>33</v>
      </c>
      <c r="B38" s="222"/>
      <c r="C38" s="198"/>
      <c r="D38" s="193"/>
      <c r="E38" s="194"/>
      <c r="F38" s="222"/>
      <c r="G38" s="222"/>
      <c r="H38" s="193"/>
      <c r="I38" s="193"/>
      <c r="J38" s="193"/>
      <c r="K38" s="195"/>
      <c r="L38" s="196"/>
      <c r="M38" s="193"/>
      <c r="N38" s="197"/>
      <c r="O38" s="197"/>
      <c r="P38" s="197"/>
      <c r="Q38" s="197"/>
      <c r="R38" s="196"/>
      <c r="S38" s="195"/>
      <c r="T38" s="195"/>
      <c r="U38" s="197"/>
      <c r="V38" s="213"/>
      <c r="W38" s="198"/>
      <c r="X38" s="198"/>
      <c r="Y38" s="198"/>
      <c r="Z38" s="198"/>
      <c r="AA38" s="198"/>
      <c r="AB38" s="200"/>
      <c r="AC38" s="200"/>
      <c r="AD38" s="200"/>
      <c r="AE38" s="200"/>
      <c r="AF38" s="200"/>
      <c r="AG38" s="200"/>
      <c r="AH38" s="200"/>
      <c r="AI38" s="91"/>
      <c r="AJ38" s="91">
        <f t="shared" ca="1" si="1"/>
        <v>0</v>
      </c>
      <c r="AK38" s="91">
        <f t="shared" ca="1" si="2"/>
        <v>0</v>
      </c>
      <c r="AL38" s="203"/>
      <c r="AM38" s="203"/>
      <c r="AN38" s="203"/>
      <c r="AO38" s="203"/>
      <c r="AP38" s="203"/>
      <c r="AQ38" s="203"/>
      <c r="AR38" s="203"/>
      <c r="AS38" s="203"/>
      <c r="AT38" s="203"/>
      <c r="AU38" s="203"/>
      <c r="AV38" s="203"/>
      <c r="AW38" s="203"/>
      <c r="AX38" s="203"/>
      <c r="AY38" s="203"/>
      <c r="AZ38" s="203"/>
      <c r="BA38" s="203"/>
      <c r="BB38" s="203"/>
      <c r="BC38" s="203"/>
      <c r="BD38" s="203"/>
      <c r="BE38" s="203"/>
      <c r="BF38" s="203"/>
      <c r="BG38" s="203"/>
      <c r="BH38" s="203"/>
      <c r="BI38" s="203"/>
      <c r="BJ38" s="203"/>
      <c r="BK38" s="203"/>
      <c r="BL38" s="203"/>
      <c r="BM38" s="203"/>
      <c r="BN38" s="203"/>
      <c r="BO38" s="203"/>
      <c r="BP38" s="203"/>
      <c r="BQ38" s="203"/>
      <c r="BR38" s="203"/>
      <c r="BS38" s="203"/>
      <c r="BT38" s="203"/>
      <c r="BU38" s="203"/>
      <c r="BV38" s="203"/>
      <c r="BW38" s="203"/>
      <c r="BX38" s="203"/>
    </row>
    <row r="39" spans="1:76" s="199" customFormat="1" ht="22.5" customHeight="1">
      <c r="A39" s="222">
        <v>34</v>
      </c>
      <c r="B39" s="222"/>
      <c r="C39" s="198"/>
      <c r="D39" s="193"/>
      <c r="E39" s="194"/>
      <c r="F39" s="222"/>
      <c r="G39" s="222"/>
      <c r="H39" s="193"/>
      <c r="I39" s="193"/>
      <c r="J39" s="193"/>
      <c r="K39" s="195"/>
      <c r="L39" s="196"/>
      <c r="M39" s="193"/>
      <c r="N39" s="197"/>
      <c r="O39" s="197"/>
      <c r="P39" s="197"/>
      <c r="Q39" s="197"/>
      <c r="R39" s="196"/>
      <c r="S39" s="195"/>
      <c r="T39" s="195"/>
      <c r="U39" s="197"/>
      <c r="V39" s="213"/>
      <c r="W39" s="198"/>
      <c r="X39" s="198"/>
      <c r="Y39" s="198"/>
      <c r="Z39" s="198"/>
      <c r="AA39" s="198"/>
      <c r="AB39" s="200"/>
      <c r="AC39" s="200"/>
      <c r="AD39" s="200"/>
      <c r="AE39" s="200"/>
      <c r="AF39" s="200"/>
      <c r="AG39" s="200"/>
      <c r="AH39" s="200"/>
      <c r="AI39" s="91"/>
      <c r="AJ39" s="91">
        <f t="shared" ca="1" si="1"/>
        <v>0</v>
      </c>
      <c r="AK39" s="91">
        <f t="shared" ca="1" si="2"/>
        <v>0</v>
      </c>
      <c r="AL39" s="203"/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203"/>
      <c r="BC39" s="203"/>
      <c r="BD39" s="203"/>
      <c r="BE39" s="203"/>
      <c r="BF39" s="203"/>
      <c r="BG39" s="203"/>
      <c r="BH39" s="203"/>
      <c r="BI39" s="203"/>
      <c r="BJ39" s="203"/>
      <c r="BK39" s="203"/>
      <c r="BL39" s="203"/>
      <c r="BM39" s="203"/>
      <c r="BN39" s="203"/>
      <c r="BO39" s="203"/>
      <c r="BP39" s="203"/>
      <c r="BQ39" s="203"/>
      <c r="BR39" s="203"/>
      <c r="BS39" s="203"/>
      <c r="BT39" s="203"/>
      <c r="BU39" s="203"/>
      <c r="BV39" s="203"/>
      <c r="BW39" s="203"/>
      <c r="BX39" s="203"/>
    </row>
    <row r="40" spans="1:76" s="199" customFormat="1" ht="22.5" customHeight="1">
      <c r="A40" s="222">
        <v>35</v>
      </c>
      <c r="B40" s="222"/>
      <c r="C40" s="198"/>
      <c r="D40" s="193"/>
      <c r="E40" s="194"/>
      <c r="F40" s="222"/>
      <c r="G40" s="222"/>
      <c r="H40" s="193"/>
      <c r="I40" s="193"/>
      <c r="J40" s="193"/>
      <c r="K40" s="195"/>
      <c r="L40" s="196"/>
      <c r="M40" s="193"/>
      <c r="N40" s="197"/>
      <c r="O40" s="197"/>
      <c r="P40" s="197"/>
      <c r="Q40" s="197"/>
      <c r="R40" s="196"/>
      <c r="S40" s="195"/>
      <c r="T40" s="195"/>
      <c r="U40" s="197"/>
      <c r="V40" s="213"/>
      <c r="W40" s="198"/>
      <c r="X40" s="198"/>
      <c r="Y40" s="198"/>
      <c r="Z40" s="198"/>
      <c r="AA40" s="198"/>
      <c r="AB40" s="200"/>
      <c r="AC40" s="200"/>
      <c r="AD40" s="200"/>
      <c r="AE40" s="200"/>
      <c r="AF40" s="200"/>
      <c r="AG40" s="200"/>
      <c r="AH40" s="200"/>
      <c r="AI40" s="91"/>
      <c r="AJ40" s="91">
        <f t="shared" ca="1" si="1"/>
        <v>0</v>
      </c>
      <c r="AK40" s="91">
        <f t="shared" ca="1" si="2"/>
        <v>0</v>
      </c>
      <c r="AL40" s="203"/>
      <c r="AM40" s="203"/>
      <c r="AN40" s="203"/>
      <c r="AO40" s="203"/>
      <c r="AP40" s="203"/>
      <c r="AQ40" s="203"/>
      <c r="AR40" s="203"/>
      <c r="AS40" s="203"/>
      <c r="AT40" s="203"/>
      <c r="AU40" s="203"/>
      <c r="AV40" s="203"/>
      <c r="AW40" s="203"/>
      <c r="AX40" s="203"/>
      <c r="AY40" s="203"/>
      <c r="AZ40" s="203"/>
      <c r="BA40" s="203"/>
      <c r="BB40" s="203"/>
      <c r="BC40" s="203"/>
      <c r="BD40" s="203"/>
      <c r="BE40" s="203"/>
      <c r="BF40" s="203"/>
      <c r="BG40" s="203"/>
      <c r="BH40" s="203"/>
      <c r="BI40" s="203"/>
      <c r="BJ40" s="203"/>
      <c r="BK40" s="203"/>
      <c r="BL40" s="203"/>
      <c r="BM40" s="203"/>
      <c r="BN40" s="203"/>
      <c r="BO40" s="203"/>
      <c r="BP40" s="203"/>
      <c r="BQ40" s="203"/>
      <c r="BR40" s="203"/>
      <c r="BS40" s="203"/>
      <c r="BT40" s="203"/>
      <c r="BU40" s="203"/>
      <c r="BV40" s="203"/>
      <c r="BW40" s="203"/>
      <c r="BX40" s="203"/>
    </row>
    <row r="41" spans="1:76" s="199" customFormat="1" ht="22.5" customHeight="1">
      <c r="A41" s="222">
        <v>36</v>
      </c>
      <c r="B41" s="222"/>
      <c r="C41" s="198"/>
      <c r="D41" s="193"/>
      <c r="E41" s="194"/>
      <c r="F41" s="222"/>
      <c r="G41" s="222"/>
      <c r="H41" s="193"/>
      <c r="I41" s="193"/>
      <c r="J41" s="193"/>
      <c r="K41" s="195"/>
      <c r="L41" s="196"/>
      <c r="M41" s="193"/>
      <c r="N41" s="197"/>
      <c r="O41" s="197"/>
      <c r="P41" s="197"/>
      <c r="Q41" s="197"/>
      <c r="R41" s="196"/>
      <c r="S41" s="195"/>
      <c r="T41" s="195"/>
      <c r="U41" s="197"/>
      <c r="V41" s="213"/>
      <c r="W41" s="198"/>
      <c r="X41" s="198"/>
      <c r="Y41" s="198"/>
      <c r="Z41" s="198"/>
      <c r="AA41" s="198"/>
      <c r="AB41" s="200"/>
      <c r="AC41" s="200"/>
      <c r="AD41" s="200"/>
      <c r="AE41" s="200"/>
      <c r="AF41" s="200"/>
      <c r="AG41" s="200"/>
      <c r="AH41" s="200"/>
      <c r="AI41" s="91"/>
      <c r="AJ41" s="91">
        <f t="shared" ca="1" si="1"/>
        <v>0</v>
      </c>
      <c r="AK41" s="91">
        <f t="shared" ca="1" si="2"/>
        <v>0</v>
      </c>
      <c r="AL41" s="203"/>
      <c r="AM41" s="203"/>
      <c r="AN41" s="203"/>
      <c r="AO41" s="203"/>
      <c r="AP41" s="203"/>
      <c r="AQ41" s="203"/>
      <c r="AR41" s="203"/>
      <c r="AS41" s="203"/>
      <c r="AT41" s="203"/>
      <c r="AU41" s="203"/>
      <c r="AV41" s="203"/>
      <c r="AW41" s="203"/>
      <c r="AX41" s="203"/>
      <c r="AY41" s="203"/>
      <c r="AZ41" s="203"/>
      <c r="BA41" s="203"/>
      <c r="BB41" s="203"/>
      <c r="BC41" s="203"/>
      <c r="BD41" s="203"/>
      <c r="BE41" s="203"/>
      <c r="BF41" s="203"/>
      <c r="BG41" s="203"/>
      <c r="BH41" s="203"/>
      <c r="BI41" s="203"/>
      <c r="BJ41" s="203"/>
      <c r="BK41" s="203"/>
      <c r="BL41" s="203"/>
      <c r="BM41" s="203"/>
      <c r="BN41" s="203"/>
      <c r="BO41" s="203"/>
      <c r="BP41" s="203"/>
      <c r="BQ41" s="203"/>
      <c r="BR41" s="203"/>
      <c r="BS41" s="203"/>
      <c r="BT41" s="203"/>
      <c r="BU41" s="203"/>
      <c r="BV41" s="203"/>
      <c r="BW41" s="203"/>
      <c r="BX41" s="203"/>
    </row>
    <row r="42" spans="1:76" s="199" customFormat="1" ht="22.5" customHeight="1">
      <c r="A42" s="222">
        <v>37</v>
      </c>
      <c r="B42" s="222"/>
      <c r="C42" s="198"/>
      <c r="D42" s="193"/>
      <c r="E42" s="194"/>
      <c r="F42" s="222"/>
      <c r="G42" s="222"/>
      <c r="H42" s="193"/>
      <c r="I42" s="193"/>
      <c r="J42" s="193"/>
      <c r="K42" s="195"/>
      <c r="L42" s="196"/>
      <c r="M42" s="193"/>
      <c r="N42" s="197"/>
      <c r="O42" s="197"/>
      <c r="P42" s="197"/>
      <c r="Q42" s="197"/>
      <c r="R42" s="196"/>
      <c r="S42" s="195"/>
      <c r="T42" s="195"/>
      <c r="U42" s="197"/>
      <c r="V42" s="213"/>
      <c r="W42" s="198"/>
      <c r="X42" s="198"/>
      <c r="Y42" s="198"/>
      <c r="Z42" s="198"/>
      <c r="AA42" s="198"/>
      <c r="AB42" s="200"/>
      <c r="AC42" s="200"/>
      <c r="AD42" s="200"/>
      <c r="AE42" s="200"/>
      <c r="AF42" s="200"/>
      <c r="AG42" s="200"/>
      <c r="AH42" s="200"/>
      <c r="AI42" s="91"/>
      <c r="AJ42" s="91">
        <f t="shared" ca="1" si="1"/>
        <v>0</v>
      </c>
      <c r="AK42" s="91">
        <f t="shared" ca="1" si="2"/>
        <v>0</v>
      </c>
      <c r="AL42" s="203"/>
      <c r="AM42" s="203"/>
      <c r="AN42" s="203"/>
      <c r="AO42" s="203"/>
      <c r="AP42" s="203"/>
      <c r="AQ42" s="203"/>
      <c r="AR42" s="203"/>
      <c r="AS42" s="203"/>
      <c r="AT42" s="203"/>
      <c r="AU42" s="203"/>
      <c r="AV42" s="203"/>
      <c r="AW42" s="203"/>
      <c r="AX42" s="203"/>
      <c r="AY42" s="203"/>
      <c r="AZ42" s="203"/>
      <c r="BA42" s="203"/>
      <c r="BB42" s="203"/>
      <c r="BC42" s="203"/>
      <c r="BD42" s="203"/>
      <c r="BE42" s="203"/>
      <c r="BF42" s="203"/>
      <c r="BG42" s="203"/>
      <c r="BH42" s="203"/>
      <c r="BI42" s="203"/>
      <c r="BJ42" s="203"/>
      <c r="BK42" s="203"/>
      <c r="BL42" s="203"/>
      <c r="BM42" s="203"/>
      <c r="BN42" s="203"/>
      <c r="BO42" s="203"/>
      <c r="BP42" s="203"/>
      <c r="BQ42" s="203"/>
      <c r="BR42" s="203"/>
      <c r="BS42" s="203"/>
      <c r="BT42" s="203"/>
      <c r="BU42" s="203"/>
      <c r="BV42" s="203"/>
      <c r="BW42" s="203"/>
      <c r="BX42" s="203"/>
    </row>
    <row r="43" spans="1:76" s="199" customFormat="1" ht="22.5" customHeight="1">
      <c r="A43" s="222">
        <v>38</v>
      </c>
      <c r="B43" s="222"/>
      <c r="C43" s="198"/>
      <c r="D43" s="193"/>
      <c r="E43" s="194"/>
      <c r="F43" s="222"/>
      <c r="G43" s="222"/>
      <c r="H43" s="193"/>
      <c r="I43" s="193"/>
      <c r="J43" s="193"/>
      <c r="K43" s="195"/>
      <c r="L43" s="196"/>
      <c r="M43" s="193"/>
      <c r="N43" s="197"/>
      <c r="O43" s="197"/>
      <c r="P43" s="197"/>
      <c r="Q43" s="197"/>
      <c r="R43" s="196"/>
      <c r="S43" s="195"/>
      <c r="T43" s="195"/>
      <c r="U43" s="197"/>
      <c r="V43" s="213"/>
      <c r="W43" s="198"/>
      <c r="X43" s="198"/>
      <c r="Y43" s="198"/>
      <c r="Z43" s="198"/>
      <c r="AA43" s="198"/>
      <c r="AB43" s="200"/>
      <c r="AC43" s="200"/>
      <c r="AD43" s="200"/>
      <c r="AE43" s="200"/>
      <c r="AF43" s="200"/>
      <c r="AG43" s="200"/>
      <c r="AH43" s="200"/>
      <c r="AI43" s="91"/>
      <c r="AJ43" s="91">
        <f t="shared" ca="1" si="1"/>
        <v>0</v>
      </c>
      <c r="AK43" s="91">
        <f t="shared" ca="1" si="2"/>
        <v>0</v>
      </c>
      <c r="AL43" s="203"/>
      <c r="AM43" s="203"/>
      <c r="AN43" s="203"/>
      <c r="AO43" s="203"/>
      <c r="AP43" s="203"/>
      <c r="AQ43" s="203"/>
      <c r="AR43" s="203"/>
      <c r="AS43" s="203"/>
      <c r="AT43" s="203"/>
      <c r="AU43" s="203"/>
      <c r="AV43" s="203"/>
      <c r="AW43" s="203"/>
      <c r="AX43" s="203"/>
      <c r="AY43" s="203"/>
      <c r="AZ43" s="203"/>
      <c r="BA43" s="203"/>
      <c r="BB43" s="203"/>
      <c r="BC43" s="203"/>
      <c r="BD43" s="203"/>
      <c r="BE43" s="203"/>
      <c r="BF43" s="203"/>
      <c r="BG43" s="203"/>
      <c r="BH43" s="203"/>
      <c r="BI43" s="203"/>
      <c r="BJ43" s="203"/>
      <c r="BK43" s="203"/>
      <c r="BL43" s="203"/>
      <c r="BM43" s="203"/>
      <c r="BN43" s="203"/>
      <c r="BO43" s="203"/>
      <c r="BP43" s="203"/>
      <c r="BQ43" s="203"/>
      <c r="BR43" s="203"/>
      <c r="BS43" s="203"/>
      <c r="BT43" s="203"/>
      <c r="BU43" s="203"/>
      <c r="BV43" s="203"/>
      <c r="BW43" s="203"/>
      <c r="BX43" s="203"/>
    </row>
    <row r="44" spans="1:76" s="199" customFormat="1" ht="22.5" customHeight="1">
      <c r="A44" s="222">
        <v>39</v>
      </c>
      <c r="B44" s="222"/>
      <c r="C44" s="198"/>
      <c r="D44" s="193"/>
      <c r="E44" s="194"/>
      <c r="F44" s="222"/>
      <c r="G44" s="222"/>
      <c r="H44" s="193"/>
      <c r="I44" s="193"/>
      <c r="J44" s="193"/>
      <c r="K44" s="195"/>
      <c r="L44" s="196"/>
      <c r="M44" s="193"/>
      <c r="N44" s="197"/>
      <c r="O44" s="197"/>
      <c r="P44" s="197"/>
      <c r="Q44" s="197"/>
      <c r="R44" s="196"/>
      <c r="S44" s="195"/>
      <c r="T44" s="195"/>
      <c r="U44" s="197"/>
      <c r="V44" s="213"/>
      <c r="W44" s="198"/>
      <c r="X44" s="198"/>
      <c r="Y44" s="198"/>
      <c r="Z44" s="198"/>
      <c r="AA44" s="198"/>
      <c r="AB44" s="200"/>
      <c r="AC44" s="200"/>
      <c r="AD44" s="200"/>
      <c r="AE44" s="200"/>
      <c r="AF44" s="200"/>
      <c r="AG44" s="200"/>
      <c r="AH44" s="200"/>
      <c r="AI44" s="91"/>
      <c r="AJ44" s="91">
        <f t="shared" ca="1" si="1"/>
        <v>0</v>
      </c>
      <c r="AK44" s="91">
        <f t="shared" ca="1" si="2"/>
        <v>0</v>
      </c>
      <c r="AL44" s="203"/>
      <c r="AM44" s="203"/>
      <c r="AN44" s="203"/>
      <c r="AO44" s="203"/>
      <c r="AP44" s="203"/>
      <c r="AQ44" s="203"/>
      <c r="AR44" s="203"/>
      <c r="AS44" s="203"/>
      <c r="AT44" s="203"/>
      <c r="AU44" s="203"/>
      <c r="AV44" s="203"/>
      <c r="AW44" s="203"/>
      <c r="AX44" s="203"/>
      <c r="AY44" s="203"/>
      <c r="AZ44" s="203"/>
      <c r="BA44" s="203"/>
      <c r="BB44" s="203"/>
      <c r="BC44" s="203"/>
      <c r="BD44" s="203"/>
      <c r="BE44" s="203"/>
      <c r="BF44" s="203"/>
      <c r="BG44" s="203"/>
      <c r="BH44" s="203"/>
      <c r="BI44" s="203"/>
      <c r="BJ44" s="203"/>
      <c r="BK44" s="203"/>
      <c r="BL44" s="203"/>
      <c r="BM44" s="203"/>
      <c r="BN44" s="203"/>
      <c r="BO44" s="203"/>
      <c r="BP44" s="203"/>
      <c r="BQ44" s="203"/>
      <c r="BR44" s="203"/>
      <c r="BS44" s="203"/>
      <c r="BT44" s="203"/>
      <c r="BU44" s="203"/>
      <c r="BV44" s="203"/>
      <c r="BW44" s="203"/>
      <c r="BX44" s="203"/>
    </row>
    <row r="45" spans="1:76" s="199" customFormat="1" ht="22.5" customHeight="1">
      <c r="A45" s="222">
        <v>40</v>
      </c>
      <c r="B45" s="222"/>
      <c r="C45" s="198"/>
      <c r="D45" s="193"/>
      <c r="E45" s="194"/>
      <c r="F45" s="222"/>
      <c r="G45" s="222"/>
      <c r="H45" s="193"/>
      <c r="I45" s="193"/>
      <c r="J45" s="193"/>
      <c r="K45" s="195"/>
      <c r="L45" s="196"/>
      <c r="M45" s="193"/>
      <c r="N45" s="197"/>
      <c r="O45" s="197"/>
      <c r="P45" s="197"/>
      <c r="Q45" s="197"/>
      <c r="R45" s="196"/>
      <c r="S45" s="195"/>
      <c r="T45" s="195"/>
      <c r="U45" s="197"/>
      <c r="V45" s="213"/>
      <c r="W45" s="198"/>
      <c r="X45" s="198"/>
      <c r="Y45" s="198"/>
      <c r="Z45" s="198"/>
      <c r="AA45" s="198"/>
      <c r="AB45" s="200"/>
      <c r="AC45" s="200"/>
      <c r="AD45" s="200"/>
      <c r="AE45" s="200"/>
      <c r="AF45" s="200"/>
      <c r="AG45" s="200"/>
      <c r="AH45" s="200"/>
      <c r="AI45" s="91"/>
      <c r="AJ45" s="91">
        <f t="shared" ca="1" si="1"/>
        <v>0</v>
      </c>
      <c r="AK45" s="91">
        <f t="shared" ca="1" si="2"/>
        <v>0</v>
      </c>
      <c r="AL45" s="203"/>
      <c r="AM45" s="203"/>
      <c r="AN45" s="203"/>
      <c r="AO45" s="203"/>
      <c r="AP45" s="203"/>
      <c r="AQ45" s="203"/>
      <c r="AR45" s="203"/>
      <c r="AS45" s="203"/>
      <c r="AT45" s="203"/>
      <c r="AU45" s="203"/>
      <c r="AV45" s="203"/>
      <c r="AW45" s="203"/>
      <c r="AX45" s="203"/>
      <c r="AY45" s="203"/>
      <c r="AZ45" s="203"/>
      <c r="BA45" s="203"/>
      <c r="BB45" s="203"/>
      <c r="BC45" s="203"/>
      <c r="BD45" s="203"/>
      <c r="BE45" s="203"/>
      <c r="BF45" s="203"/>
      <c r="BG45" s="203"/>
      <c r="BH45" s="203"/>
      <c r="BI45" s="203"/>
      <c r="BJ45" s="203"/>
      <c r="BK45" s="203"/>
      <c r="BL45" s="203"/>
      <c r="BM45" s="203"/>
      <c r="BN45" s="203"/>
      <c r="BO45" s="203"/>
      <c r="BP45" s="203"/>
      <c r="BQ45" s="203"/>
      <c r="BR45" s="203"/>
      <c r="BS45" s="203"/>
      <c r="BT45" s="203"/>
      <c r="BU45" s="203"/>
      <c r="BV45" s="203"/>
      <c r="BW45" s="203"/>
      <c r="BX45" s="203"/>
    </row>
    <row r="46" spans="1:76" s="199" customFormat="1" ht="22.5" customHeight="1">
      <c r="A46" s="222">
        <v>41</v>
      </c>
      <c r="B46" s="222"/>
      <c r="C46" s="198"/>
      <c r="D46" s="193"/>
      <c r="E46" s="194"/>
      <c r="F46" s="222"/>
      <c r="G46" s="222"/>
      <c r="H46" s="193"/>
      <c r="I46" s="193"/>
      <c r="J46" s="193"/>
      <c r="K46" s="195"/>
      <c r="L46" s="196"/>
      <c r="M46" s="193"/>
      <c r="N46" s="197"/>
      <c r="O46" s="197"/>
      <c r="P46" s="197"/>
      <c r="Q46" s="197"/>
      <c r="R46" s="196"/>
      <c r="S46" s="195"/>
      <c r="T46" s="195"/>
      <c r="U46" s="197"/>
      <c r="V46" s="213"/>
      <c r="W46" s="198"/>
      <c r="X46" s="198"/>
      <c r="Y46" s="198"/>
      <c r="Z46" s="198"/>
      <c r="AA46" s="198"/>
      <c r="AB46" s="200"/>
      <c r="AC46" s="200"/>
      <c r="AD46" s="200"/>
      <c r="AE46" s="200"/>
      <c r="AF46" s="200"/>
      <c r="AG46" s="200"/>
      <c r="AH46" s="200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3"/>
      <c r="AX46" s="203"/>
      <c r="AY46" s="203"/>
      <c r="AZ46" s="203"/>
      <c r="BA46" s="203"/>
      <c r="BB46" s="203"/>
      <c r="BC46" s="203"/>
      <c r="BD46" s="203"/>
      <c r="BE46" s="203"/>
      <c r="BF46" s="203"/>
      <c r="BG46" s="203"/>
      <c r="BH46" s="203"/>
      <c r="BI46" s="203"/>
      <c r="BJ46" s="203"/>
      <c r="BK46" s="203"/>
      <c r="BL46" s="203"/>
      <c r="BM46" s="203"/>
      <c r="BN46" s="203"/>
      <c r="BO46" s="203"/>
      <c r="BP46" s="203"/>
      <c r="BQ46" s="203"/>
      <c r="BR46" s="203"/>
      <c r="BS46" s="203"/>
      <c r="BT46" s="203"/>
      <c r="BU46" s="203"/>
      <c r="BV46" s="203"/>
      <c r="BW46" s="203"/>
      <c r="BX46" s="203"/>
    </row>
    <row r="47" spans="1:76" s="199" customFormat="1" ht="22.5" customHeight="1">
      <c r="A47" s="222">
        <v>42</v>
      </c>
      <c r="B47" s="222"/>
      <c r="C47" s="198"/>
      <c r="D47" s="193"/>
      <c r="E47" s="194"/>
      <c r="F47" s="222"/>
      <c r="G47" s="222"/>
      <c r="H47" s="193"/>
      <c r="I47" s="193"/>
      <c r="J47" s="193"/>
      <c r="K47" s="195"/>
      <c r="L47" s="196"/>
      <c r="M47" s="193"/>
      <c r="N47" s="197"/>
      <c r="O47" s="197"/>
      <c r="P47" s="197"/>
      <c r="Q47" s="197"/>
      <c r="R47" s="196"/>
      <c r="S47" s="195"/>
      <c r="T47" s="195"/>
      <c r="U47" s="197"/>
      <c r="V47" s="213"/>
      <c r="W47" s="198"/>
      <c r="X47" s="198"/>
      <c r="Y47" s="198"/>
      <c r="Z47" s="198"/>
      <c r="AA47" s="198"/>
      <c r="AB47" s="200"/>
      <c r="AC47" s="200"/>
      <c r="AD47" s="200"/>
      <c r="AE47" s="200"/>
      <c r="AF47" s="200"/>
      <c r="AG47" s="200"/>
      <c r="AH47" s="200"/>
      <c r="AI47" s="91"/>
      <c r="AJ47" s="91">
        <f t="shared" ca="1" si="3"/>
        <v>0</v>
      </c>
      <c r="AK47" s="91">
        <f t="shared" ca="1" si="4"/>
        <v>0</v>
      </c>
      <c r="AL47" s="203"/>
      <c r="AM47" s="203"/>
      <c r="AN47" s="203"/>
      <c r="AO47" s="203"/>
      <c r="AP47" s="203"/>
      <c r="AQ47" s="203"/>
      <c r="AR47" s="203"/>
      <c r="AS47" s="203"/>
      <c r="AT47" s="203"/>
      <c r="AU47" s="203"/>
      <c r="AV47" s="203"/>
      <c r="AW47" s="203"/>
      <c r="AX47" s="203"/>
      <c r="AY47" s="203"/>
      <c r="AZ47" s="203"/>
      <c r="BA47" s="203"/>
      <c r="BB47" s="203"/>
      <c r="BC47" s="203"/>
      <c r="BD47" s="203"/>
      <c r="BE47" s="203"/>
      <c r="BF47" s="203"/>
      <c r="BG47" s="203"/>
      <c r="BH47" s="203"/>
      <c r="BI47" s="203"/>
      <c r="BJ47" s="203"/>
      <c r="BK47" s="203"/>
      <c r="BL47" s="203"/>
      <c r="BM47" s="203"/>
      <c r="BN47" s="203"/>
      <c r="BO47" s="203"/>
      <c r="BP47" s="203"/>
      <c r="BQ47" s="203"/>
      <c r="BR47" s="203"/>
      <c r="BS47" s="203"/>
      <c r="BT47" s="203"/>
      <c r="BU47" s="203"/>
      <c r="BV47" s="203"/>
      <c r="BW47" s="203"/>
      <c r="BX47" s="203"/>
    </row>
    <row r="48" spans="1:76" s="199" customFormat="1" ht="22.5" customHeight="1">
      <c r="A48" s="222">
        <v>43</v>
      </c>
      <c r="B48" s="222"/>
      <c r="C48" s="198"/>
      <c r="D48" s="193"/>
      <c r="E48" s="194"/>
      <c r="F48" s="222"/>
      <c r="G48" s="222"/>
      <c r="H48" s="193"/>
      <c r="I48" s="193"/>
      <c r="J48" s="193"/>
      <c r="K48" s="195"/>
      <c r="L48" s="196"/>
      <c r="M48" s="193"/>
      <c r="N48" s="197"/>
      <c r="O48" s="197"/>
      <c r="P48" s="197"/>
      <c r="Q48" s="197"/>
      <c r="R48" s="196"/>
      <c r="S48" s="195"/>
      <c r="T48" s="195"/>
      <c r="U48" s="197"/>
      <c r="V48" s="213"/>
      <c r="W48" s="198"/>
      <c r="X48" s="198"/>
      <c r="Y48" s="198"/>
      <c r="Z48" s="198"/>
      <c r="AA48" s="198"/>
      <c r="AB48" s="200"/>
      <c r="AC48" s="200"/>
      <c r="AD48" s="200"/>
      <c r="AE48" s="200"/>
      <c r="AF48" s="200"/>
      <c r="AG48" s="200"/>
      <c r="AH48" s="200"/>
      <c r="AI48" s="91"/>
      <c r="AJ48" s="91">
        <f t="shared" ca="1" si="3"/>
        <v>0</v>
      </c>
      <c r="AK48" s="91">
        <f t="shared" ca="1" si="4"/>
        <v>0</v>
      </c>
      <c r="AL48" s="203"/>
      <c r="AM48" s="203"/>
      <c r="AN48" s="203"/>
      <c r="AO48" s="203"/>
      <c r="AP48" s="203"/>
      <c r="AQ48" s="203"/>
      <c r="AR48" s="203"/>
      <c r="AS48" s="203"/>
      <c r="AT48" s="203"/>
      <c r="AU48" s="203"/>
      <c r="AV48" s="203"/>
      <c r="AW48" s="203"/>
      <c r="AX48" s="203"/>
      <c r="AY48" s="203"/>
      <c r="AZ48" s="203"/>
      <c r="BA48" s="203"/>
      <c r="BB48" s="203"/>
      <c r="BC48" s="203"/>
      <c r="BD48" s="203"/>
      <c r="BE48" s="203"/>
      <c r="BF48" s="203"/>
      <c r="BG48" s="203"/>
      <c r="BH48" s="203"/>
      <c r="BI48" s="203"/>
      <c r="BJ48" s="203"/>
      <c r="BK48" s="203"/>
      <c r="BL48" s="203"/>
      <c r="BM48" s="203"/>
      <c r="BN48" s="203"/>
      <c r="BO48" s="203"/>
      <c r="BP48" s="203"/>
      <c r="BQ48" s="203"/>
      <c r="BR48" s="203"/>
      <c r="BS48" s="203"/>
      <c r="BT48" s="203"/>
      <c r="BU48" s="203"/>
      <c r="BV48" s="203"/>
      <c r="BW48" s="203"/>
      <c r="BX48" s="203"/>
    </row>
    <row r="49" spans="1:76" s="199" customFormat="1" ht="22.5" customHeight="1">
      <c r="A49" s="222">
        <v>44</v>
      </c>
      <c r="B49" s="222"/>
      <c r="C49" s="198"/>
      <c r="D49" s="193"/>
      <c r="E49" s="194"/>
      <c r="F49" s="222"/>
      <c r="G49" s="222"/>
      <c r="H49" s="193"/>
      <c r="I49" s="193"/>
      <c r="J49" s="193"/>
      <c r="K49" s="195"/>
      <c r="L49" s="196"/>
      <c r="M49" s="193"/>
      <c r="N49" s="197"/>
      <c r="O49" s="197"/>
      <c r="P49" s="197"/>
      <c r="Q49" s="197"/>
      <c r="R49" s="196"/>
      <c r="S49" s="195"/>
      <c r="T49" s="195"/>
      <c r="U49" s="197"/>
      <c r="V49" s="213"/>
      <c r="W49" s="198"/>
      <c r="X49" s="198"/>
      <c r="Y49" s="198"/>
      <c r="Z49" s="198"/>
      <c r="AA49" s="198"/>
      <c r="AB49" s="200"/>
      <c r="AC49" s="200"/>
      <c r="AD49" s="200"/>
      <c r="AE49" s="200"/>
      <c r="AF49" s="200"/>
      <c r="AG49" s="200"/>
      <c r="AH49" s="200"/>
      <c r="AI49" s="91"/>
      <c r="AJ49" s="91">
        <f t="shared" ca="1" si="3"/>
        <v>0</v>
      </c>
      <c r="AK49" s="91">
        <f t="shared" ca="1" si="4"/>
        <v>0</v>
      </c>
      <c r="AL49" s="203"/>
      <c r="AM49" s="203"/>
      <c r="AN49" s="203"/>
      <c r="AO49" s="203"/>
      <c r="AP49" s="203"/>
      <c r="AQ49" s="203"/>
      <c r="AR49" s="203"/>
      <c r="AS49" s="203"/>
      <c r="AT49" s="203"/>
      <c r="AU49" s="203"/>
      <c r="AV49" s="203"/>
      <c r="AW49" s="203"/>
      <c r="AX49" s="203"/>
      <c r="AY49" s="203"/>
      <c r="AZ49" s="203"/>
      <c r="BA49" s="203"/>
      <c r="BB49" s="203"/>
      <c r="BC49" s="203"/>
      <c r="BD49" s="203"/>
      <c r="BE49" s="203"/>
      <c r="BF49" s="203"/>
      <c r="BG49" s="203"/>
      <c r="BH49" s="203"/>
      <c r="BI49" s="203"/>
      <c r="BJ49" s="203"/>
      <c r="BK49" s="203"/>
      <c r="BL49" s="203"/>
      <c r="BM49" s="203"/>
      <c r="BN49" s="203"/>
      <c r="BO49" s="203"/>
      <c r="BP49" s="203"/>
      <c r="BQ49" s="203"/>
      <c r="BR49" s="203"/>
      <c r="BS49" s="203"/>
      <c r="BT49" s="203"/>
      <c r="BU49" s="203"/>
      <c r="BV49" s="203"/>
      <c r="BW49" s="203"/>
      <c r="BX49" s="203"/>
    </row>
    <row r="50" spans="1:76" s="199" customFormat="1" ht="22.5" customHeight="1">
      <c r="A50" s="222">
        <v>45</v>
      </c>
      <c r="B50" s="222"/>
      <c r="C50" s="198"/>
      <c r="D50" s="193"/>
      <c r="E50" s="194"/>
      <c r="F50" s="222"/>
      <c r="G50" s="222"/>
      <c r="H50" s="193"/>
      <c r="I50" s="193"/>
      <c r="J50" s="193"/>
      <c r="K50" s="195"/>
      <c r="L50" s="196"/>
      <c r="M50" s="193"/>
      <c r="N50" s="197"/>
      <c r="O50" s="197"/>
      <c r="P50" s="197"/>
      <c r="Q50" s="197"/>
      <c r="R50" s="196"/>
      <c r="S50" s="195"/>
      <c r="T50" s="195"/>
      <c r="U50" s="197"/>
      <c r="V50" s="213"/>
      <c r="W50" s="198"/>
      <c r="X50" s="198"/>
      <c r="Y50" s="198"/>
      <c r="Z50" s="198"/>
      <c r="AA50" s="198"/>
      <c r="AB50" s="200"/>
      <c r="AC50" s="200"/>
      <c r="AD50" s="200"/>
      <c r="AE50" s="200"/>
      <c r="AF50" s="200"/>
      <c r="AG50" s="200"/>
      <c r="AH50" s="200"/>
      <c r="AI50" s="91"/>
      <c r="AJ50" s="91">
        <f t="shared" ca="1" si="3"/>
        <v>0</v>
      </c>
      <c r="AK50" s="91">
        <f t="shared" ca="1" si="4"/>
        <v>0</v>
      </c>
      <c r="AL50" s="203"/>
      <c r="AM50" s="203"/>
      <c r="AN50" s="203"/>
      <c r="AO50" s="203"/>
      <c r="AP50" s="203"/>
      <c r="AQ50" s="203"/>
      <c r="AR50" s="203"/>
      <c r="AS50" s="203"/>
      <c r="AT50" s="203"/>
      <c r="AU50" s="203"/>
      <c r="AV50" s="203"/>
      <c r="AW50" s="203"/>
      <c r="AX50" s="203"/>
      <c r="AY50" s="203"/>
      <c r="AZ50" s="203"/>
      <c r="BA50" s="203"/>
      <c r="BB50" s="203"/>
      <c r="BC50" s="203"/>
      <c r="BD50" s="203"/>
      <c r="BE50" s="203"/>
      <c r="BF50" s="203"/>
      <c r="BG50" s="203"/>
      <c r="BH50" s="203"/>
      <c r="BI50" s="203"/>
      <c r="BJ50" s="203"/>
      <c r="BK50" s="203"/>
      <c r="BL50" s="203"/>
      <c r="BM50" s="203"/>
      <c r="BN50" s="203"/>
      <c r="BO50" s="203"/>
      <c r="BP50" s="203"/>
      <c r="BQ50" s="203"/>
      <c r="BR50" s="203"/>
      <c r="BS50" s="203"/>
      <c r="BT50" s="203"/>
      <c r="BU50" s="203"/>
      <c r="BV50" s="203"/>
      <c r="BW50" s="203"/>
      <c r="BX50" s="203"/>
    </row>
    <row r="51" spans="1:76" s="199" customFormat="1" ht="22.5" customHeight="1">
      <c r="A51" s="222">
        <v>46</v>
      </c>
      <c r="B51" s="222"/>
      <c r="C51" s="198"/>
      <c r="D51" s="193"/>
      <c r="E51" s="194"/>
      <c r="F51" s="222"/>
      <c r="G51" s="222"/>
      <c r="H51" s="193"/>
      <c r="I51" s="193"/>
      <c r="J51" s="193"/>
      <c r="K51" s="195"/>
      <c r="L51" s="196"/>
      <c r="M51" s="193"/>
      <c r="N51" s="197"/>
      <c r="O51" s="197"/>
      <c r="P51" s="197"/>
      <c r="Q51" s="197"/>
      <c r="R51" s="196"/>
      <c r="S51" s="195"/>
      <c r="T51" s="195"/>
      <c r="U51" s="197"/>
      <c r="V51" s="213"/>
      <c r="W51" s="198"/>
      <c r="X51" s="198"/>
      <c r="Y51" s="198"/>
      <c r="Z51" s="198"/>
      <c r="AA51" s="198"/>
      <c r="AB51" s="200"/>
      <c r="AC51" s="200"/>
      <c r="AD51" s="200"/>
      <c r="AE51" s="200"/>
      <c r="AF51" s="200"/>
      <c r="AG51" s="200"/>
      <c r="AH51" s="200"/>
      <c r="AI51" s="91"/>
      <c r="AJ51" s="91">
        <f t="shared" ca="1" si="3"/>
        <v>0</v>
      </c>
      <c r="AK51" s="91">
        <f t="shared" ca="1" si="4"/>
        <v>0</v>
      </c>
      <c r="AL51" s="203"/>
      <c r="AM51" s="203"/>
      <c r="AN51" s="203"/>
      <c r="AO51" s="203"/>
      <c r="AP51" s="203"/>
      <c r="AQ51" s="203"/>
      <c r="AR51" s="203"/>
      <c r="AS51" s="203"/>
      <c r="AT51" s="203"/>
      <c r="AU51" s="203"/>
      <c r="AV51" s="203"/>
      <c r="AW51" s="203"/>
      <c r="AX51" s="203"/>
      <c r="AY51" s="203"/>
      <c r="AZ51" s="203"/>
      <c r="BA51" s="203"/>
      <c r="BB51" s="203"/>
      <c r="BC51" s="203"/>
      <c r="BD51" s="203"/>
      <c r="BE51" s="203"/>
      <c r="BF51" s="203"/>
      <c r="BG51" s="203"/>
      <c r="BH51" s="203"/>
      <c r="BI51" s="203"/>
      <c r="BJ51" s="203"/>
      <c r="BK51" s="203"/>
      <c r="BL51" s="203"/>
      <c r="BM51" s="203"/>
      <c r="BN51" s="203"/>
      <c r="BO51" s="203"/>
      <c r="BP51" s="203"/>
      <c r="BQ51" s="203"/>
      <c r="BR51" s="203"/>
      <c r="BS51" s="203"/>
      <c r="BT51" s="203"/>
      <c r="BU51" s="203"/>
      <c r="BV51" s="203"/>
      <c r="BW51" s="203"/>
      <c r="BX51" s="203"/>
    </row>
    <row r="52" spans="1:76" s="199" customFormat="1" ht="22.5" customHeight="1">
      <c r="A52" s="222">
        <v>47</v>
      </c>
      <c r="B52" s="222"/>
      <c r="C52" s="198"/>
      <c r="D52" s="193"/>
      <c r="E52" s="194"/>
      <c r="F52" s="222"/>
      <c r="G52" s="222"/>
      <c r="H52" s="193"/>
      <c r="I52" s="193"/>
      <c r="J52" s="193"/>
      <c r="K52" s="195"/>
      <c r="L52" s="196"/>
      <c r="M52" s="193"/>
      <c r="N52" s="197"/>
      <c r="O52" s="197"/>
      <c r="P52" s="197"/>
      <c r="Q52" s="197"/>
      <c r="R52" s="196"/>
      <c r="S52" s="195"/>
      <c r="T52" s="195"/>
      <c r="U52" s="197"/>
      <c r="V52" s="213"/>
      <c r="W52" s="198"/>
      <c r="X52" s="198"/>
      <c r="Y52" s="198"/>
      <c r="Z52" s="198"/>
      <c r="AA52" s="198"/>
      <c r="AB52" s="200"/>
      <c r="AC52" s="200"/>
      <c r="AD52" s="200"/>
      <c r="AE52" s="200"/>
      <c r="AF52" s="200"/>
      <c r="AG52" s="200"/>
      <c r="AH52" s="200"/>
      <c r="AI52" s="91"/>
      <c r="AJ52" s="91">
        <f t="shared" ca="1" si="3"/>
        <v>0</v>
      </c>
      <c r="AK52" s="91">
        <f t="shared" ca="1" si="4"/>
        <v>0</v>
      </c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3"/>
      <c r="AX52" s="203"/>
      <c r="AY52" s="203"/>
      <c r="AZ52" s="203"/>
      <c r="BA52" s="203"/>
      <c r="BB52" s="203"/>
      <c r="BC52" s="203"/>
      <c r="BD52" s="203"/>
      <c r="BE52" s="203"/>
      <c r="BF52" s="203"/>
      <c r="BG52" s="203"/>
      <c r="BH52" s="203"/>
      <c r="BI52" s="203"/>
      <c r="BJ52" s="203"/>
      <c r="BK52" s="203"/>
      <c r="BL52" s="203"/>
      <c r="BM52" s="203"/>
      <c r="BN52" s="203"/>
      <c r="BO52" s="203"/>
      <c r="BP52" s="203"/>
      <c r="BQ52" s="203"/>
      <c r="BR52" s="203"/>
      <c r="BS52" s="203"/>
      <c r="BT52" s="203"/>
      <c r="BU52" s="203"/>
      <c r="BV52" s="203"/>
      <c r="BW52" s="203"/>
      <c r="BX52" s="203"/>
    </row>
    <row r="53" spans="1:76" s="199" customFormat="1" ht="22.5" customHeight="1">
      <c r="A53" s="222">
        <v>48</v>
      </c>
      <c r="B53" s="222"/>
      <c r="C53" s="198"/>
      <c r="D53" s="193"/>
      <c r="E53" s="194"/>
      <c r="F53" s="222"/>
      <c r="G53" s="222"/>
      <c r="H53" s="193"/>
      <c r="I53" s="193"/>
      <c r="J53" s="193"/>
      <c r="K53" s="195"/>
      <c r="L53" s="196"/>
      <c r="M53" s="193"/>
      <c r="N53" s="197"/>
      <c r="O53" s="197"/>
      <c r="P53" s="197"/>
      <c r="Q53" s="197"/>
      <c r="R53" s="196"/>
      <c r="S53" s="195"/>
      <c r="T53" s="195"/>
      <c r="U53" s="197"/>
      <c r="V53" s="213"/>
      <c r="W53" s="198"/>
      <c r="X53" s="198"/>
      <c r="Y53" s="198"/>
      <c r="Z53" s="198"/>
      <c r="AA53" s="198"/>
      <c r="AB53" s="200"/>
      <c r="AC53" s="200"/>
      <c r="AD53" s="200"/>
      <c r="AE53" s="200"/>
      <c r="AF53" s="200"/>
      <c r="AG53" s="200"/>
      <c r="AH53" s="200"/>
      <c r="AI53" s="91"/>
      <c r="AJ53" s="91">
        <f t="shared" ca="1" si="3"/>
        <v>0</v>
      </c>
      <c r="AK53" s="91">
        <f t="shared" ca="1" si="4"/>
        <v>0</v>
      </c>
      <c r="AL53" s="203"/>
      <c r="AM53" s="203"/>
      <c r="AN53" s="203"/>
      <c r="AO53" s="203"/>
      <c r="AP53" s="203"/>
      <c r="AQ53" s="203"/>
      <c r="AR53" s="203"/>
      <c r="AS53" s="203"/>
      <c r="AT53" s="203"/>
      <c r="AU53" s="203"/>
      <c r="AV53" s="203"/>
      <c r="AW53" s="203"/>
      <c r="AX53" s="203"/>
      <c r="AY53" s="203"/>
      <c r="AZ53" s="203"/>
      <c r="BA53" s="203"/>
      <c r="BB53" s="203"/>
      <c r="BC53" s="203"/>
      <c r="BD53" s="203"/>
      <c r="BE53" s="203"/>
      <c r="BF53" s="203"/>
      <c r="BG53" s="203"/>
      <c r="BH53" s="203"/>
      <c r="BI53" s="203"/>
      <c r="BJ53" s="203"/>
      <c r="BK53" s="203"/>
      <c r="BL53" s="203"/>
      <c r="BM53" s="203"/>
      <c r="BN53" s="203"/>
      <c r="BO53" s="203"/>
      <c r="BP53" s="203"/>
      <c r="BQ53" s="203"/>
      <c r="BR53" s="203"/>
      <c r="BS53" s="203"/>
      <c r="BT53" s="203"/>
      <c r="BU53" s="203"/>
      <c r="BV53" s="203"/>
      <c r="BW53" s="203"/>
      <c r="BX53" s="203"/>
    </row>
    <row r="54" spans="1:76" s="199" customFormat="1" ht="22.5" customHeight="1">
      <c r="A54" s="222">
        <v>49</v>
      </c>
      <c r="B54" s="222"/>
      <c r="C54" s="198"/>
      <c r="D54" s="193"/>
      <c r="E54" s="194"/>
      <c r="F54" s="222"/>
      <c r="G54" s="222"/>
      <c r="H54" s="193"/>
      <c r="I54" s="193"/>
      <c r="J54" s="193"/>
      <c r="K54" s="195"/>
      <c r="L54" s="196"/>
      <c r="M54" s="193"/>
      <c r="N54" s="197"/>
      <c r="O54" s="197"/>
      <c r="P54" s="197"/>
      <c r="Q54" s="197"/>
      <c r="R54" s="196"/>
      <c r="S54" s="195"/>
      <c r="T54" s="195"/>
      <c r="U54" s="197"/>
      <c r="V54" s="213"/>
      <c r="W54" s="198"/>
      <c r="X54" s="198"/>
      <c r="Y54" s="198"/>
      <c r="Z54" s="198"/>
      <c r="AA54" s="198"/>
      <c r="AB54" s="200"/>
      <c r="AC54" s="200"/>
      <c r="AD54" s="200"/>
      <c r="AE54" s="200"/>
      <c r="AF54" s="200"/>
      <c r="AG54" s="200"/>
      <c r="AH54" s="200"/>
      <c r="AI54" s="91"/>
      <c r="AJ54" s="91">
        <f t="shared" ca="1" si="3"/>
        <v>0</v>
      </c>
      <c r="AK54" s="91">
        <f t="shared" ca="1" si="4"/>
        <v>0</v>
      </c>
      <c r="AL54" s="203"/>
      <c r="AM54" s="203"/>
      <c r="AN54" s="203"/>
      <c r="AO54" s="203"/>
      <c r="AP54" s="203"/>
      <c r="AQ54" s="203"/>
      <c r="AR54" s="203"/>
      <c r="AS54" s="203"/>
      <c r="AT54" s="203"/>
      <c r="AU54" s="203"/>
      <c r="AV54" s="203"/>
      <c r="AW54" s="203"/>
      <c r="AX54" s="203"/>
      <c r="AY54" s="203"/>
      <c r="AZ54" s="203"/>
      <c r="BA54" s="203"/>
      <c r="BB54" s="203"/>
      <c r="BC54" s="203"/>
      <c r="BD54" s="203"/>
      <c r="BE54" s="203"/>
      <c r="BF54" s="203"/>
      <c r="BG54" s="203"/>
      <c r="BH54" s="203"/>
      <c r="BI54" s="203"/>
      <c r="BJ54" s="203"/>
      <c r="BK54" s="203"/>
      <c r="BL54" s="203"/>
      <c r="BM54" s="203"/>
      <c r="BN54" s="203"/>
      <c r="BO54" s="203"/>
      <c r="BP54" s="203"/>
      <c r="BQ54" s="203"/>
      <c r="BR54" s="203"/>
      <c r="BS54" s="203"/>
      <c r="BT54" s="203"/>
      <c r="BU54" s="203"/>
      <c r="BV54" s="203"/>
      <c r="BW54" s="203"/>
      <c r="BX54" s="203"/>
    </row>
    <row r="55" spans="1:76" s="199" customFormat="1" ht="22.5" customHeight="1">
      <c r="A55" s="222">
        <v>50</v>
      </c>
      <c r="B55" s="222"/>
      <c r="C55" s="198"/>
      <c r="D55" s="193"/>
      <c r="E55" s="194"/>
      <c r="F55" s="222"/>
      <c r="G55" s="222"/>
      <c r="H55" s="193"/>
      <c r="I55" s="193"/>
      <c r="J55" s="193"/>
      <c r="K55" s="195"/>
      <c r="L55" s="196"/>
      <c r="M55" s="193"/>
      <c r="N55" s="197"/>
      <c r="O55" s="197"/>
      <c r="P55" s="197"/>
      <c r="Q55" s="197"/>
      <c r="R55" s="196"/>
      <c r="S55" s="195"/>
      <c r="T55" s="195"/>
      <c r="U55" s="197"/>
      <c r="V55" s="213"/>
      <c r="W55" s="198"/>
      <c r="X55" s="198"/>
      <c r="Y55" s="198"/>
      <c r="Z55" s="198"/>
      <c r="AA55" s="198"/>
      <c r="AB55" s="200"/>
      <c r="AC55" s="200"/>
      <c r="AD55" s="200"/>
      <c r="AE55" s="200"/>
      <c r="AF55" s="200"/>
      <c r="AG55" s="200"/>
      <c r="AH55" s="200"/>
      <c r="AI55" s="91"/>
      <c r="AJ55" s="91">
        <f t="shared" ca="1" si="3"/>
        <v>0</v>
      </c>
      <c r="AK55" s="91">
        <f t="shared" ca="1" si="4"/>
        <v>0</v>
      </c>
      <c r="AL55" s="203"/>
      <c r="AM55" s="203"/>
      <c r="AN55" s="203"/>
      <c r="AO55" s="203"/>
      <c r="AP55" s="203"/>
      <c r="AQ55" s="203"/>
      <c r="AR55" s="203"/>
      <c r="AS55" s="203"/>
      <c r="AT55" s="203"/>
      <c r="AU55" s="203"/>
      <c r="AV55" s="203"/>
      <c r="AW55" s="203"/>
      <c r="AX55" s="203"/>
      <c r="AY55" s="203"/>
      <c r="AZ55" s="203"/>
      <c r="BA55" s="203"/>
      <c r="BB55" s="203"/>
      <c r="BC55" s="203"/>
      <c r="BD55" s="203"/>
      <c r="BE55" s="203"/>
      <c r="BF55" s="203"/>
      <c r="BG55" s="203"/>
      <c r="BH55" s="203"/>
      <c r="BI55" s="203"/>
      <c r="BJ55" s="203"/>
      <c r="BK55" s="203"/>
      <c r="BL55" s="203"/>
      <c r="BM55" s="203"/>
      <c r="BN55" s="203"/>
      <c r="BO55" s="203"/>
      <c r="BP55" s="203"/>
      <c r="BQ55" s="203"/>
      <c r="BR55" s="203"/>
      <c r="BS55" s="203"/>
      <c r="BT55" s="203"/>
      <c r="BU55" s="203"/>
      <c r="BV55" s="203"/>
      <c r="BW55" s="203"/>
      <c r="BX55" s="203"/>
    </row>
    <row r="56" spans="1:76" s="199" customFormat="1" ht="22.5" customHeight="1">
      <c r="A56" s="222">
        <v>51</v>
      </c>
      <c r="B56" s="222"/>
      <c r="C56" s="198"/>
      <c r="D56" s="193"/>
      <c r="E56" s="194"/>
      <c r="F56" s="222"/>
      <c r="G56" s="222"/>
      <c r="H56" s="193"/>
      <c r="I56" s="193"/>
      <c r="J56" s="193"/>
      <c r="K56" s="195"/>
      <c r="L56" s="196"/>
      <c r="M56" s="193"/>
      <c r="N56" s="197"/>
      <c r="O56" s="197"/>
      <c r="P56" s="197"/>
      <c r="Q56" s="197"/>
      <c r="R56" s="196"/>
      <c r="S56" s="195"/>
      <c r="T56" s="195"/>
      <c r="U56" s="197"/>
      <c r="V56" s="213"/>
      <c r="W56" s="198"/>
      <c r="X56" s="198"/>
      <c r="Y56" s="198"/>
      <c r="Z56" s="198"/>
      <c r="AA56" s="198"/>
      <c r="AB56" s="200"/>
      <c r="AC56" s="200"/>
      <c r="AD56" s="200"/>
      <c r="AE56" s="200"/>
      <c r="AF56" s="200"/>
      <c r="AG56" s="200"/>
      <c r="AH56" s="200"/>
      <c r="AI56" s="91"/>
      <c r="AJ56" s="91">
        <f t="shared" ca="1" si="3"/>
        <v>0</v>
      </c>
      <c r="AK56" s="91">
        <f t="shared" ca="1" si="4"/>
        <v>0</v>
      </c>
      <c r="AL56" s="203"/>
      <c r="AM56" s="203"/>
      <c r="AN56" s="203"/>
      <c r="AO56" s="203"/>
      <c r="AP56" s="203"/>
      <c r="AQ56" s="203"/>
      <c r="AR56" s="203"/>
      <c r="AS56" s="203"/>
      <c r="AT56" s="203"/>
      <c r="AU56" s="203"/>
      <c r="AV56" s="203"/>
      <c r="AW56" s="203"/>
      <c r="AX56" s="203"/>
      <c r="AY56" s="203"/>
      <c r="AZ56" s="203"/>
      <c r="BA56" s="203"/>
      <c r="BB56" s="203"/>
      <c r="BC56" s="203"/>
      <c r="BD56" s="203"/>
      <c r="BE56" s="203"/>
      <c r="BF56" s="203"/>
      <c r="BG56" s="203"/>
      <c r="BH56" s="203"/>
      <c r="BI56" s="203"/>
      <c r="BJ56" s="203"/>
      <c r="BK56" s="203"/>
      <c r="BL56" s="203"/>
      <c r="BM56" s="203"/>
      <c r="BN56" s="203"/>
      <c r="BO56" s="203"/>
      <c r="BP56" s="203"/>
      <c r="BQ56" s="203"/>
      <c r="BR56" s="203"/>
      <c r="BS56" s="203"/>
      <c r="BT56" s="203"/>
      <c r="BU56" s="203"/>
      <c r="BV56" s="203"/>
      <c r="BW56" s="203"/>
      <c r="BX56" s="203"/>
    </row>
    <row r="57" spans="1:76" s="199" customFormat="1" ht="22.5" customHeight="1">
      <c r="A57" s="222">
        <v>52</v>
      </c>
      <c r="B57" s="222"/>
      <c r="C57" s="198"/>
      <c r="D57" s="193"/>
      <c r="E57" s="194"/>
      <c r="F57" s="222"/>
      <c r="G57" s="222"/>
      <c r="H57" s="193"/>
      <c r="I57" s="193"/>
      <c r="J57" s="193"/>
      <c r="K57" s="195"/>
      <c r="L57" s="196"/>
      <c r="M57" s="193"/>
      <c r="N57" s="197"/>
      <c r="O57" s="197"/>
      <c r="P57" s="197"/>
      <c r="Q57" s="197"/>
      <c r="R57" s="196"/>
      <c r="S57" s="195"/>
      <c r="T57" s="195"/>
      <c r="U57" s="197"/>
      <c r="V57" s="213"/>
      <c r="W57" s="198"/>
      <c r="X57" s="198"/>
      <c r="Y57" s="198"/>
      <c r="Z57" s="198"/>
      <c r="AA57" s="198"/>
      <c r="AB57" s="200"/>
      <c r="AC57" s="200"/>
      <c r="AD57" s="200"/>
      <c r="AE57" s="200"/>
      <c r="AF57" s="200"/>
      <c r="AG57" s="200"/>
      <c r="AH57" s="200"/>
      <c r="AI57" s="91"/>
      <c r="AJ57" s="91">
        <f t="shared" ca="1" si="3"/>
        <v>0</v>
      </c>
      <c r="AK57" s="91">
        <f t="shared" ca="1" si="4"/>
        <v>0</v>
      </c>
      <c r="AL57" s="203"/>
      <c r="AM57" s="203"/>
      <c r="AN57" s="203"/>
      <c r="AO57" s="203"/>
      <c r="AP57" s="203"/>
      <c r="AQ57" s="203"/>
      <c r="AR57" s="203"/>
      <c r="AS57" s="203"/>
      <c r="AT57" s="203"/>
      <c r="AU57" s="203"/>
      <c r="AV57" s="203"/>
      <c r="AW57" s="203"/>
      <c r="AX57" s="203"/>
      <c r="AY57" s="203"/>
      <c r="AZ57" s="203"/>
      <c r="BA57" s="203"/>
      <c r="BB57" s="203"/>
      <c r="BC57" s="203"/>
      <c r="BD57" s="203"/>
      <c r="BE57" s="203"/>
      <c r="BF57" s="203"/>
      <c r="BG57" s="203"/>
      <c r="BH57" s="203"/>
      <c r="BI57" s="203"/>
      <c r="BJ57" s="203"/>
      <c r="BK57" s="203"/>
      <c r="BL57" s="203"/>
      <c r="BM57" s="203"/>
      <c r="BN57" s="203"/>
      <c r="BO57" s="203"/>
      <c r="BP57" s="203"/>
      <c r="BQ57" s="203"/>
      <c r="BR57" s="203"/>
      <c r="BS57" s="203"/>
      <c r="BT57" s="203"/>
      <c r="BU57" s="203"/>
      <c r="BV57" s="203"/>
      <c r="BW57" s="203"/>
      <c r="BX57" s="203"/>
    </row>
    <row r="58" spans="1:76" s="199" customFormat="1" ht="22.5" customHeight="1">
      <c r="A58" s="222">
        <v>53</v>
      </c>
      <c r="B58" s="222"/>
      <c r="C58" s="198"/>
      <c r="D58" s="193"/>
      <c r="E58" s="194"/>
      <c r="F58" s="222"/>
      <c r="G58" s="222"/>
      <c r="H58" s="193"/>
      <c r="I58" s="193"/>
      <c r="J58" s="193"/>
      <c r="K58" s="195"/>
      <c r="L58" s="196"/>
      <c r="M58" s="193"/>
      <c r="N58" s="197"/>
      <c r="O58" s="197"/>
      <c r="P58" s="197"/>
      <c r="Q58" s="197"/>
      <c r="R58" s="196"/>
      <c r="S58" s="195"/>
      <c r="T58" s="195"/>
      <c r="U58" s="197"/>
      <c r="V58" s="213"/>
      <c r="W58" s="198"/>
      <c r="X58" s="198"/>
      <c r="Y58" s="198"/>
      <c r="Z58" s="198"/>
      <c r="AA58" s="198"/>
      <c r="AB58" s="200"/>
      <c r="AC58" s="200"/>
      <c r="AD58" s="200"/>
      <c r="AE58" s="200"/>
      <c r="AF58" s="200"/>
      <c r="AG58" s="200"/>
      <c r="AH58" s="200"/>
      <c r="AI58" s="91"/>
      <c r="AJ58" s="91">
        <f t="shared" ca="1" si="3"/>
        <v>0</v>
      </c>
      <c r="AK58" s="91">
        <f t="shared" ca="1" si="4"/>
        <v>0</v>
      </c>
      <c r="AL58" s="203"/>
      <c r="AM58" s="203"/>
      <c r="AN58" s="203"/>
      <c r="AO58" s="203"/>
      <c r="AP58" s="203"/>
      <c r="AQ58" s="203"/>
      <c r="AR58" s="203"/>
      <c r="AS58" s="203"/>
      <c r="AT58" s="203"/>
      <c r="AU58" s="203"/>
      <c r="AV58" s="203"/>
      <c r="AW58" s="203"/>
      <c r="AX58" s="203"/>
      <c r="AY58" s="203"/>
      <c r="AZ58" s="203"/>
      <c r="BA58" s="203"/>
      <c r="BB58" s="203"/>
      <c r="BC58" s="203"/>
      <c r="BD58" s="203"/>
      <c r="BE58" s="203"/>
      <c r="BF58" s="203"/>
      <c r="BG58" s="203"/>
      <c r="BH58" s="203"/>
      <c r="BI58" s="203"/>
      <c r="BJ58" s="203"/>
      <c r="BK58" s="203"/>
      <c r="BL58" s="203"/>
      <c r="BM58" s="203"/>
      <c r="BN58" s="203"/>
      <c r="BO58" s="203"/>
      <c r="BP58" s="203"/>
      <c r="BQ58" s="203"/>
      <c r="BR58" s="203"/>
      <c r="BS58" s="203"/>
      <c r="BT58" s="203"/>
      <c r="BU58" s="203"/>
      <c r="BV58" s="203"/>
      <c r="BW58" s="203"/>
      <c r="BX58" s="203"/>
    </row>
    <row r="59" spans="1:76" s="199" customFormat="1" ht="22.5" customHeight="1">
      <c r="A59" s="222">
        <v>54</v>
      </c>
      <c r="B59" s="222"/>
      <c r="C59" s="198"/>
      <c r="D59" s="193"/>
      <c r="E59" s="194"/>
      <c r="F59" s="222"/>
      <c r="G59" s="222"/>
      <c r="H59" s="193"/>
      <c r="I59" s="193"/>
      <c r="J59" s="193"/>
      <c r="K59" s="195"/>
      <c r="L59" s="196"/>
      <c r="M59" s="193"/>
      <c r="N59" s="197"/>
      <c r="O59" s="197"/>
      <c r="P59" s="197"/>
      <c r="Q59" s="197"/>
      <c r="R59" s="196"/>
      <c r="S59" s="195"/>
      <c r="T59" s="195"/>
      <c r="U59" s="197"/>
      <c r="V59" s="213"/>
      <c r="W59" s="198"/>
      <c r="X59" s="198"/>
      <c r="Y59" s="198"/>
      <c r="Z59" s="198"/>
      <c r="AA59" s="198"/>
      <c r="AB59" s="200"/>
      <c r="AC59" s="200"/>
      <c r="AD59" s="200"/>
      <c r="AE59" s="200"/>
      <c r="AF59" s="200"/>
      <c r="AG59" s="200"/>
      <c r="AH59" s="200"/>
      <c r="AI59" s="91"/>
      <c r="AJ59" s="91">
        <f t="shared" ca="1" si="3"/>
        <v>0</v>
      </c>
      <c r="AK59" s="91">
        <f t="shared" ca="1" si="4"/>
        <v>0</v>
      </c>
      <c r="AL59" s="203"/>
      <c r="AM59" s="203"/>
      <c r="AN59" s="203"/>
      <c r="AO59" s="203"/>
      <c r="AP59" s="203"/>
      <c r="AQ59" s="203"/>
      <c r="AR59" s="203"/>
      <c r="AS59" s="203"/>
      <c r="AT59" s="203"/>
      <c r="AU59" s="203"/>
      <c r="AV59" s="203"/>
      <c r="AW59" s="203"/>
      <c r="AX59" s="203"/>
      <c r="AY59" s="203"/>
      <c r="AZ59" s="203"/>
      <c r="BA59" s="203"/>
      <c r="BB59" s="203"/>
      <c r="BC59" s="203"/>
      <c r="BD59" s="203"/>
      <c r="BE59" s="203"/>
      <c r="BF59" s="203"/>
      <c r="BG59" s="203"/>
      <c r="BH59" s="203"/>
      <c r="BI59" s="203"/>
      <c r="BJ59" s="203"/>
      <c r="BK59" s="203"/>
      <c r="BL59" s="203"/>
      <c r="BM59" s="203"/>
      <c r="BN59" s="203"/>
      <c r="BO59" s="203"/>
      <c r="BP59" s="203"/>
      <c r="BQ59" s="203"/>
      <c r="BR59" s="203"/>
      <c r="BS59" s="203"/>
      <c r="BT59" s="203"/>
      <c r="BU59" s="203"/>
      <c r="BV59" s="203"/>
      <c r="BW59" s="203"/>
      <c r="BX59" s="203"/>
    </row>
    <row r="60" spans="1:76" s="199" customFormat="1" ht="22.5" customHeight="1">
      <c r="A60" s="222">
        <v>55</v>
      </c>
      <c r="B60" s="222"/>
      <c r="C60" s="198"/>
      <c r="D60" s="193"/>
      <c r="E60" s="194"/>
      <c r="F60" s="222"/>
      <c r="G60" s="222"/>
      <c r="H60" s="193"/>
      <c r="I60" s="193"/>
      <c r="J60" s="193"/>
      <c r="K60" s="195"/>
      <c r="L60" s="196"/>
      <c r="M60" s="193"/>
      <c r="N60" s="197"/>
      <c r="O60" s="197"/>
      <c r="P60" s="197"/>
      <c r="Q60" s="197"/>
      <c r="R60" s="196"/>
      <c r="S60" s="195"/>
      <c r="T60" s="195"/>
      <c r="U60" s="197"/>
      <c r="V60" s="213"/>
      <c r="W60" s="198"/>
      <c r="X60" s="198"/>
      <c r="Y60" s="198"/>
      <c r="Z60" s="198"/>
      <c r="AA60" s="198"/>
      <c r="AB60" s="200"/>
      <c r="AC60" s="200"/>
      <c r="AD60" s="200"/>
      <c r="AE60" s="200"/>
      <c r="AF60" s="200"/>
      <c r="AG60" s="200"/>
      <c r="AH60" s="200"/>
      <c r="AI60" s="91"/>
      <c r="AJ60" s="91">
        <f t="shared" ca="1" si="3"/>
        <v>0</v>
      </c>
      <c r="AK60" s="91">
        <f t="shared" ca="1" si="4"/>
        <v>0</v>
      </c>
      <c r="AL60" s="203"/>
      <c r="AM60" s="203"/>
      <c r="AN60" s="203"/>
      <c r="AO60" s="203"/>
      <c r="AP60" s="203"/>
      <c r="AQ60" s="203"/>
      <c r="AR60" s="203"/>
      <c r="AS60" s="203"/>
      <c r="AT60" s="203"/>
      <c r="AU60" s="203"/>
      <c r="AV60" s="203"/>
      <c r="AW60" s="203"/>
      <c r="AX60" s="203"/>
      <c r="AY60" s="203"/>
      <c r="AZ60" s="203"/>
      <c r="BA60" s="203"/>
      <c r="BB60" s="203"/>
      <c r="BC60" s="203"/>
      <c r="BD60" s="203"/>
      <c r="BE60" s="203"/>
      <c r="BF60" s="203"/>
      <c r="BG60" s="203"/>
      <c r="BH60" s="203"/>
      <c r="BI60" s="203"/>
      <c r="BJ60" s="203"/>
      <c r="BK60" s="203"/>
      <c r="BL60" s="203"/>
      <c r="BM60" s="203"/>
      <c r="BN60" s="203"/>
      <c r="BO60" s="203"/>
      <c r="BP60" s="203"/>
      <c r="BQ60" s="203"/>
      <c r="BR60" s="203"/>
      <c r="BS60" s="203"/>
      <c r="BT60" s="203"/>
      <c r="BU60" s="203"/>
      <c r="BV60" s="203"/>
      <c r="BW60" s="203"/>
      <c r="BX60" s="203"/>
    </row>
    <row r="61" spans="1:76" s="199" customFormat="1" ht="22.5" customHeight="1">
      <c r="A61" s="222">
        <v>56</v>
      </c>
      <c r="B61" s="277"/>
      <c r="C61" s="384"/>
      <c r="D61" s="278"/>
      <c r="E61" s="279"/>
      <c r="F61" s="277"/>
      <c r="G61" s="277"/>
      <c r="H61" s="278"/>
      <c r="I61" s="278"/>
      <c r="J61" s="278"/>
      <c r="K61" s="280"/>
      <c r="L61" s="281"/>
      <c r="M61" s="278"/>
      <c r="N61" s="282"/>
      <c r="O61" s="282"/>
      <c r="P61" s="282"/>
      <c r="Q61" s="282"/>
      <c r="R61" s="196"/>
      <c r="S61" s="195"/>
      <c r="T61" s="195"/>
      <c r="U61" s="197"/>
      <c r="V61" s="213"/>
      <c r="W61" s="198"/>
      <c r="X61" s="198"/>
      <c r="Y61" s="198"/>
      <c r="Z61" s="198"/>
      <c r="AA61" s="198"/>
      <c r="AB61" s="200"/>
      <c r="AC61" s="200"/>
      <c r="AD61" s="200"/>
      <c r="AE61" s="200"/>
      <c r="AF61" s="200"/>
      <c r="AG61" s="200"/>
      <c r="AH61" s="200"/>
      <c r="AI61" s="91"/>
      <c r="AJ61" s="91">
        <f t="shared" ca="1" si="3"/>
        <v>0</v>
      </c>
      <c r="AK61" s="91">
        <f t="shared" ca="1" si="4"/>
        <v>0</v>
      </c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3"/>
      <c r="AX61" s="203"/>
      <c r="AY61" s="203"/>
      <c r="AZ61" s="203"/>
      <c r="BA61" s="203"/>
      <c r="BB61" s="203"/>
      <c r="BC61" s="203"/>
      <c r="BD61" s="203"/>
      <c r="BE61" s="203"/>
      <c r="BF61" s="203"/>
      <c r="BG61" s="203"/>
      <c r="BH61" s="203"/>
      <c r="BI61" s="203"/>
      <c r="BJ61" s="203"/>
      <c r="BK61" s="203"/>
      <c r="BL61" s="203"/>
      <c r="BM61" s="203"/>
      <c r="BN61" s="203"/>
      <c r="BO61" s="203"/>
      <c r="BP61" s="203"/>
      <c r="BQ61" s="203"/>
      <c r="BR61" s="203"/>
      <c r="BS61" s="203"/>
      <c r="BT61" s="203"/>
      <c r="BU61" s="203"/>
      <c r="BV61" s="203"/>
      <c r="BW61" s="203"/>
      <c r="BX61" s="203"/>
    </row>
    <row r="62" spans="1:76" s="199" customFormat="1" ht="22.5" customHeight="1">
      <c r="A62" s="222">
        <v>57</v>
      </c>
      <c r="B62" s="222"/>
      <c r="C62" s="198"/>
      <c r="D62" s="193"/>
      <c r="E62" s="194"/>
      <c r="F62" s="222"/>
      <c r="G62" s="222"/>
      <c r="H62" s="193"/>
      <c r="I62" s="193"/>
      <c r="J62" s="193"/>
      <c r="K62" s="195"/>
      <c r="L62" s="196"/>
      <c r="M62" s="193"/>
      <c r="N62" s="197"/>
      <c r="O62" s="197"/>
      <c r="P62" s="197"/>
      <c r="Q62" s="197"/>
      <c r="R62" s="196"/>
      <c r="S62" s="195"/>
      <c r="T62" s="195"/>
      <c r="U62" s="197"/>
      <c r="V62" s="213"/>
      <c r="W62" s="198"/>
      <c r="X62" s="198"/>
      <c r="Y62" s="198"/>
      <c r="Z62" s="198"/>
      <c r="AA62" s="198"/>
      <c r="AB62" s="200"/>
      <c r="AC62" s="200"/>
      <c r="AD62" s="200"/>
      <c r="AE62" s="200"/>
      <c r="AF62" s="200"/>
      <c r="AG62" s="200"/>
      <c r="AH62" s="200"/>
      <c r="AI62" s="91"/>
      <c r="AJ62" s="91">
        <f t="shared" ca="1" si="3"/>
        <v>0</v>
      </c>
      <c r="AK62" s="91">
        <f t="shared" ca="1" si="4"/>
        <v>0</v>
      </c>
      <c r="AL62" s="203"/>
      <c r="AM62" s="203"/>
      <c r="AN62" s="203"/>
      <c r="AO62" s="203"/>
      <c r="AP62" s="203"/>
      <c r="AQ62" s="203"/>
      <c r="AR62" s="203"/>
      <c r="AS62" s="203"/>
      <c r="AT62" s="203"/>
      <c r="AU62" s="203"/>
      <c r="AV62" s="203"/>
      <c r="AW62" s="203"/>
      <c r="AX62" s="203"/>
      <c r="AY62" s="203"/>
      <c r="AZ62" s="203"/>
      <c r="BA62" s="203"/>
      <c r="BB62" s="203"/>
      <c r="BC62" s="203"/>
      <c r="BD62" s="203"/>
      <c r="BE62" s="203"/>
      <c r="BF62" s="203"/>
      <c r="BG62" s="203"/>
      <c r="BH62" s="203"/>
      <c r="BI62" s="203"/>
      <c r="BJ62" s="203"/>
      <c r="BK62" s="203"/>
      <c r="BL62" s="203"/>
      <c r="BM62" s="203"/>
      <c r="BN62" s="203"/>
      <c r="BO62" s="203"/>
      <c r="BP62" s="203"/>
      <c r="BQ62" s="203"/>
      <c r="BR62" s="203"/>
      <c r="BS62" s="203"/>
      <c r="BT62" s="203"/>
      <c r="BU62" s="203"/>
      <c r="BV62" s="203"/>
      <c r="BW62" s="203"/>
      <c r="BX62" s="203"/>
    </row>
    <row r="63" spans="1:76" s="199" customFormat="1" ht="22.5" customHeight="1">
      <c r="A63" s="222">
        <v>58</v>
      </c>
      <c r="B63" s="222"/>
      <c r="C63" s="198"/>
      <c r="D63" s="193"/>
      <c r="E63" s="194"/>
      <c r="F63" s="222"/>
      <c r="G63" s="222"/>
      <c r="H63" s="193"/>
      <c r="I63" s="193"/>
      <c r="J63" s="193"/>
      <c r="K63" s="195"/>
      <c r="L63" s="196"/>
      <c r="M63" s="193"/>
      <c r="N63" s="197"/>
      <c r="O63" s="197"/>
      <c r="P63" s="197"/>
      <c r="Q63" s="197"/>
      <c r="R63" s="196"/>
      <c r="S63" s="195"/>
      <c r="T63" s="195"/>
      <c r="U63" s="197"/>
      <c r="V63" s="213"/>
      <c r="W63" s="198"/>
      <c r="X63" s="198"/>
      <c r="Y63" s="198"/>
      <c r="Z63" s="198"/>
      <c r="AA63" s="198"/>
      <c r="AB63" s="200"/>
      <c r="AC63" s="200"/>
      <c r="AD63" s="200"/>
      <c r="AE63" s="200"/>
      <c r="AF63" s="200"/>
      <c r="AG63" s="200"/>
      <c r="AH63" s="200"/>
      <c r="AI63" s="91"/>
      <c r="AJ63" s="91">
        <f t="shared" ca="1" si="3"/>
        <v>0</v>
      </c>
      <c r="AK63" s="91">
        <f t="shared" ca="1" si="4"/>
        <v>0</v>
      </c>
      <c r="AL63" s="203"/>
      <c r="AM63" s="203"/>
      <c r="AN63" s="203"/>
      <c r="AO63" s="203"/>
      <c r="AP63" s="203"/>
      <c r="AQ63" s="203"/>
      <c r="AR63" s="203"/>
      <c r="AS63" s="203"/>
      <c r="AT63" s="203"/>
      <c r="AU63" s="203"/>
      <c r="AV63" s="203"/>
      <c r="AW63" s="203"/>
      <c r="AX63" s="203"/>
      <c r="AY63" s="203"/>
      <c r="AZ63" s="203"/>
      <c r="BA63" s="203"/>
      <c r="BB63" s="203"/>
      <c r="BC63" s="203"/>
      <c r="BD63" s="203"/>
      <c r="BE63" s="203"/>
      <c r="BF63" s="203"/>
      <c r="BG63" s="203"/>
      <c r="BH63" s="203"/>
      <c r="BI63" s="203"/>
      <c r="BJ63" s="203"/>
      <c r="BK63" s="203"/>
      <c r="BL63" s="203"/>
      <c r="BM63" s="203"/>
      <c r="BN63" s="203"/>
      <c r="BO63" s="203"/>
      <c r="BP63" s="203"/>
      <c r="BQ63" s="203"/>
      <c r="BR63" s="203"/>
      <c r="BS63" s="203"/>
      <c r="BT63" s="203"/>
      <c r="BU63" s="203"/>
      <c r="BV63" s="203"/>
      <c r="BW63" s="203"/>
      <c r="BX63" s="203"/>
    </row>
    <row r="64" spans="1:76" s="199" customFormat="1" ht="22.5" customHeight="1">
      <c r="A64" s="222">
        <v>59</v>
      </c>
      <c r="B64" s="222"/>
      <c r="C64" s="198"/>
      <c r="D64" s="193"/>
      <c r="E64" s="194"/>
      <c r="F64" s="222"/>
      <c r="G64" s="222"/>
      <c r="H64" s="193"/>
      <c r="I64" s="193"/>
      <c r="J64" s="193"/>
      <c r="K64" s="195"/>
      <c r="L64" s="196"/>
      <c r="M64" s="193"/>
      <c r="N64" s="197"/>
      <c r="O64" s="197"/>
      <c r="P64" s="197"/>
      <c r="Q64" s="197"/>
      <c r="R64" s="196"/>
      <c r="S64" s="195"/>
      <c r="T64" s="195"/>
      <c r="U64" s="197"/>
      <c r="V64" s="213"/>
      <c r="W64" s="198"/>
      <c r="X64" s="198"/>
      <c r="Y64" s="198"/>
      <c r="Z64" s="198"/>
      <c r="AA64" s="198"/>
      <c r="AB64" s="200"/>
      <c r="AC64" s="200"/>
      <c r="AD64" s="200"/>
      <c r="AE64" s="200"/>
      <c r="AF64" s="200"/>
      <c r="AG64" s="200"/>
      <c r="AH64" s="200"/>
      <c r="AI64" s="91"/>
      <c r="AJ64" s="91">
        <f t="shared" ca="1" si="3"/>
        <v>0</v>
      </c>
      <c r="AK64" s="91">
        <f t="shared" ca="1" si="4"/>
        <v>0</v>
      </c>
      <c r="AL64" s="203"/>
      <c r="AM64" s="203"/>
      <c r="AN64" s="203"/>
      <c r="AO64" s="203"/>
      <c r="AP64" s="203"/>
      <c r="AQ64" s="203"/>
      <c r="AR64" s="203"/>
      <c r="AS64" s="203"/>
      <c r="AT64" s="203"/>
      <c r="AU64" s="203"/>
      <c r="AV64" s="203"/>
      <c r="AW64" s="203"/>
      <c r="AX64" s="203"/>
      <c r="AY64" s="203"/>
      <c r="AZ64" s="203"/>
      <c r="BA64" s="203"/>
      <c r="BB64" s="203"/>
      <c r="BC64" s="203"/>
      <c r="BD64" s="203"/>
      <c r="BE64" s="203"/>
      <c r="BF64" s="203"/>
      <c r="BG64" s="203"/>
      <c r="BH64" s="203"/>
      <c r="BI64" s="203"/>
      <c r="BJ64" s="203"/>
      <c r="BK64" s="203"/>
      <c r="BL64" s="203"/>
      <c r="BM64" s="203"/>
      <c r="BN64" s="203"/>
      <c r="BO64" s="203"/>
      <c r="BP64" s="203"/>
      <c r="BQ64" s="203"/>
      <c r="BR64" s="203"/>
      <c r="BS64" s="203"/>
      <c r="BT64" s="203"/>
      <c r="BU64" s="203"/>
      <c r="BV64" s="203"/>
      <c r="BW64" s="203"/>
      <c r="BX64" s="203"/>
    </row>
    <row r="65" spans="1:76" s="199" customFormat="1" ht="22.5" customHeight="1">
      <c r="A65" s="222">
        <v>60</v>
      </c>
      <c r="B65" s="222"/>
      <c r="C65" s="198"/>
      <c r="D65" s="193"/>
      <c r="E65" s="194"/>
      <c r="F65" s="222"/>
      <c r="G65" s="222"/>
      <c r="H65" s="193"/>
      <c r="I65" s="193"/>
      <c r="J65" s="193"/>
      <c r="K65" s="195"/>
      <c r="L65" s="196"/>
      <c r="M65" s="193"/>
      <c r="N65" s="197"/>
      <c r="O65" s="197"/>
      <c r="P65" s="197"/>
      <c r="Q65" s="197"/>
      <c r="R65" s="196"/>
      <c r="S65" s="195"/>
      <c r="T65" s="195"/>
      <c r="U65" s="197"/>
      <c r="V65" s="213"/>
      <c r="W65" s="198"/>
      <c r="X65" s="198"/>
      <c r="Y65" s="198"/>
      <c r="Z65" s="198"/>
      <c r="AA65" s="198"/>
      <c r="AB65" s="200"/>
      <c r="AC65" s="200"/>
      <c r="AD65" s="200"/>
      <c r="AE65" s="200"/>
      <c r="AF65" s="200"/>
      <c r="AG65" s="200"/>
      <c r="AH65" s="200"/>
      <c r="AI65" s="91"/>
      <c r="AJ65" s="91">
        <f t="shared" ca="1" si="3"/>
        <v>0</v>
      </c>
      <c r="AK65" s="91">
        <f t="shared" ca="1" si="4"/>
        <v>0</v>
      </c>
      <c r="AL65" s="203"/>
      <c r="AM65" s="203"/>
      <c r="AN65" s="203"/>
      <c r="AO65" s="203"/>
      <c r="AP65" s="203"/>
      <c r="AQ65" s="203"/>
      <c r="AR65" s="203"/>
      <c r="AS65" s="203"/>
      <c r="AT65" s="203"/>
      <c r="AU65" s="203"/>
      <c r="AV65" s="203"/>
      <c r="AW65" s="203"/>
      <c r="AX65" s="203"/>
      <c r="AY65" s="203"/>
      <c r="AZ65" s="203"/>
      <c r="BA65" s="203"/>
      <c r="BB65" s="203"/>
      <c r="BC65" s="203"/>
      <c r="BD65" s="203"/>
      <c r="BE65" s="203"/>
      <c r="BF65" s="203"/>
      <c r="BG65" s="203"/>
      <c r="BH65" s="203"/>
      <c r="BI65" s="203"/>
      <c r="BJ65" s="203"/>
      <c r="BK65" s="203"/>
      <c r="BL65" s="203"/>
      <c r="BM65" s="203"/>
      <c r="BN65" s="203"/>
      <c r="BO65" s="203"/>
      <c r="BP65" s="203"/>
      <c r="BQ65" s="203"/>
      <c r="BR65" s="203"/>
      <c r="BS65" s="203"/>
      <c r="BT65" s="203"/>
      <c r="BU65" s="203"/>
      <c r="BV65" s="203"/>
      <c r="BW65" s="203"/>
      <c r="BX65" s="203"/>
    </row>
    <row r="66" spans="1:76" s="199" customFormat="1" ht="22.5" customHeight="1">
      <c r="A66" s="222">
        <v>61</v>
      </c>
      <c r="B66" s="222"/>
      <c r="C66" s="198"/>
      <c r="D66" s="193"/>
      <c r="E66" s="194"/>
      <c r="F66" s="222"/>
      <c r="G66" s="222"/>
      <c r="H66" s="193"/>
      <c r="I66" s="193"/>
      <c r="J66" s="193"/>
      <c r="K66" s="195"/>
      <c r="L66" s="196"/>
      <c r="M66" s="193"/>
      <c r="N66" s="197"/>
      <c r="O66" s="197"/>
      <c r="P66" s="197"/>
      <c r="Q66" s="197"/>
      <c r="R66" s="196"/>
      <c r="S66" s="195"/>
      <c r="T66" s="195"/>
      <c r="U66" s="197"/>
      <c r="V66" s="213"/>
      <c r="W66" s="198"/>
      <c r="X66" s="198"/>
      <c r="Y66" s="198"/>
      <c r="Z66" s="198"/>
      <c r="AA66" s="198"/>
      <c r="AB66" s="200"/>
      <c r="AC66" s="200"/>
      <c r="AD66" s="200"/>
      <c r="AE66" s="200"/>
      <c r="AF66" s="200"/>
      <c r="AG66" s="200"/>
      <c r="AH66" s="200"/>
      <c r="AI66" s="91"/>
      <c r="AJ66" s="91">
        <f t="shared" ca="1" si="3"/>
        <v>0</v>
      </c>
      <c r="AK66" s="91">
        <f t="shared" ca="1" si="4"/>
        <v>0</v>
      </c>
      <c r="AL66" s="203"/>
      <c r="AM66" s="203"/>
      <c r="AN66" s="203"/>
      <c r="AO66" s="203"/>
      <c r="AP66" s="203"/>
      <c r="AQ66" s="203"/>
      <c r="AR66" s="203"/>
      <c r="AS66" s="203"/>
      <c r="AT66" s="203"/>
      <c r="AU66" s="203"/>
      <c r="AV66" s="203"/>
      <c r="AW66" s="203"/>
      <c r="AX66" s="203"/>
      <c r="AY66" s="203"/>
      <c r="AZ66" s="203"/>
      <c r="BA66" s="203"/>
      <c r="BB66" s="203"/>
      <c r="BC66" s="203"/>
      <c r="BD66" s="203"/>
      <c r="BE66" s="203"/>
      <c r="BF66" s="203"/>
      <c r="BG66" s="203"/>
      <c r="BH66" s="203"/>
      <c r="BI66" s="203"/>
      <c r="BJ66" s="203"/>
      <c r="BK66" s="203"/>
      <c r="BL66" s="203"/>
      <c r="BM66" s="203"/>
      <c r="BN66" s="203"/>
      <c r="BO66" s="203"/>
      <c r="BP66" s="203"/>
      <c r="BQ66" s="203"/>
      <c r="BR66" s="203"/>
      <c r="BS66" s="203"/>
      <c r="BT66" s="203"/>
      <c r="BU66" s="203"/>
      <c r="BV66" s="203"/>
      <c r="BW66" s="203"/>
      <c r="BX66" s="203"/>
    </row>
    <row r="67" spans="1:76" s="199" customFormat="1" ht="22.5" customHeight="1">
      <c r="A67" s="222">
        <v>62</v>
      </c>
      <c r="B67" s="222"/>
      <c r="C67" s="198"/>
      <c r="D67" s="193"/>
      <c r="E67" s="194"/>
      <c r="F67" s="222"/>
      <c r="G67" s="222"/>
      <c r="H67" s="193"/>
      <c r="I67" s="193"/>
      <c r="J67" s="193"/>
      <c r="K67" s="195"/>
      <c r="L67" s="196"/>
      <c r="M67" s="193"/>
      <c r="N67" s="197"/>
      <c r="O67" s="197"/>
      <c r="P67" s="197"/>
      <c r="Q67" s="197"/>
      <c r="R67" s="196"/>
      <c r="S67" s="195"/>
      <c r="T67" s="195"/>
      <c r="U67" s="197"/>
      <c r="V67" s="213"/>
      <c r="W67" s="198"/>
      <c r="X67" s="198"/>
      <c r="Y67" s="198"/>
      <c r="Z67" s="198"/>
      <c r="AA67" s="198"/>
      <c r="AB67" s="200"/>
      <c r="AC67" s="200"/>
      <c r="AD67" s="200"/>
      <c r="AE67" s="200"/>
      <c r="AF67" s="200"/>
      <c r="AG67" s="200"/>
      <c r="AH67" s="200"/>
      <c r="AI67" s="91"/>
      <c r="AJ67" s="91">
        <f t="shared" ca="1" si="3"/>
        <v>0</v>
      </c>
      <c r="AK67" s="91">
        <f t="shared" ca="1" si="4"/>
        <v>0</v>
      </c>
      <c r="AL67" s="203"/>
      <c r="AM67" s="203"/>
      <c r="AN67" s="203"/>
      <c r="AO67" s="203"/>
      <c r="AP67" s="203"/>
      <c r="AQ67" s="203"/>
      <c r="AR67" s="203"/>
      <c r="AS67" s="203"/>
      <c r="AT67" s="203"/>
      <c r="AU67" s="203"/>
      <c r="AV67" s="203"/>
      <c r="AW67" s="203"/>
      <c r="AX67" s="203"/>
      <c r="AY67" s="203"/>
      <c r="AZ67" s="203"/>
      <c r="BA67" s="203"/>
      <c r="BB67" s="203"/>
      <c r="BC67" s="203"/>
      <c r="BD67" s="203"/>
      <c r="BE67" s="203"/>
      <c r="BF67" s="203"/>
      <c r="BG67" s="203"/>
      <c r="BH67" s="203"/>
      <c r="BI67" s="203"/>
      <c r="BJ67" s="203"/>
      <c r="BK67" s="203"/>
      <c r="BL67" s="203"/>
      <c r="BM67" s="203"/>
      <c r="BN67" s="203"/>
      <c r="BO67" s="203"/>
      <c r="BP67" s="203"/>
      <c r="BQ67" s="203"/>
      <c r="BR67" s="203"/>
      <c r="BS67" s="203"/>
      <c r="BT67" s="203"/>
      <c r="BU67" s="203"/>
      <c r="BV67" s="203"/>
      <c r="BW67" s="203"/>
      <c r="BX67" s="203"/>
    </row>
    <row r="68" spans="1:76" s="199" customFormat="1" ht="22.5" customHeight="1">
      <c r="A68" s="222">
        <v>63</v>
      </c>
      <c r="B68" s="222"/>
      <c r="C68" s="198"/>
      <c r="D68" s="193"/>
      <c r="E68" s="194"/>
      <c r="F68" s="222"/>
      <c r="G68" s="222"/>
      <c r="H68" s="193"/>
      <c r="I68" s="193"/>
      <c r="J68" s="193"/>
      <c r="K68" s="195"/>
      <c r="L68" s="196"/>
      <c r="M68" s="193"/>
      <c r="N68" s="197"/>
      <c r="O68" s="197"/>
      <c r="P68" s="197"/>
      <c r="Q68" s="197"/>
      <c r="R68" s="196"/>
      <c r="S68" s="195"/>
      <c r="T68" s="195"/>
      <c r="U68" s="197"/>
      <c r="V68" s="213"/>
      <c r="W68" s="198"/>
      <c r="X68" s="198"/>
      <c r="Y68" s="198"/>
      <c r="Z68" s="198"/>
      <c r="AA68" s="198"/>
      <c r="AB68" s="200"/>
      <c r="AC68" s="200"/>
      <c r="AD68" s="200"/>
      <c r="AE68" s="200"/>
      <c r="AF68" s="200"/>
      <c r="AG68" s="200"/>
      <c r="AH68" s="200"/>
      <c r="AI68" s="91"/>
      <c r="AJ68" s="91">
        <f t="shared" ca="1" si="3"/>
        <v>0</v>
      </c>
      <c r="AK68" s="91">
        <f t="shared" ca="1" si="4"/>
        <v>0</v>
      </c>
      <c r="AL68" s="203"/>
      <c r="AM68" s="203"/>
      <c r="AN68" s="203"/>
      <c r="AO68" s="203"/>
      <c r="AP68" s="203"/>
      <c r="AQ68" s="203"/>
      <c r="AR68" s="203"/>
      <c r="AS68" s="203"/>
      <c r="AT68" s="203"/>
      <c r="AU68" s="203"/>
      <c r="AV68" s="203"/>
      <c r="AW68" s="203"/>
      <c r="AX68" s="203"/>
      <c r="AY68" s="203"/>
      <c r="AZ68" s="203"/>
      <c r="BA68" s="203"/>
      <c r="BB68" s="203"/>
      <c r="BC68" s="203"/>
      <c r="BD68" s="203"/>
      <c r="BE68" s="203"/>
      <c r="BF68" s="203"/>
      <c r="BG68" s="203"/>
      <c r="BH68" s="203"/>
      <c r="BI68" s="203"/>
      <c r="BJ68" s="203"/>
      <c r="BK68" s="203"/>
      <c r="BL68" s="203"/>
      <c r="BM68" s="203"/>
      <c r="BN68" s="203"/>
      <c r="BO68" s="203"/>
      <c r="BP68" s="203"/>
      <c r="BQ68" s="203"/>
      <c r="BR68" s="203"/>
      <c r="BS68" s="203"/>
      <c r="BT68" s="203"/>
      <c r="BU68" s="203"/>
      <c r="BV68" s="203"/>
      <c r="BW68" s="203"/>
      <c r="BX68" s="203"/>
    </row>
    <row r="69" spans="1:76" s="199" customFormat="1" ht="22.5" customHeight="1">
      <c r="A69" s="222">
        <v>64</v>
      </c>
      <c r="B69" s="222"/>
      <c r="C69" s="198"/>
      <c r="D69" s="193"/>
      <c r="E69" s="194"/>
      <c r="F69" s="222"/>
      <c r="G69" s="222"/>
      <c r="H69" s="193"/>
      <c r="I69" s="193"/>
      <c r="J69" s="193"/>
      <c r="K69" s="195"/>
      <c r="L69" s="196"/>
      <c r="M69" s="193"/>
      <c r="N69" s="197"/>
      <c r="O69" s="197"/>
      <c r="P69" s="197"/>
      <c r="Q69" s="197"/>
      <c r="R69" s="196"/>
      <c r="S69" s="195"/>
      <c r="T69" s="195"/>
      <c r="U69" s="197"/>
      <c r="V69" s="213"/>
      <c r="W69" s="198"/>
      <c r="X69" s="198"/>
      <c r="Y69" s="198"/>
      <c r="Z69" s="198"/>
      <c r="AA69" s="198"/>
      <c r="AB69" s="200"/>
      <c r="AC69" s="200"/>
      <c r="AD69" s="200"/>
      <c r="AE69" s="200"/>
      <c r="AF69" s="200"/>
      <c r="AG69" s="200"/>
      <c r="AH69" s="200"/>
      <c r="AI69" s="91"/>
      <c r="AJ69" s="91">
        <f t="shared" ca="1" si="3"/>
        <v>0</v>
      </c>
      <c r="AK69" s="91">
        <f t="shared" ca="1" si="4"/>
        <v>0</v>
      </c>
      <c r="AL69" s="203"/>
      <c r="AM69" s="203"/>
      <c r="AN69" s="203"/>
      <c r="AO69" s="203"/>
      <c r="AP69" s="203"/>
      <c r="AQ69" s="203"/>
      <c r="AR69" s="203"/>
      <c r="AS69" s="203"/>
      <c r="AT69" s="203"/>
      <c r="AU69" s="203"/>
      <c r="AV69" s="203"/>
      <c r="AW69" s="203"/>
      <c r="AX69" s="203"/>
      <c r="AY69" s="203"/>
      <c r="AZ69" s="203"/>
      <c r="BA69" s="203"/>
      <c r="BB69" s="203"/>
      <c r="BC69" s="203"/>
      <c r="BD69" s="203"/>
      <c r="BE69" s="203"/>
      <c r="BF69" s="203"/>
      <c r="BG69" s="203"/>
      <c r="BH69" s="203"/>
      <c r="BI69" s="203"/>
      <c r="BJ69" s="203"/>
      <c r="BK69" s="203"/>
      <c r="BL69" s="203"/>
      <c r="BM69" s="203"/>
      <c r="BN69" s="203"/>
      <c r="BO69" s="203"/>
      <c r="BP69" s="203"/>
      <c r="BQ69" s="203"/>
      <c r="BR69" s="203"/>
      <c r="BS69" s="203"/>
      <c r="BT69" s="203"/>
      <c r="BU69" s="203"/>
      <c r="BV69" s="203"/>
      <c r="BW69" s="203"/>
      <c r="BX69" s="203"/>
    </row>
    <row r="70" spans="1:76" s="199" customFormat="1" ht="22.5" customHeight="1">
      <c r="A70" s="222">
        <v>65</v>
      </c>
      <c r="B70" s="222"/>
      <c r="C70" s="198"/>
      <c r="D70" s="193"/>
      <c r="E70" s="194"/>
      <c r="F70" s="222"/>
      <c r="G70" s="222"/>
      <c r="H70" s="193"/>
      <c r="I70" s="193"/>
      <c r="J70" s="193"/>
      <c r="K70" s="195"/>
      <c r="L70" s="196"/>
      <c r="M70" s="193"/>
      <c r="N70" s="197"/>
      <c r="O70" s="197"/>
      <c r="P70" s="197"/>
      <c r="Q70" s="197"/>
      <c r="R70" s="196"/>
      <c r="S70" s="195"/>
      <c r="T70" s="195"/>
      <c r="U70" s="197"/>
      <c r="V70" s="213"/>
      <c r="W70" s="198"/>
      <c r="X70" s="198"/>
      <c r="Y70" s="198"/>
      <c r="Z70" s="198"/>
      <c r="AA70" s="198"/>
      <c r="AB70" s="200"/>
      <c r="AC70" s="200"/>
      <c r="AD70" s="200"/>
      <c r="AE70" s="200"/>
      <c r="AF70" s="200"/>
      <c r="AG70" s="200"/>
      <c r="AH70" s="200"/>
      <c r="AI70" s="91"/>
      <c r="AJ70" s="91">
        <f t="shared" ca="1" si="3"/>
        <v>0</v>
      </c>
      <c r="AK70" s="91">
        <f t="shared" ca="1" si="4"/>
        <v>0</v>
      </c>
      <c r="AL70" s="203"/>
      <c r="AM70" s="203"/>
      <c r="AN70" s="203"/>
      <c r="AO70" s="203"/>
      <c r="AP70" s="203"/>
      <c r="AQ70" s="203"/>
      <c r="AR70" s="203"/>
      <c r="AS70" s="203"/>
      <c r="AT70" s="203"/>
      <c r="AU70" s="203"/>
      <c r="AV70" s="203"/>
      <c r="AW70" s="203"/>
      <c r="AX70" s="203"/>
      <c r="AY70" s="203"/>
      <c r="AZ70" s="203"/>
      <c r="BA70" s="203"/>
      <c r="BB70" s="203"/>
      <c r="BC70" s="203"/>
      <c r="BD70" s="203"/>
      <c r="BE70" s="203"/>
      <c r="BF70" s="203"/>
      <c r="BG70" s="203"/>
      <c r="BH70" s="203"/>
      <c r="BI70" s="203"/>
      <c r="BJ70" s="203"/>
      <c r="BK70" s="203"/>
      <c r="BL70" s="203"/>
      <c r="BM70" s="203"/>
      <c r="BN70" s="203"/>
      <c r="BO70" s="203"/>
      <c r="BP70" s="203"/>
      <c r="BQ70" s="203"/>
      <c r="BR70" s="203"/>
      <c r="BS70" s="203"/>
      <c r="BT70" s="203"/>
      <c r="BU70" s="203"/>
      <c r="BV70" s="203"/>
      <c r="BW70" s="203"/>
      <c r="BX70" s="203"/>
    </row>
    <row r="71" spans="1:76" s="199" customFormat="1" ht="22.5" customHeight="1">
      <c r="A71" s="222">
        <v>66</v>
      </c>
      <c r="B71" s="222"/>
      <c r="C71" s="198"/>
      <c r="D71" s="193"/>
      <c r="E71" s="194"/>
      <c r="F71" s="222"/>
      <c r="G71" s="222"/>
      <c r="H71" s="193"/>
      <c r="I71" s="193"/>
      <c r="J71" s="193"/>
      <c r="K71" s="195"/>
      <c r="L71" s="196"/>
      <c r="M71" s="193"/>
      <c r="N71" s="197"/>
      <c r="O71" s="197"/>
      <c r="P71" s="197"/>
      <c r="Q71" s="197"/>
      <c r="R71" s="196"/>
      <c r="S71" s="195"/>
      <c r="T71" s="195"/>
      <c r="U71" s="197"/>
      <c r="V71" s="213"/>
      <c r="W71" s="198"/>
      <c r="X71" s="198"/>
      <c r="Y71" s="198"/>
      <c r="Z71" s="198"/>
      <c r="AA71" s="198"/>
      <c r="AB71" s="200"/>
      <c r="AC71" s="200"/>
      <c r="AD71" s="200"/>
      <c r="AE71" s="200"/>
      <c r="AF71" s="200"/>
      <c r="AG71" s="200"/>
      <c r="AH71" s="200"/>
      <c r="AI71" s="91"/>
      <c r="AJ71" s="91">
        <f t="shared" ca="1" si="3"/>
        <v>0</v>
      </c>
      <c r="AK71" s="91">
        <f t="shared" ca="1" si="4"/>
        <v>0</v>
      </c>
      <c r="AL71" s="203"/>
      <c r="AM71" s="203"/>
      <c r="AN71" s="203"/>
      <c r="AO71" s="203"/>
      <c r="AP71" s="203"/>
      <c r="AQ71" s="203"/>
      <c r="AR71" s="203"/>
      <c r="AS71" s="203"/>
      <c r="AT71" s="203"/>
      <c r="AU71" s="203"/>
      <c r="AV71" s="203"/>
      <c r="AW71" s="203"/>
      <c r="AX71" s="203"/>
      <c r="AY71" s="203"/>
      <c r="AZ71" s="203"/>
      <c r="BA71" s="203"/>
      <c r="BB71" s="203"/>
      <c r="BC71" s="203"/>
      <c r="BD71" s="203"/>
      <c r="BE71" s="203"/>
      <c r="BF71" s="203"/>
      <c r="BG71" s="203"/>
      <c r="BH71" s="203"/>
      <c r="BI71" s="203"/>
      <c r="BJ71" s="203"/>
      <c r="BK71" s="203"/>
      <c r="BL71" s="203"/>
      <c r="BM71" s="203"/>
      <c r="BN71" s="203"/>
      <c r="BO71" s="203"/>
      <c r="BP71" s="203"/>
      <c r="BQ71" s="203"/>
      <c r="BR71" s="203"/>
      <c r="BS71" s="203"/>
      <c r="BT71" s="203"/>
      <c r="BU71" s="203"/>
      <c r="BV71" s="203"/>
      <c r="BW71" s="203"/>
      <c r="BX71" s="203"/>
    </row>
    <row r="72" spans="1:76" s="199" customFormat="1" ht="22.5" customHeight="1">
      <c r="A72" s="222">
        <v>67</v>
      </c>
      <c r="B72" s="222"/>
      <c r="C72" s="198"/>
      <c r="D72" s="193"/>
      <c r="E72" s="194"/>
      <c r="F72" s="222"/>
      <c r="G72" s="222"/>
      <c r="H72" s="193"/>
      <c r="I72" s="193"/>
      <c r="J72" s="193"/>
      <c r="K72" s="195"/>
      <c r="L72" s="196"/>
      <c r="M72" s="193"/>
      <c r="N72" s="197"/>
      <c r="O72" s="197"/>
      <c r="P72" s="197"/>
      <c r="Q72" s="197"/>
      <c r="R72" s="196"/>
      <c r="S72" s="195"/>
      <c r="T72" s="195"/>
      <c r="U72" s="197"/>
      <c r="V72" s="213"/>
      <c r="W72" s="198"/>
      <c r="X72" s="198"/>
      <c r="Y72" s="198"/>
      <c r="Z72" s="198"/>
      <c r="AA72" s="198"/>
      <c r="AB72" s="200"/>
      <c r="AC72" s="200"/>
      <c r="AD72" s="200"/>
      <c r="AE72" s="200"/>
      <c r="AF72" s="200"/>
      <c r="AG72" s="200"/>
      <c r="AH72" s="200"/>
      <c r="AI72" s="91"/>
      <c r="AJ72" s="91">
        <f t="shared" ca="1" si="3"/>
        <v>0</v>
      </c>
      <c r="AK72" s="91">
        <f t="shared" ca="1" si="4"/>
        <v>0</v>
      </c>
      <c r="AL72" s="203"/>
      <c r="AM72" s="203"/>
      <c r="AN72" s="203"/>
      <c r="AO72" s="203"/>
      <c r="AP72" s="203"/>
      <c r="AQ72" s="203"/>
      <c r="AR72" s="203"/>
      <c r="AS72" s="203"/>
      <c r="AT72" s="203"/>
      <c r="AU72" s="203"/>
      <c r="AV72" s="203"/>
      <c r="AW72" s="203"/>
      <c r="AX72" s="203"/>
      <c r="AY72" s="203"/>
      <c r="AZ72" s="203"/>
      <c r="BA72" s="203"/>
      <c r="BB72" s="203"/>
      <c r="BC72" s="203"/>
      <c r="BD72" s="203"/>
      <c r="BE72" s="203"/>
      <c r="BF72" s="203"/>
      <c r="BG72" s="203"/>
      <c r="BH72" s="203"/>
      <c r="BI72" s="203"/>
      <c r="BJ72" s="203"/>
      <c r="BK72" s="203"/>
      <c r="BL72" s="203"/>
      <c r="BM72" s="203"/>
      <c r="BN72" s="203"/>
      <c r="BO72" s="203"/>
      <c r="BP72" s="203"/>
      <c r="BQ72" s="203"/>
      <c r="BR72" s="203"/>
      <c r="BS72" s="203"/>
      <c r="BT72" s="203"/>
      <c r="BU72" s="203"/>
      <c r="BV72" s="203"/>
      <c r="BW72" s="203"/>
      <c r="BX72" s="203"/>
    </row>
    <row r="73" spans="1:76" s="199" customFormat="1" ht="22.5" customHeight="1">
      <c r="A73" s="222">
        <v>68</v>
      </c>
      <c r="B73" s="222"/>
      <c r="C73" s="198"/>
      <c r="D73" s="193"/>
      <c r="E73" s="194"/>
      <c r="F73" s="222"/>
      <c r="G73" s="222"/>
      <c r="H73" s="193"/>
      <c r="I73" s="193"/>
      <c r="J73" s="193"/>
      <c r="K73" s="195"/>
      <c r="L73" s="196"/>
      <c r="M73" s="193"/>
      <c r="N73" s="197"/>
      <c r="O73" s="197"/>
      <c r="P73" s="197"/>
      <c r="Q73" s="197"/>
      <c r="R73" s="196"/>
      <c r="S73" s="195"/>
      <c r="T73" s="195"/>
      <c r="U73" s="197"/>
      <c r="V73" s="213"/>
      <c r="W73" s="198"/>
      <c r="X73" s="198"/>
      <c r="Y73" s="198"/>
      <c r="Z73" s="198"/>
      <c r="AA73" s="198"/>
      <c r="AB73" s="200"/>
      <c r="AC73" s="200"/>
      <c r="AD73" s="200"/>
      <c r="AE73" s="200"/>
      <c r="AF73" s="200"/>
      <c r="AG73" s="200"/>
      <c r="AH73" s="200"/>
      <c r="AI73" s="91"/>
      <c r="AJ73" s="91">
        <f t="shared" ca="1" si="3"/>
        <v>0</v>
      </c>
      <c r="AK73" s="91">
        <f t="shared" ca="1" si="4"/>
        <v>0</v>
      </c>
      <c r="AL73" s="203"/>
      <c r="AM73" s="203"/>
      <c r="AN73" s="203"/>
      <c r="AO73" s="203"/>
      <c r="AP73" s="203"/>
      <c r="AQ73" s="203"/>
      <c r="AR73" s="203"/>
      <c r="AS73" s="203"/>
      <c r="AT73" s="203"/>
      <c r="AU73" s="203"/>
      <c r="AV73" s="203"/>
      <c r="AW73" s="203"/>
      <c r="AX73" s="203"/>
      <c r="AY73" s="203"/>
      <c r="AZ73" s="203"/>
      <c r="BA73" s="203"/>
      <c r="BB73" s="203"/>
      <c r="BC73" s="203"/>
      <c r="BD73" s="203"/>
      <c r="BE73" s="203"/>
      <c r="BF73" s="203"/>
      <c r="BG73" s="203"/>
      <c r="BH73" s="203"/>
      <c r="BI73" s="203"/>
      <c r="BJ73" s="203"/>
      <c r="BK73" s="203"/>
      <c r="BL73" s="203"/>
      <c r="BM73" s="203"/>
      <c r="BN73" s="203"/>
      <c r="BO73" s="203"/>
      <c r="BP73" s="203"/>
      <c r="BQ73" s="203"/>
      <c r="BR73" s="203"/>
      <c r="BS73" s="203"/>
      <c r="BT73" s="203"/>
      <c r="BU73" s="203"/>
      <c r="BV73" s="203"/>
      <c r="BW73" s="203"/>
      <c r="BX73" s="203"/>
    </row>
    <row r="74" spans="1:76" s="199" customFormat="1" ht="22.5" customHeight="1">
      <c r="A74" s="222">
        <v>69</v>
      </c>
      <c r="B74" s="222"/>
      <c r="C74" s="198"/>
      <c r="D74" s="193"/>
      <c r="E74" s="194"/>
      <c r="F74" s="222"/>
      <c r="G74" s="222"/>
      <c r="H74" s="193"/>
      <c r="I74" s="193"/>
      <c r="J74" s="193"/>
      <c r="K74" s="195"/>
      <c r="L74" s="196"/>
      <c r="M74" s="193"/>
      <c r="N74" s="197"/>
      <c r="O74" s="197"/>
      <c r="P74" s="197"/>
      <c r="Q74" s="197"/>
      <c r="R74" s="196"/>
      <c r="S74" s="195"/>
      <c r="T74" s="195"/>
      <c r="U74" s="197"/>
      <c r="V74" s="213"/>
      <c r="W74" s="198"/>
      <c r="X74" s="198"/>
      <c r="Y74" s="198"/>
      <c r="Z74" s="198"/>
      <c r="AA74" s="198"/>
      <c r="AB74" s="200"/>
      <c r="AC74" s="200"/>
      <c r="AD74" s="200"/>
      <c r="AE74" s="200"/>
      <c r="AF74" s="200"/>
      <c r="AG74" s="200"/>
      <c r="AH74" s="200"/>
      <c r="AI74" s="91"/>
      <c r="AJ74" s="91">
        <f t="shared" ca="1" si="3"/>
        <v>0</v>
      </c>
      <c r="AK74" s="91">
        <f t="shared" ca="1" si="4"/>
        <v>0</v>
      </c>
      <c r="AL74" s="203"/>
      <c r="AM74" s="203"/>
      <c r="AN74" s="203"/>
      <c r="AO74" s="203"/>
      <c r="AP74" s="203"/>
      <c r="AQ74" s="203"/>
      <c r="AR74" s="203"/>
      <c r="AS74" s="203"/>
      <c r="AT74" s="203"/>
      <c r="AU74" s="203"/>
      <c r="AV74" s="203"/>
      <c r="AW74" s="203"/>
      <c r="AX74" s="203"/>
      <c r="AY74" s="203"/>
      <c r="AZ74" s="203"/>
      <c r="BA74" s="203"/>
      <c r="BB74" s="203"/>
      <c r="BC74" s="203"/>
      <c r="BD74" s="203"/>
      <c r="BE74" s="203"/>
      <c r="BF74" s="203"/>
      <c r="BG74" s="203"/>
      <c r="BH74" s="203"/>
      <c r="BI74" s="203"/>
      <c r="BJ74" s="203"/>
      <c r="BK74" s="203"/>
      <c r="BL74" s="203"/>
      <c r="BM74" s="203"/>
      <c r="BN74" s="203"/>
      <c r="BO74" s="203"/>
      <c r="BP74" s="203"/>
      <c r="BQ74" s="203"/>
      <c r="BR74" s="203"/>
      <c r="BS74" s="203"/>
      <c r="BT74" s="203"/>
      <c r="BU74" s="203"/>
      <c r="BV74" s="203"/>
      <c r="BW74" s="203"/>
      <c r="BX74" s="203"/>
    </row>
    <row r="75" spans="1:76" s="199" customFormat="1" ht="22.5" customHeight="1">
      <c r="A75" s="222">
        <v>70</v>
      </c>
      <c r="B75" s="222"/>
      <c r="C75" s="198"/>
      <c r="D75" s="193"/>
      <c r="E75" s="194"/>
      <c r="F75" s="222"/>
      <c r="G75" s="222"/>
      <c r="H75" s="193"/>
      <c r="I75" s="193"/>
      <c r="J75" s="193"/>
      <c r="K75" s="195"/>
      <c r="L75" s="196"/>
      <c r="M75" s="193"/>
      <c r="N75" s="197"/>
      <c r="O75" s="197"/>
      <c r="P75" s="197"/>
      <c r="Q75" s="197"/>
      <c r="R75" s="196"/>
      <c r="S75" s="195"/>
      <c r="T75" s="195"/>
      <c r="U75" s="197"/>
      <c r="V75" s="213"/>
      <c r="W75" s="198"/>
      <c r="X75" s="198"/>
      <c r="Y75" s="198"/>
      <c r="Z75" s="198"/>
      <c r="AA75" s="198"/>
      <c r="AB75" s="200"/>
      <c r="AC75" s="200"/>
      <c r="AD75" s="200"/>
      <c r="AE75" s="200"/>
      <c r="AF75" s="200"/>
      <c r="AG75" s="200"/>
      <c r="AH75" s="200"/>
      <c r="AI75" s="91"/>
      <c r="AJ75" s="91">
        <f t="shared" ca="1" si="3"/>
        <v>0</v>
      </c>
      <c r="AK75" s="91">
        <f t="shared" ca="1" si="4"/>
        <v>0</v>
      </c>
      <c r="AL75" s="203"/>
      <c r="AM75" s="203"/>
      <c r="AN75" s="203"/>
      <c r="AO75" s="203"/>
      <c r="AP75" s="203"/>
      <c r="AQ75" s="203"/>
      <c r="AR75" s="203"/>
      <c r="AS75" s="203"/>
      <c r="AT75" s="203"/>
      <c r="AU75" s="203"/>
      <c r="AV75" s="203"/>
      <c r="AW75" s="203"/>
      <c r="AX75" s="203"/>
      <c r="AY75" s="203"/>
      <c r="AZ75" s="203"/>
      <c r="BA75" s="203"/>
      <c r="BB75" s="203"/>
      <c r="BC75" s="203"/>
      <c r="BD75" s="203"/>
      <c r="BE75" s="203"/>
      <c r="BF75" s="203"/>
      <c r="BG75" s="203"/>
      <c r="BH75" s="203"/>
      <c r="BI75" s="203"/>
      <c r="BJ75" s="203"/>
      <c r="BK75" s="203"/>
      <c r="BL75" s="203"/>
      <c r="BM75" s="203"/>
      <c r="BN75" s="203"/>
      <c r="BO75" s="203"/>
      <c r="BP75" s="203"/>
      <c r="BQ75" s="203"/>
      <c r="BR75" s="203"/>
      <c r="BS75" s="203"/>
      <c r="BT75" s="203"/>
      <c r="BU75" s="203"/>
      <c r="BV75" s="203"/>
      <c r="BW75" s="203"/>
      <c r="BX75" s="203"/>
    </row>
    <row r="76" spans="1:76" s="199" customFormat="1" ht="22.5" customHeight="1">
      <c r="A76" s="222">
        <v>71</v>
      </c>
      <c r="B76" s="222"/>
      <c r="C76" s="198"/>
      <c r="D76" s="193"/>
      <c r="E76" s="194"/>
      <c r="F76" s="222"/>
      <c r="G76" s="222"/>
      <c r="H76" s="193"/>
      <c r="I76" s="193"/>
      <c r="J76" s="193"/>
      <c r="K76" s="195"/>
      <c r="L76" s="196"/>
      <c r="M76" s="193"/>
      <c r="N76" s="197"/>
      <c r="O76" s="197"/>
      <c r="P76" s="197"/>
      <c r="Q76" s="197"/>
      <c r="R76" s="196"/>
      <c r="S76" s="195"/>
      <c r="T76" s="195"/>
      <c r="U76" s="197"/>
      <c r="V76" s="213"/>
      <c r="W76" s="198"/>
      <c r="X76" s="198"/>
      <c r="Y76" s="198"/>
      <c r="Z76" s="198"/>
      <c r="AA76" s="198"/>
      <c r="AB76" s="200"/>
      <c r="AC76" s="200"/>
      <c r="AD76" s="200"/>
      <c r="AE76" s="200"/>
      <c r="AF76" s="200"/>
      <c r="AG76" s="200"/>
      <c r="AH76" s="200"/>
      <c r="AI76" s="91"/>
      <c r="AJ76" s="91">
        <f t="shared" ca="1" si="3"/>
        <v>0</v>
      </c>
      <c r="AK76" s="91">
        <f t="shared" ca="1" si="4"/>
        <v>0</v>
      </c>
      <c r="AL76" s="203"/>
      <c r="AM76" s="203"/>
      <c r="AN76" s="203"/>
      <c r="AO76" s="203"/>
      <c r="AP76" s="203"/>
      <c r="AQ76" s="203"/>
      <c r="AR76" s="203"/>
      <c r="AS76" s="203"/>
      <c r="AT76" s="203"/>
      <c r="AU76" s="203"/>
      <c r="AV76" s="203"/>
      <c r="AW76" s="203"/>
      <c r="AX76" s="203"/>
      <c r="AY76" s="203"/>
      <c r="AZ76" s="203"/>
      <c r="BA76" s="203"/>
      <c r="BB76" s="203"/>
      <c r="BC76" s="203"/>
      <c r="BD76" s="203"/>
      <c r="BE76" s="203"/>
      <c r="BF76" s="203"/>
      <c r="BG76" s="203"/>
      <c r="BH76" s="203"/>
      <c r="BI76" s="203"/>
      <c r="BJ76" s="203"/>
      <c r="BK76" s="203"/>
      <c r="BL76" s="203"/>
      <c r="BM76" s="203"/>
      <c r="BN76" s="203"/>
      <c r="BO76" s="203"/>
      <c r="BP76" s="203"/>
      <c r="BQ76" s="203"/>
      <c r="BR76" s="203"/>
      <c r="BS76" s="203"/>
      <c r="BT76" s="203"/>
      <c r="BU76" s="203"/>
      <c r="BV76" s="203"/>
      <c r="BW76" s="203"/>
      <c r="BX76" s="203"/>
    </row>
    <row r="77" spans="1:76" s="199" customFormat="1" ht="22.5" customHeight="1">
      <c r="A77" s="222">
        <v>72</v>
      </c>
      <c r="B77" s="222"/>
      <c r="C77" s="198"/>
      <c r="D77" s="193"/>
      <c r="E77" s="194"/>
      <c r="F77" s="222"/>
      <c r="G77" s="222"/>
      <c r="H77" s="193"/>
      <c r="I77" s="193"/>
      <c r="J77" s="193"/>
      <c r="K77" s="195"/>
      <c r="L77" s="196"/>
      <c r="M77" s="193"/>
      <c r="N77" s="197"/>
      <c r="O77" s="197"/>
      <c r="P77" s="197"/>
      <c r="Q77" s="197"/>
      <c r="R77" s="196"/>
      <c r="S77" s="195"/>
      <c r="T77" s="195"/>
      <c r="U77" s="197"/>
      <c r="V77" s="213"/>
      <c r="W77" s="198"/>
      <c r="X77" s="198"/>
      <c r="Y77" s="198"/>
      <c r="Z77" s="198"/>
      <c r="AA77" s="198"/>
      <c r="AB77" s="200"/>
      <c r="AC77" s="200"/>
      <c r="AD77" s="200"/>
      <c r="AE77" s="200"/>
      <c r="AF77" s="200"/>
      <c r="AG77" s="200"/>
      <c r="AH77" s="200"/>
      <c r="AI77" s="91"/>
      <c r="AJ77" s="91">
        <f t="shared" ca="1" si="3"/>
        <v>0</v>
      </c>
      <c r="AK77" s="91">
        <f t="shared" ca="1" si="4"/>
        <v>0</v>
      </c>
      <c r="AL77" s="203"/>
      <c r="AM77" s="203"/>
      <c r="AN77" s="203"/>
      <c r="AO77" s="203"/>
      <c r="AP77" s="203"/>
      <c r="AQ77" s="203"/>
      <c r="AR77" s="203"/>
      <c r="AS77" s="203"/>
      <c r="AT77" s="203"/>
      <c r="AU77" s="203"/>
      <c r="AV77" s="203"/>
      <c r="AW77" s="203"/>
      <c r="AX77" s="203"/>
      <c r="AY77" s="203"/>
      <c r="AZ77" s="203"/>
      <c r="BA77" s="203"/>
      <c r="BB77" s="203"/>
      <c r="BC77" s="203"/>
      <c r="BD77" s="203"/>
      <c r="BE77" s="203"/>
      <c r="BF77" s="203"/>
      <c r="BG77" s="203"/>
      <c r="BH77" s="203"/>
      <c r="BI77" s="203"/>
      <c r="BJ77" s="203"/>
      <c r="BK77" s="203"/>
      <c r="BL77" s="203"/>
      <c r="BM77" s="203"/>
      <c r="BN77" s="203"/>
      <c r="BO77" s="203"/>
      <c r="BP77" s="203"/>
      <c r="BQ77" s="203"/>
      <c r="BR77" s="203"/>
      <c r="BS77" s="203"/>
      <c r="BT77" s="203"/>
      <c r="BU77" s="203"/>
      <c r="BV77" s="203"/>
      <c r="BW77" s="203"/>
      <c r="BX77" s="203"/>
    </row>
    <row r="78" spans="1:76" s="199" customFormat="1" ht="22.5" customHeight="1">
      <c r="A78" s="222">
        <v>73</v>
      </c>
      <c r="B78" s="222"/>
      <c r="C78" s="198"/>
      <c r="D78" s="193"/>
      <c r="E78" s="194"/>
      <c r="F78" s="222"/>
      <c r="G78" s="222"/>
      <c r="H78" s="193"/>
      <c r="I78" s="193"/>
      <c r="J78" s="193"/>
      <c r="K78" s="195"/>
      <c r="L78" s="196"/>
      <c r="M78" s="193"/>
      <c r="N78" s="197"/>
      <c r="O78" s="197"/>
      <c r="P78" s="197"/>
      <c r="Q78" s="197"/>
      <c r="R78" s="196"/>
      <c r="S78" s="195"/>
      <c r="T78" s="195"/>
      <c r="U78" s="197"/>
      <c r="V78" s="213"/>
      <c r="W78" s="198"/>
      <c r="X78" s="198"/>
      <c r="Y78" s="198"/>
      <c r="Z78" s="198"/>
      <c r="AA78" s="198"/>
      <c r="AB78" s="200"/>
      <c r="AC78" s="200"/>
      <c r="AD78" s="200"/>
      <c r="AE78" s="200"/>
      <c r="AF78" s="200"/>
      <c r="AG78" s="200"/>
      <c r="AH78" s="200"/>
      <c r="AI78" s="91"/>
      <c r="AJ78" s="91">
        <f t="shared" ca="1" si="3"/>
        <v>0</v>
      </c>
      <c r="AK78" s="91">
        <f t="shared" ca="1" si="4"/>
        <v>0</v>
      </c>
      <c r="AL78" s="203"/>
      <c r="AM78" s="203"/>
      <c r="AN78" s="203"/>
      <c r="AO78" s="203"/>
      <c r="AP78" s="203"/>
      <c r="AQ78" s="203"/>
      <c r="AR78" s="203"/>
      <c r="AS78" s="203"/>
      <c r="AT78" s="203"/>
      <c r="AU78" s="203"/>
      <c r="AV78" s="203"/>
      <c r="AW78" s="203"/>
      <c r="AX78" s="203"/>
      <c r="AY78" s="203"/>
      <c r="AZ78" s="203"/>
      <c r="BA78" s="203"/>
      <c r="BB78" s="203"/>
      <c r="BC78" s="203"/>
      <c r="BD78" s="203"/>
      <c r="BE78" s="203"/>
      <c r="BF78" s="203"/>
      <c r="BG78" s="203"/>
      <c r="BH78" s="203"/>
      <c r="BI78" s="203"/>
      <c r="BJ78" s="203"/>
      <c r="BK78" s="203"/>
      <c r="BL78" s="203"/>
      <c r="BM78" s="203"/>
      <c r="BN78" s="203"/>
      <c r="BO78" s="203"/>
      <c r="BP78" s="203"/>
      <c r="BQ78" s="203"/>
      <c r="BR78" s="203"/>
      <c r="BS78" s="203"/>
      <c r="BT78" s="203"/>
      <c r="BU78" s="203"/>
      <c r="BV78" s="203"/>
      <c r="BW78" s="203"/>
      <c r="BX78" s="203"/>
    </row>
    <row r="79" spans="1:76" s="199" customFormat="1" ht="22.5" customHeight="1">
      <c r="A79" s="222">
        <v>74</v>
      </c>
      <c r="B79" s="222"/>
      <c r="C79" s="198"/>
      <c r="D79" s="193"/>
      <c r="E79" s="194"/>
      <c r="F79" s="222"/>
      <c r="G79" s="222"/>
      <c r="H79" s="193"/>
      <c r="I79" s="193"/>
      <c r="J79" s="193"/>
      <c r="K79" s="195"/>
      <c r="L79" s="196"/>
      <c r="M79" s="193"/>
      <c r="N79" s="197"/>
      <c r="O79" s="197"/>
      <c r="P79" s="197"/>
      <c r="Q79" s="197"/>
      <c r="R79" s="196"/>
      <c r="S79" s="195"/>
      <c r="T79" s="195"/>
      <c r="U79" s="197"/>
      <c r="V79" s="213"/>
      <c r="W79" s="198"/>
      <c r="X79" s="198"/>
      <c r="Y79" s="198"/>
      <c r="Z79" s="198"/>
      <c r="AA79" s="198"/>
      <c r="AB79" s="200"/>
      <c r="AC79" s="200"/>
      <c r="AD79" s="200"/>
      <c r="AE79" s="200"/>
      <c r="AF79" s="200"/>
      <c r="AG79" s="200"/>
      <c r="AH79" s="200"/>
      <c r="AI79" s="91"/>
      <c r="AJ79" s="91">
        <f t="shared" ca="1" si="3"/>
        <v>0</v>
      </c>
      <c r="AK79" s="91">
        <f t="shared" ca="1" si="4"/>
        <v>0</v>
      </c>
      <c r="AL79" s="203"/>
      <c r="AM79" s="203"/>
      <c r="AN79" s="203"/>
      <c r="AO79" s="203"/>
      <c r="AP79" s="203"/>
      <c r="AQ79" s="203"/>
      <c r="AR79" s="203"/>
      <c r="AS79" s="203"/>
      <c r="AT79" s="203"/>
      <c r="AU79" s="203"/>
      <c r="AV79" s="203"/>
      <c r="AW79" s="203"/>
      <c r="AX79" s="203"/>
      <c r="AY79" s="203"/>
      <c r="AZ79" s="203"/>
      <c r="BA79" s="203"/>
      <c r="BB79" s="203"/>
      <c r="BC79" s="203"/>
      <c r="BD79" s="203"/>
      <c r="BE79" s="203"/>
      <c r="BF79" s="203"/>
      <c r="BG79" s="203"/>
      <c r="BH79" s="203"/>
      <c r="BI79" s="203"/>
      <c r="BJ79" s="203"/>
      <c r="BK79" s="203"/>
      <c r="BL79" s="203"/>
      <c r="BM79" s="203"/>
      <c r="BN79" s="203"/>
      <c r="BO79" s="203"/>
      <c r="BP79" s="203"/>
      <c r="BQ79" s="203"/>
      <c r="BR79" s="203"/>
      <c r="BS79" s="203"/>
      <c r="BT79" s="203"/>
      <c r="BU79" s="203"/>
      <c r="BV79" s="203"/>
      <c r="BW79" s="203"/>
      <c r="BX79" s="203"/>
    </row>
    <row r="80" spans="1:76" s="199" customFormat="1" ht="22.5" customHeight="1">
      <c r="A80" s="222">
        <v>75</v>
      </c>
      <c r="B80" s="222"/>
      <c r="C80" s="198"/>
      <c r="D80" s="193"/>
      <c r="E80" s="194"/>
      <c r="F80" s="222"/>
      <c r="G80" s="222"/>
      <c r="H80" s="193"/>
      <c r="I80" s="193"/>
      <c r="J80" s="193"/>
      <c r="K80" s="195"/>
      <c r="L80" s="196"/>
      <c r="M80" s="193"/>
      <c r="N80" s="197"/>
      <c r="O80" s="197"/>
      <c r="P80" s="197"/>
      <c r="Q80" s="197"/>
      <c r="R80" s="196"/>
      <c r="S80" s="195"/>
      <c r="T80" s="195"/>
      <c r="U80" s="197"/>
      <c r="V80" s="213"/>
      <c r="W80" s="198"/>
      <c r="X80" s="198"/>
      <c r="Y80" s="198"/>
      <c r="Z80" s="198"/>
      <c r="AA80" s="198"/>
      <c r="AB80" s="200"/>
      <c r="AC80" s="200"/>
      <c r="AD80" s="200"/>
      <c r="AE80" s="200"/>
      <c r="AF80" s="200"/>
      <c r="AG80" s="200"/>
      <c r="AH80" s="200"/>
      <c r="AI80" s="91"/>
      <c r="AJ80" s="91">
        <f t="shared" ca="1" si="3"/>
        <v>0</v>
      </c>
      <c r="AK80" s="91">
        <f t="shared" ca="1" si="4"/>
        <v>0</v>
      </c>
      <c r="AL80" s="203"/>
      <c r="AM80" s="203"/>
      <c r="AN80" s="203"/>
      <c r="AO80" s="203"/>
      <c r="AP80" s="203"/>
      <c r="AQ80" s="203"/>
      <c r="AR80" s="203"/>
      <c r="AS80" s="203"/>
      <c r="AT80" s="203"/>
      <c r="AU80" s="203"/>
      <c r="AV80" s="203"/>
      <c r="AW80" s="203"/>
      <c r="AX80" s="203"/>
      <c r="AY80" s="203"/>
      <c r="AZ80" s="203"/>
      <c r="BA80" s="203"/>
      <c r="BB80" s="203"/>
      <c r="BC80" s="203"/>
      <c r="BD80" s="203"/>
      <c r="BE80" s="203"/>
      <c r="BF80" s="203"/>
      <c r="BG80" s="203"/>
      <c r="BH80" s="203"/>
      <c r="BI80" s="203"/>
      <c r="BJ80" s="203"/>
      <c r="BK80" s="203"/>
      <c r="BL80" s="203"/>
      <c r="BM80" s="203"/>
      <c r="BN80" s="203"/>
      <c r="BO80" s="203"/>
      <c r="BP80" s="203"/>
      <c r="BQ80" s="203"/>
      <c r="BR80" s="203"/>
      <c r="BS80" s="203"/>
      <c r="BT80" s="203"/>
      <c r="BU80" s="203"/>
      <c r="BV80" s="203"/>
      <c r="BW80" s="203"/>
      <c r="BX80" s="203"/>
    </row>
    <row r="81" spans="1:76" s="199" customFormat="1" ht="22.5" customHeight="1">
      <c r="A81" s="222">
        <v>76</v>
      </c>
      <c r="B81" s="222"/>
      <c r="C81" s="198"/>
      <c r="D81" s="193"/>
      <c r="E81" s="194"/>
      <c r="F81" s="222"/>
      <c r="G81" s="222"/>
      <c r="H81" s="193"/>
      <c r="I81" s="193"/>
      <c r="J81" s="193"/>
      <c r="K81" s="195"/>
      <c r="L81" s="196"/>
      <c r="M81" s="193"/>
      <c r="N81" s="197"/>
      <c r="O81" s="197"/>
      <c r="P81" s="197"/>
      <c r="Q81" s="197"/>
      <c r="R81" s="196"/>
      <c r="S81" s="195"/>
      <c r="T81" s="195"/>
      <c r="U81" s="197"/>
      <c r="V81" s="213"/>
      <c r="W81" s="198"/>
      <c r="X81" s="198"/>
      <c r="Y81" s="198"/>
      <c r="Z81" s="198"/>
      <c r="AA81" s="198"/>
      <c r="AB81" s="200"/>
      <c r="AC81" s="200"/>
      <c r="AD81" s="200"/>
      <c r="AE81" s="200"/>
      <c r="AF81" s="200"/>
      <c r="AG81" s="200"/>
      <c r="AH81" s="200"/>
      <c r="AI81" s="91"/>
      <c r="AJ81" s="91">
        <f t="shared" ca="1" si="3"/>
        <v>0</v>
      </c>
      <c r="AK81" s="91">
        <f t="shared" ca="1" si="4"/>
        <v>0</v>
      </c>
      <c r="AL81" s="203"/>
      <c r="AM81" s="203"/>
      <c r="AN81" s="203"/>
      <c r="AO81" s="203"/>
      <c r="AP81" s="203"/>
      <c r="AQ81" s="203"/>
      <c r="AR81" s="203"/>
      <c r="AS81" s="203"/>
      <c r="AT81" s="203"/>
      <c r="AU81" s="203"/>
      <c r="AV81" s="203"/>
      <c r="AW81" s="203"/>
      <c r="AX81" s="203"/>
      <c r="AY81" s="203"/>
      <c r="AZ81" s="203"/>
      <c r="BA81" s="203"/>
      <c r="BB81" s="203"/>
      <c r="BC81" s="203"/>
      <c r="BD81" s="203"/>
      <c r="BE81" s="203"/>
      <c r="BF81" s="203"/>
      <c r="BG81" s="203"/>
      <c r="BH81" s="203"/>
      <c r="BI81" s="203"/>
      <c r="BJ81" s="203"/>
      <c r="BK81" s="203"/>
      <c r="BL81" s="203"/>
      <c r="BM81" s="203"/>
      <c r="BN81" s="203"/>
      <c r="BO81" s="203"/>
      <c r="BP81" s="203"/>
      <c r="BQ81" s="203"/>
      <c r="BR81" s="203"/>
      <c r="BS81" s="203"/>
      <c r="BT81" s="203"/>
      <c r="BU81" s="203"/>
      <c r="BV81" s="203"/>
      <c r="BW81" s="203"/>
      <c r="BX81" s="203"/>
    </row>
    <row r="82" spans="1:76" s="199" customFormat="1" ht="22.5" customHeight="1">
      <c r="A82" s="222">
        <v>77</v>
      </c>
      <c r="B82" s="222"/>
      <c r="C82" s="198"/>
      <c r="D82" s="193"/>
      <c r="E82" s="194"/>
      <c r="F82" s="222"/>
      <c r="G82" s="222"/>
      <c r="H82" s="193"/>
      <c r="I82" s="193"/>
      <c r="J82" s="193"/>
      <c r="K82" s="195"/>
      <c r="L82" s="196"/>
      <c r="M82" s="193"/>
      <c r="N82" s="197"/>
      <c r="O82" s="197"/>
      <c r="P82" s="197"/>
      <c r="Q82" s="197"/>
      <c r="R82" s="196"/>
      <c r="S82" s="195"/>
      <c r="T82" s="195"/>
      <c r="U82" s="197"/>
      <c r="V82" s="213"/>
      <c r="W82" s="198"/>
      <c r="X82" s="198"/>
      <c r="Y82" s="198"/>
      <c r="Z82" s="198"/>
      <c r="AA82" s="198"/>
      <c r="AB82" s="200"/>
      <c r="AC82" s="200"/>
      <c r="AD82" s="200"/>
      <c r="AE82" s="200"/>
      <c r="AF82" s="200"/>
      <c r="AG82" s="200"/>
      <c r="AH82" s="200"/>
      <c r="AI82" s="91"/>
      <c r="AJ82" s="91">
        <f t="shared" ca="1" si="3"/>
        <v>0</v>
      </c>
      <c r="AK82" s="91">
        <f t="shared" ca="1" si="4"/>
        <v>0</v>
      </c>
      <c r="AL82" s="203"/>
      <c r="AM82" s="203"/>
      <c r="AN82" s="203"/>
      <c r="AO82" s="203"/>
      <c r="AP82" s="203"/>
      <c r="AQ82" s="203"/>
      <c r="AR82" s="203"/>
      <c r="AS82" s="203"/>
      <c r="AT82" s="203"/>
      <c r="AU82" s="203"/>
      <c r="AV82" s="203"/>
      <c r="AW82" s="203"/>
      <c r="AX82" s="203"/>
      <c r="AY82" s="203"/>
      <c r="AZ82" s="203"/>
      <c r="BA82" s="203"/>
      <c r="BB82" s="203"/>
      <c r="BC82" s="203"/>
      <c r="BD82" s="203"/>
      <c r="BE82" s="203"/>
      <c r="BF82" s="203"/>
      <c r="BG82" s="203"/>
      <c r="BH82" s="203"/>
      <c r="BI82" s="203"/>
      <c r="BJ82" s="203"/>
      <c r="BK82" s="203"/>
      <c r="BL82" s="203"/>
      <c r="BM82" s="203"/>
      <c r="BN82" s="203"/>
      <c r="BO82" s="203"/>
      <c r="BP82" s="203"/>
      <c r="BQ82" s="203"/>
      <c r="BR82" s="203"/>
      <c r="BS82" s="203"/>
      <c r="BT82" s="203"/>
      <c r="BU82" s="203"/>
      <c r="BV82" s="203"/>
      <c r="BW82" s="203"/>
      <c r="BX82" s="203"/>
    </row>
    <row r="83" spans="1:76" s="199" customFormat="1" ht="22.5" customHeight="1">
      <c r="A83" s="222">
        <v>78</v>
      </c>
      <c r="B83" s="222"/>
      <c r="C83" s="198"/>
      <c r="D83" s="193"/>
      <c r="E83" s="194"/>
      <c r="F83" s="222"/>
      <c r="G83" s="222"/>
      <c r="H83" s="193"/>
      <c r="I83" s="193"/>
      <c r="J83" s="193"/>
      <c r="K83" s="195"/>
      <c r="L83" s="196"/>
      <c r="M83" s="193"/>
      <c r="N83" s="197"/>
      <c r="O83" s="197"/>
      <c r="P83" s="197"/>
      <c r="Q83" s="197"/>
      <c r="R83" s="196"/>
      <c r="S83" s="195"/>
      <c r="T83" s="195"/>
      <c r="U83" s="197"/>
      <c r="V83" s="213"/>
      <c r="W83" s="198"/>
      <c r="X83" s="198"/>
      <c r="Y83" s="198"/>
      <c r="Z83" s="198"/>
      <c r="AA83" s="198"/>
      <c r="AB83" s="200"/>
      <c r="AC83" s="200"/>
      <c r="AD83" s="200"/>
      <c r="AE83" s="200"/>
      <c r="AF83" s="200"/>
      <c r="AG83" s="200"/>
      <c r="AH83" s="200"/>
      <c r="AI83" s="91"/>
      <c r="AJ83" s="91">
        <f t="shared" ca="1" si="3"/>
        <v>0</v>
      </c>
      <c r="AK83" s="91">
        <f t="shared" ca="1" si="4"/>
        <v>0</v>
      </c>
      <c r="AL83" s="203"/>
      <c r="AM83" s="203"/>
      <c r="AN83" s="203"/>
      <c r="AO83" s="203"/>
      <c r="AP83" s="203"/>
      <c r="AQ83" s="203"/>
      <c r="AR83" s="203"/>
      <c r="AS83" s="203"/>
      <c r="AT83" s="203"/>
      <c r="AU83" s="203"/>
      <c r="AV83" s="203"/>
      <c r="AW83" s="203"/>
      <c r="AX83" s="203"/>
      <c r="AY83" s="203"/>
      <c r="AZ83" s="203"/>
      <c r="BA83" s="203"/>
      <c r="BB83" s="203"/>
      <c r="BC83" s="203"/>
      <c r="BD83" s="203"/>
      <c r="BE83" s="203"/>
      <c r="BF83" s="203"/>
      <c r="BG83" s="203"/>
      <c r="BH83" s="203"/>
      <c r="BI83" s="203"/>
      <c r="BJ83" s="203"/>
      <c r="BK83" s="203"/>
      <c r="BL83" s="203"/>
      <c r="BM83" s="203"/>
      <c r="BN83" s="203"/>
      <c r="BO83" s="203"/>
      <c r="BP83" s="203"/>
      <c r="BQ83" s="203"/>
      <c r="BR83" s="203"/>
      <c r="BS83" s="203"/>
      <c r="BT83" s="203"/>
      <c r="BU83" s="203"/>
      <c r="BV83" s="203"/>
      <c r="BW83" s="203"/>
      <c r="BX83" s="203"/>
    </row>
    <row r="84" spans="1:76" s="199" customFormat="1" ht="22.5" customHeight="1">
      <c r="A84" s="222">
        <v>79</v>
      </c>
      <c r="B84" s="222"/>
      <c r="C84" s="198"/>
      <c r="D84" s="193"/>
      <c r="E84" s="194"/>
      <c r="F84" s="222"/>
      <c r="G84" s="222"/>
      <c r="H84" s="193"/>
      <c r="I84" s="193"/>
      <c r="J84" s="193"/>
      <c r="K84" s="195"/>
      <c r="L84" s="196"/>
      <c r="M84" s="193"/>
      <c r="N84" s="197"/>
      <c r="O84" s="197"/>
      <c r="P84" s="197"/>
      <c r="Q84" s="197"/>
      <c r="R84" s="196"/>
      <c r="S84" s="195"/>
      <c r="T84" s="195"/>
      <c r="U84" s="197"/>
      <c r="V84" s="213"/>
      <c r="W84" s="198"/>
      <c r="X84" s="198"/>
      <c r="Y84" s="198"/>
      <c r="Z84" s="198"/>
      <c r="AA84" s="198"/>
      <c r="AB84" s="200"/>
      <c r="AC84" s="200"/>
      <c r="AD84" s="200"/>
      <c r="AE84" s="200"/>
      <c r="AF84" s="200"/>
      <c r="AG84" s="200"/>
      <c r="AH84" s="200"/>
      <c r="AI84" s="91"/>
      <c r="AJ84" s="91">
        <f t="shared" ca="1" si="3"/>
        <v>0</v>
      </c>
      <c r="AK84" s="91">
        <f t="shared" ca="1" si="4"/>
        <v>0</v>
      </c>
      <c r="AL84" s="203"/>
      <c r="AM84" s="203"/>
      <c r="AN84" s="203"/>
      <c r="AO84" s="203"/>
      <c r="AP84" s="203"/>
      <c r="AQ84" s="203"/>
      <c r="AR84" s="203"/>
      <c r="AS84" s="203"/>
      <c r="AT84" s="203"/>
      <c r="AU84" s="203"/>
      <c r="AV84" s="203"/>
      <c r="AW84" s="203"/>
      <c r="AX84" s="203"/>
      <c r="AY84" s="203"/>
      <c r="AZ84" s="203"/>
      <c r="BA84" s="203"/>
      <c r="BB84" s="203"/>
      <c r="BC84" s="203"/>
      <c r="BD84" s="203"/>
      <c r="BE84" s="203"/>
      <c r="BF84" s="203"/>
      <c r="BG84" s="203"/>
      <c r="BH84" s="203"/>
      <c r="BI84" s="203"/>
      <c r="BJ84" s="203"/>
      <c r="BK84" s="203"/>
      <c r="BL84" s="203"/>
      <c r="BM84" s="203"/>
      <c r="BN84" s="203"/>
      <c r="BO84" s="203"/>
      <c r="BP84" s="203"/>
      <c r="BQ84" s="203"/>
      <c r="BR84" s="203"/>
      <c r="BS84" s="203"/>
      <c r="BT84" s="203"/>
      <c r="BU84" s="203"/>
      <c r="BV84" s="203"/>
      <c r="BW84" s="203"/>
      <c r="BX84" s="203"/>
    </row>
    <row r="85" spans="1:76" s="199" customFormat="1" ht="22.5" customHeight="1">
      <c r="A85" s="222">
        <v>80</v>
      </c>
      <c r="B85" s="222"/>
      <c r="C85" s="198"/>
      <c r="D85" s="193"/>
      <c r="E85" s="194"/>
      <c r="F85" s="222"/>
      <c r="G85" s="222"/>
      <c r="H85" s="193"/>
      <c r="I85" s="193"/>
      <c r="J85" s="193"/>
      <c r="K85" s="195"/>
      <c r="L85" s="196"/>
      <c r="M85" s="193"/>
      <c r="N85" s="197"/>
      <c r="O85" s="197"/>
      <c r="P85" s="197"/>
      <c r="Q85" s="197"/>
      <c r="R85" s="196"/>
      <c r="S85" s="195"/>
      <c r="T85" s="195"/>
      <c r="U85" s="197"/>
      <c r="V85" s="213"/>
      <c r="W85" s="198"/>
      <c r="X85" s="198"/>
      <c r="Y85" s="198"/>
      <c r="Z85" s="198"/>
      <c r="AA85" s="198"/>
      <c r="AB85" s="200"/>
      <c r="AC85" s="200"/>
      <c r="AD85" s="200"/>
      <c r="AE85" s="200"/>
      <c r="AF85" s="200"/>
      <c r="AG85" s="200"/>
      <c r="AH85" s="200"/>
      <c r="AI85" s="91"/>
      <c r="AJ85" s="91">
        <f t="shared" ca="1" si="3"/>
        <v>0</v>
      </c>
      <c r="AK85" s="91">
        <f t="shared" ca="1" si="4"/>
        <v>0</v>
      </c>
      <c r="AL85" s="203"/>
      <c r="AM85" s="203"/>
      <c r="AN85" s="203"/>
      <c r="AO85" s="203"/>
      <c r="AP85" s="203"/>
      <c r="AQ85" s="203"/>
      <c r="AR85" s="203"/>
      <c r="AS85" s="203"/>
      <c r="AT85" s="203"/>
      <c r="AU85" s="203"/>
      <c r="AV85" s="203"/>
      <c r="AW85" s="203"/>
      <c r="AX85" s="203"/>
      <c r="AY85" s="203"/>
      <c r="AZ85" s="203"/>
      <c r="BA85" s="203"/>
      <c r="BB85" s="203"/>
      <c r="BC85" s="203"/>
      <c r="BD85" s="203"/>
      <c r="BE85" s="203"/>
      <c r="BF85" s="203"/>
      <c r="BG85" s="203"/>
      <c r="BH85" s="203"/>
      <c r="BI85" s="203"/>
      <c r="BJ85" s="203"/>
      <c r="BK85" s="203"/>
      <c r="BL85" s="203"/>
      <c r="BM85" s="203"/>
      <c r="BN85" s="203"/>
      <c r="BO85" s="203"/>
      <c r="BP85" s="203"/>
      <c r="BQ85" s="203"/>
      <c r="BR85" s="203"/>
      <c r="BS85" s="203"/>
      <c r="BT85" s="203"/>
      <c r="BU85" s="203"/>
      <c r="BV85" s="203"/>
      <c r="BW85" s="203"/>
      <c r="BX85" s="203"/>
    </row>
    <row r="86" spans="1:76" s="199" customFormat="1" ht="22.5" customHeight="1">
      <c r="A86" s="222">
        <v>81</v>
      </c>
      <c r="B86" s="222"/>
      <c r="C86" s="198"/>
      <c r="D86" s="193"/>
      <c r="E86" s="194"/>
      <c r="F86" s="222"/>
      <c r="G86" s="222"/>
      <c r="H86" s="193"/>
      <c r="I86" s="193"/>
      <c r="J86" s="193"/>
      <c r="K86" s="195"/>
      <c r="L86" s="196"/>
      <c r="M86" s="193"/>
      <c r="N86" s="197"/>
      <c r="O86" s="197"/>
      <c r="P86" s="197"/>
      <c r="Q86" s="197"/>
      <c r="R86" s="196"/>
      <c r="S86" s="195"/>
      <c r="T86" s="195"/>
      <c r="U86" s="197"/>
      <c r="V86" s="213"/>
      <c r="W86" s="198"/>
      <c r="X86" s="198"/>
      <c r="Y86" s="198"/>
      <c r="Z86" s="198"/>
      <c r="AA86" s="198"/>
      <c r="AB86" s="200"/>
      <c r="AC86" s="200"/>
      <c r="AD86" s="200"/>
      <c r="AE86" s="200"/>
      <c r="AF86" s="200"/>
      <c r="AG86" s="200"/>
      <c r="AH86" s="200"/>
      <c r="AI86" s="91"/>
      <c r="AJ86" s="91">
        <f t="shared" ca="1" si="3"/>
        <v>0</v>
      </c>
      <c r="AK86" s="91">
        <f t="shared" ca="1" si="4"/>
        <v>0</v>
      </c>
      <c r="AL86" s="203"/>
      <c r="AM86" s="203"/>
      <c r="AN86" s="203"/>
      <c r="AO86" s="203"/>
      <c r="AP86" s="203"/>
      <c r="AQ86" s="203"/>
      <c r="AR86" s="203"/>
      <c r="AS86" s="203"/>
      <c r="AT86" s="203"/>
      <c r="AU86" s="203"/>
      <c r="AV86" s="203"/>
      <c r="AW86" s="203"/>
      <c r="AX86" s="203"/>
      <c r="AY86" s="203"/>
      <c r="AZ86" s="203"/>
      <c r="BA86" s="203"/>
      <c r="BB86" s="203"/>
      <c r="BC86" s="203"/>
      <c r="BD86" s="203"/>
      <c r="BE86" s="203"/>
      <c r="BF86" s="203"/>
      <c r="BG86" s="203"/>
      <c r="BH86" s="203"/>
      <c r="BI86" s="203"/>
      <c r="BJ86" s="203"/>
      <c r="BK86" s="203"/>
      <c r="BL86" s="203"/>
      <c r="BM86" s="203"/>
      <c r="BN86" s="203"/>
      <c r="BO86" s="203"/>
      <c r="BP86" s="203"/>
      <c r="BQ86" s="203"/>
      <c r="BR86" s="203"/>
      <c r="BS86" s="203"/>
      <c r="BT86" s="203"/>
      <c r="BU86" s="203"/>
      <c r="BV86" s="203"/>
      <c r="BW86" s="203"/>
      <c r="BX86" s="203"/>
    </row>
    <row r="87" spans="1:76" s="199" customFormat="1" ht="22.5" customHeight="1">
      <c r="A87" s="222">
        <v>82</v>
      </c>
      <c r="B87" s="222"/>
      <c r="C87" s="198"/>
      <c r="D87" s="193"/>
      <c r="E87" s="194"/>
      <c r="F87" s="222"/>
      <c r="G87" s="222"/>
      <c r="H87" s="193"/>
      <c r="I87" s="193"/>
      <c r="J87" s="193"/>
      <c r="K87" s="195"/>
      <c r="L87" s="196"/>
      <c r="M87" s="193"/>
      <c r="N87" s="197"/>
      <c r="O87" s="197"/>
      <c r="P87" s="197"/>
      <c r="Q87" s="197"/>
      <c r="R87" s="196"/>
      <c r="S87" s="195"/>
      <c r="T87" s="195"/>
      <c r="U87" s="197"/>
      <c r="V87" s="213"/>
      <c r="W87" s="198"/>
      <c r="X87" s="198"/>
      <c r="Y87" s="198"/>
      <c r="Z87" s="198"/>
      <c r="AA87" s="198"/>
      <c r="AB87" s="200"/>
      <c r="AC87" s="200"/>
      <c r="AD87" s="200"/>
      <c r="AE87" s="200"/>
      <c r="AF87" s="200"/>
      <c r="AG87" s="200"/>
      <c r="AH87" s="200"/>
      <c r="AI87" s="91"/>
      <c r="AJ87" s="91">
        <f t="shared" ca="1" si="3"/>
        <v>0</v>
      </c>
      <c r="AK87" s="91">
        <f t="shared" ca="1" si="4"/>
        <v>0</v>
      </c>
      <c r="AL87" s="203"/>
      <c r="AM87" s="203"/>
      <c r="AN87" s="203"/>
      <c r="AO87" s="203"/>
      <c r="AP87" s="203"/>
      <c r="AQ87" s="203"/>
      <c r="AR87" s="203"/>
      <c r="AS87" s="203"/>
      <c r="AT87" s="203"/>
      <c r="AU87" s="203"/>
      <c r="AV87" s="203"/>
      <c r="AW87" s="203"/>
      <c r="AX87" s="203"/>
      <c r="AY87" s="203"/>
      <c r="AZ87" s="203"/>
      <c r="BA87" s="203"/>
      <c r="BB87" s="203"/>
      <c r="BC87" s="203"/>
      <c r="BD87" s="203"/>
      <c r="BE87" s="203"/>
      <c r="BF87" s="203"/>
      <c r="BG87" s="203"/>
      <c r="BH87" s="203"/>
      <c r="BI87" s="203"/>
      <c r="BJ87" s="203"/>
      <c r="BK87" s="203"/>
      <c r="BL87" s="203"/>
      <c r="BM87" s="203"/>
      <c r="BN87" s="203"/>
      <c r="BO87" s="203"/>
      <c r="BP87" s="203"/>
      <c r="BQ87" s="203"/>
      <c r="BR87" s="203"/>
      <c r="BS87" s="203"/>
      <c r="BT87" s="203"/>
      <c r="BU87" s="203"/>
      <c r="BV87" s="203"/>
      <c r="BW87" s="203"/>
      <c r="BX87" s="203"/>
    </row>
    <row r="88" spans="1:76" s="199" customFormat="1" ht="22.5" customHeight="1">
      <c r="A88" s="222">
        <v>83</v>
      </c>
      <c r="B88" s="222"/>
      <c r="C88" s="198"/>
      <c r="D88" s="193"/>
      <c r="E88" s="194"/>
      <c r="F88" s="222"/>
      <c r="G88" s="222"/>
      <c r="H88" s="193"/>
      <c r="I88" s="193"/>
      <c r="J88" s="193"/>
      <c r="K88" s="195"/>
      <c r="L88" s="196"/>
      <c r="M88" s="193"/>
      <c r="N88" s="197"/>
      <c r="O88" s="197"/>
      <c r="P88" s="197"/>
      <c r="Q88" s="197"/>
      <c r="R88" s="196"/>
      <c r="S88" s="195"/>
      <c r="T88" s="195"/>
      <c r="U88" s="197"/>
      <c r="V88" s="213"/>
      <c r="W88" s="198"/>
      <c r="X88" s="198"/>
      <c r="Y88" s="198"/>
      <c r="Z88" s="198"/>
      <c r="AA88" s="198"/>
      <c r="AB88" s="200"/>
      <c r="AC88" s="200"/>
      <c r="AD88" s="200"/>
      <c r="AE88" s="200"/>
      <c r="AF88" s="200"/>
      <c r="AG88" s="200"/>
      <c r="AH88" s="200"/>
      <c r="AI88" s="91"/>
      <c r="AJ88" s="91">
        <f t="shared" ca="1" si="3"/>
        <v>0</v>
      </c>
      <c r="AK88" s="91">
        <f t="shared" ca="1" si="4"/>
        <v>0</v>
      </c>
      <c r="AL88" s="203"/>
      <c r="AM88" s="203"/>
      <c r="AN88" s="203"/>
      <c r="AO88" s="203"/>
      <c r="AP88" s="203"/>
      <c r="AQ88" s="203"/>
      <c r="AR88" s="203"/>
      <c r="AS88" s="203"/>
      <c r="AT88" s="203"/>
      <c r="AU88" s="203"/>
      <c r="AV88" s="203"/>
      <c r="AW88" s="203"/>
      <c r="AX88" s="203"/>
      <c r="AY88" s="203"/>
      <c r="AZ88" s="203"/>
      <c r="BA88" s="203"/>
      <c r="BB88" s="203"/>
      <c r="BC88" s="203"/>
      <c r="BD88" s="203"/>
      <c r="BE88" s="203"/>
      <c r="BF88" s="203"/>
      <c r="BG88" s="203"/>
      <c r="BH88" s="203"/>
      <c r="BI88" s="203"/>
      <c r="BJ88" s="203"/>
      <c r="BK88" s="203"/>
      <c r="BL88" s="203"/>
      <c r="BM88" s="203"/>
      <c r="BN88" s="203"/>
      <c r="BO88" s="203"/>
      <c r="BP88" s="203"/>
      <c r="BQ88" s="203"/>
      <c r="BR88" s="203"/>
      <c r="BS88" s="203"/>
      <c r="BT88" s="203"/>
      <c r="BU88" s="203"/>
      <c r="BV88" s="203"/>
      <c r="BW88" s="203"/>
      <c r="BX88" s="203"/>
    </row>
    <row r="89" spans="1:76" s="199" customFormat="1" ht="22.5" customHeight="1">
      <c r="A89" s="222">
        <v>84</v>
      </c>
      <c r="B89" s="222"/>
      <c r="C89" s="198"/>
      <c r="D89" s="193"/>
      <c r="E89" s="194"/>
      <c r="F89" s="222"/>
      <c r="G89" s="222"/>
      <c r="H89" s="193"/>
      <c r="I89" s="193"/>
      <c r="J89" s="193"/>
      <c r="K89" s="195"/>
      <c r="L89" s="196"/>
      <c r="M89" s="193"/>
      <c r="N89" s="197"/>
      <c r="O89" s="197"/>
      <c r="P89" s="197"/>
      <c r="Q89" s="197"/>
      <c r="R89" s="196"/>
      <c r="S89" s="195"/>
      <c r="T89" s="195"/>
      <c r="U89" s="197"/>
      <c r="V89" s="213"/>
      <c r="W89" s="198"/>
      <c r="X89" s="198"/>
      <c r="Y89" s="198"/>
      <c r="Z89" s="198"/>
      <c r="AA89" s="198"/>
      <c r="AB89" s="200"/>
      <c r="AC89" s="200"/>
      <c r="AD89" s="200"/>
      <c r="AE89" s="200"/>
      <c r="AF89" s="200"/>
      <c r="AG89" s="200"/>
      <c r="AH89" s="200"/>
      <c r="AI89" s="91"/>
      <c r="AJ89" s="91">
        <f t="shared" ca="1" si="3"/>
        <v>0</v>
      </c>
      <c r="AK89" s="91">
        <f t="shared" ca="1" si="4"/>
        <v>0</v>
      </c>
      <c r="AL89" s="203"/>
      <c r="AM89" s="203"/>
      <c r="AN89" s="203"/>
      <c r="AO89" s="203"/>
      <c r="AP89" s="203"/>
      <c r="AQ89" s="203"/>
      <c r="AR89" s="203"/>
      <c r="AS89" s="203"/>
      <c r="AT89" s="203"/>
      <c r="AU89" s="203"/>
      <c r="AV89" s="203"/>
      <c r="AW89" s="203"/>
      <c r="AX89" s="203"/>
      <c r="AY89" s="203"/>
      <c r="AZ89" s="203"/>
      <c r="BA89" s="203"/>
      <c r="BB89" s="203"/>
      <c r="BC89" s="203"/>
      <c r="BD89" s="203"/>
      <c r="BE89" s="203"/>
      <c r="BF89" s="203"/>
      <c r="BG89" s="203"/>
      <c r="BH89" s="203"/>
      <c r="BI89" s="203"/>
      <c r="BJ89" s="203"/>
      <c r="BK89" s="203"/>
      <c r="BL89" s="203"/>
      <c r="BM89" s="203"/>
      <c r="BN89" s="203"/>
      <c r="BO89" s="203"/>
      <c r="BP89" s="203"/>
      <c r="BQ89" s="203"/>
      <c r="BR89" s="203"/>
      <c r="BS89" s="203"/>
      <c r="BT89" s="203"/>
      <c r="BU89" s="203"/>
      <c r="BV89" s="203"/>
      <c r="BW89" s="203"/>
      <c r="BX89" s="203"/>
    </row>
    <row r="90" spans="1:76" s="199" customFormat="1" ht="22.5" customHeight="1">
      <c r="A90" s="222">
        <v>85</v>
      </c>
      <c r="B90" s="222"/>
      <c r="C90" s="198"/>
      <c r="D90" s="193"/>
      <c r="E90" s="194"/>
      <c r="F90" s="222"/>
      <c r="G90" s="222"/>
      <c r="H90" s="193"/>
      <c r="I90" s="193"/>
      <c r="J90" s="193"/>
      <c r="K90" s="195"/>
      <c r="L90" s="196"/>
      <c r="M90" s="193"/>
      <c r="N90" s="197"/>
      <c r="O90" s="197"/>
      <c r="P90" s="197"/>
      <c r="Q90" s="197"/>
      <c r="R90" s="196"/>
      <c r="S90" s="195"/>
      <c r="T90" s="195"/>
      <c r="U90" s="197"/>
      <c r="V90" s="213"/>
      <c r="W90" s="198"/>
      <c r="X90" s="198"/>
      <c r="Y90" s="198"/>
      <c r="Z90" s="198"/>
      <c r="AA90" s="198"/>
      <c r="AB90" s="200"/>
      <c r="AC90" s="200"/>
      <c r="AD90" s="200"/>
      <c r="AE90" s="200"/>
      <c r="AF90" s="200"/>
      <c r="AG90" s="200"/>
      <c r="AH90" s="200"/>
      <c r="AI90" s="91"/>
      <c r="AJ90" s="91">
        <f t="shared" ca="1" si="3"/>
        <v>0</v>
      </c>
      <c r="AK90" s="91">
        <f t="shared" ca="1" si="4"/>
        <v>0</v>
      </c>
      <c r="AL90" s="203"/>
      <c r="AM90" s="203"/>
      <c r="AN90" s="203"/>
      <c r="AO90" s="203"/>
      <c r="AP90" s="203"/>
      <c r="AQ90" s="203"/>
      <c r="AR90" s="203"/>
      <c r="AS90" s="203"/>
      <c r="AT90" s="203"/>
      <c r="AU90" s="203"/>
      <c r="AV90" s="203"/>
      <c r="AW90" s="203"/>
      <c r="AX90" s="203"/>
      <c r="AY90" s="203"/>
      <c r="AZ90" s="203"/>
      <c r="BA90" s="203"/>
      <c r="BB90" s="203"/>
      <c r="BC90" s="203"/>
      <c r="BD90" s="203"/>
      <c r="BE90" s="203"/>
      <c r="BF90" s="203"/>
      <c r="BG90" s="203"/>
      <c r="BH90" s="203"/>
      <c r="BI90" s="203"/>
      <c r="BJ90" s="203"/>
      <c r="BK90" s="203"/>
      <c r="BL90" s="203"/>
      <c r="BM90" s="203"/>
      <c r="BN90" s="203"/>
      <c r="BO90" s="203"/>
      <c r="BP90" s="203"/>
      <c r="BQ90" s="203"/>
      <c r="BR90" s="203"/>
      <c r="BS90" s="203"/>
      <c r="BT90" s="203"/>
      <c r="BU90" s="203"/>
      <c r="BV90" s="203"/>
      <c r="BW90" s="203"/>
      <c r="BX90" s="203"/>
    </row>
    <row r="91" spans="1:76" s="199" customFormat="1" ht="22.5" customHeight="1">
      <c r="A91" s="222">
        <v>86</v>
      </c>
      <c r="B91" s="222"/>
      <c r="C91" s="198"/>
      <c r="D91" s="193"/>
      <c r="E91" s="194"/>
      <c r="F91" s="222"/>
      <c r="G91" s="222"/>
      <c r="H91" s="193"/>
      <c r="I91" s="193"/>
      <c r="J91" s="193"/>
      <c r="K91" s="195"/>
      <c r="L91" s="196"/>
      <c r="M91" s="193"/>
      <c r="N91" s="197"/>
      <c r="O91" s="197"/>
      <c r="P91" s="197"/>
      <c r="Q91" s="197"/>
      <c r="R91" s="196"/>
      <c r="S91" s="195"/>
      <c r="T91" s="195"/>
      <c r="U91" s="197"/>
      <c r="V91" s="213"/>
      <c r="W91" s="198"/>
      <c r="X91" s="198"/>
      <c r="Y91" s="198"/>
      <c r="Z91" s="198"/>
      <c r="AA91" s="198"/>
      <c r="AB91" s="200"/>
      <c r="AC91" s="200"/>
      <c r="AD91" s="200"/>
      <c r="AE91" s="200"/>
      <c r="AF91" s="200"/>
      <c r="AG91" s="200"/>
      <c r="AH91" s="200"/>
      <c r="AI91" s="91"/>
      <c r="AJ91" s="91">
        <f t="shared" ca="1" si="3"/>
        <v>0</v>
      </c>
      <c r="AK91" s="91">
        <f t="shared" ca="1" si="4"/>
        <v>0</v>
      </c>
      <c r="AL91" s="203"/>
      <c r="AM91" s="203"/>
      <c r="AN91" s="203"/>
      <c r="AO91" s="203"/>
      <c r="AP91" s="203"/>
      <c r="AQ91" s="203"/>
      <c r="AR91" s="203"/>
      <c r="AS91" s="203"/>
      <c r="AT91" s="203"/>
      <c r="AU91" s="203"/>
      <c r="AV91" s="203"/>
      <c r="AW91" s="203"/>
      <c r="AX91" s="203"/>
      <c r="AY91" s="203"/>
      <c r="AZ91" s="203"/>
      <c r="BA91" s="203"/>
      <c r="BB91" s="203"/>
      <c r="BC91" s="203"/>
      <c r="BD91" s="203"/>
      <c r="BE91" s="203"/>
      <c r="BF91" s="203"/>
      <c r="BG91" s="203"/>
      <c r="BH91" s="203"/>
      <c r="BI91" s="203"/>
      <c r="BJ91" s="203"/>
      <c r="BK91" s="203"/>
      <c r="BL91" s="203"/>
      <c r="BM91" s="203"/>
      <c r="BN91" s="203"/>
      <c r="BO91" s="203"/>
      <c r="BP91" s="203"/>
      <c r="BQ91" s="203"/>
      <c r="BR91" s="203"/>
      <c r="BS91" s="203"/>
      <c r="BT91" s="203"/>
      <c r="BU91" s="203"/>
      <c r="BV91" s="203"/>
      <c r="BW91" s="203"/>
      <c r="BX91" s="203"/>
    </row>
    <row r="92" spans="1:76" s="199" customFormat="1" ht="22.5" customHeight="1">
      <c r="A92" s="222">
        <v>87</v>
      </c>
      <c r="B92" s="222"/>
      <c r="C92" s="198"/>
      <c r="D92" s="193"/>
      <c r="E92" s="194"/>
      <c r="F92" s="222"/>
      <c r="G92" s="222"/>
      <c r="H92" s="193"/>
      <c r="I92" s="193"/>
      <c r="J92" s="193"/>
      <c r="K92" s="195"/>
      <c r="L92" s="196"/>
      <c r="M92" s="193"/>
      <c r="N92" s="197"/>
      <c r="O92" s="197"/>
      <c r="P92" s="197"/>
      <c r="Q92" s="197"/>
      <c r="R92" s="196"/>
      <c r="S92" s="195"/>
      <c r="T92" s="195"/>
      <c r="U92" s="197"/>
      <c r="V92" s="213"/>
      <c r="W92" s="198"/>
      <c r="X92" s="198"/>
      <c r="Y92" s="198"/>
      <c r="Z92" s="198"/>
      <c r="AA92" s="198"/>
      <c r="AB92" s="200"/>
      <c r="AC92" s="200"/>
      <c r="AD92" s="200"/>
      <c r="AE92" s="200"/>
      <c r="AF92" s="200"/>
      <c r="AG92" s="200"/>
      <c r="AH92" s="200"/>
      <c r="AI92" s="91"/>
      <c r="AJ92" s="91">
        <f t="shared" ca="1" si="3"/>
        <v>0</v>
      </c>
      <c r="AK92" s="91">
        <f t="shared" ca="1" si="4"/>
        <v>0</v>
      </c>
      <c r="AL92" s="203"/>
      <c r="AM92" s="203"/>
      <c r="AN92" s="203"/>
      <c r="AO92" s="203"/>
      <c r="AP92" s="203"/>
      <c r="AQ92" s="203"/>
      <c r="AR92" s="203"/>
      <c r="AS92" s="203"/>
      <c r="AT92" s="203"/>
      <c r="AU92" s="203"/>
      <c r="AV92" s="203"/>
      <c r="AW92" s="203"/>
      <c r="AX92" s="203"/>
      <c r="AY92" s="203"/>
      <c r="AZ92" s="203"/>
      <c r="BA92" s="203"/>
      <c r="BB92" s="203"/>
      <c r="BC92" s="203"/>
      <c r="BD92" s="203"/>
      <c r="BE92" s="203"/>
      <c r="BF92" s="203"/>
      <c r="BG92" s="203"/>
      <c r="BH92" s="203"/>
      <c r="BI92" s="203"/>
      <c r="BJ92" s="203"/>
      <c r="BK92" s="203"/>
      <c r="BL92" s="203"/>
      <c r="BM92" s="203"/>
      <c r="BN92" s="203"/>
      <c r="BO92" s="203"/>
      <c r="BP92" s="203"/>
      <c r="BQ92" s="203"/>
      <c r="BR92" s="203"/>
      <c r="BS92" s="203"/>
      <c r="BT92" s="203"/>
      <c r="BU92" s="203"/>
      <c r="BV92" s="203"/>
      <c r="BW92" s="203"/>
      <c r="BX92" s="203"/>
    </row>
    <row r="93" spans="1:76" s="199" customFormat="1" ht="22.5" customHeight="1">
      <c r="A93" s="222">
        <v>88</v>
      </c>
      <c r="B93" s="222"/>
      <c r="C93" s="198"/>
      <c r="D93" s="193"/>
      <c r="E93" s="194"/>
      <c r="F93" s="222"/>
      <c r="G93" s="222"/>
      <c r="H93" s="193"/>
      <c r="I93" s="193"/>
      <c r="J93" s="193"/>
      <c r="K93" s="195"/>
      <c r="L93" s="196"/>
      <c r="M93" s="193"/>
      <c r="N93" s="197"/>
      <c r="O93" s="197"/>
      <c r="P93" s="197"/>
      <c r="Q93" s="197"/>
      <c r="R93" s="196"/>
      <c r="S93" s="195"/>
      <c r="T93" s="195"/>
      <c r="U93" s="197"/>
      <c r="V93" s="213"/>
      <c r="W93" s="198"/>
      <c r="X93" s="198"/>
      <c r="Y93" s="198"/>
      <c r="Z93" s="198"/>
      <c r="AA93" s="198"/>
      <c r="AB93" s="200"/>
      <c r="AC93" s="200"/>
      <c r="AD93" s="200"/>
      <c r="AE93" s="200"/>
      <c r="AF93" s="200"/>
      <c r="AG93" s="200"/>
      <c r="AH93" s="200"/>
      <c r="AI93" s="91"/>
      <c r="AJ93" s="91">
        <f t="shared" ca="1" si="3"/>
        <v>0</v>
      </c>
      <c r="AK93" s="91">
        <f t="shared" ca="1" si="4"/>
        <v>0</v>
      </c>
      <c r="AL93" s="203"/>
      <c r="AM93" s="203"/>
      <c r="AN93" s="203"/>
      <c r="AO93" s="203"/>
      <c r="AP93" s="203"/>
      <c r="AQ93" s="203"/>
      <c r="AR93" s="203"/>
      <c r="AS93" s="203"/>
      <c r="AT93" s="203"/>
      <c r="AU93" s="203"/>
      <c r="AV93" s="203"/>
      <c r="AW93" s="203"/>
      <c r="AX93" s="203"/>
      <c r="AY93" s="203"/>
      <c r="AZ93" s="203"/>
      <c r="BA93" s="203"/>
      <c r="BB93" s="203"/>
      <c r="BC93" s="203"/>
      <c r="BD93" s="203"/>
      <c r="BE93" s="203"/>
      <c r="BF93" s="203"/>
      <c r="BG93" s="203"/>
      <c r="BH93" s="203"/>
      <c r="BI93" s="203"/>
      <c r="BJ93" s="203"/>
      <c r="BK93" s="203"/>
      <c r="BL93" s="203"/>
      <c r="BM93" s="203"/>
      <c r="BN93" s="203"/>
      <c r="BO93" s="203"/>
      <c r="BP93" s="203"/>
      <c r="BQ93" s="203"/>
      <c r="BR93" s="203"/>
      <c r="BS93" s="203"/>
      <c r="BT93" s="203"/>
      <c r="BU93" s="203"/>
      <c r="BV93" s="203"/>
      <c r="BW93" s="203"/>
      <c r="BX93" s="203"/>
    </row>
    <row r="94" spans="1:76" s="199" customFormat="1" ht="22.5" customHeight="1">
      <c r="A94" s="222">
        <v>89</v>
      </c>
      <c r="B94" s="222"/>
      <c r="C94" s="198"/>
      <c r="D94" s="193"/>
      <c r="E94" s="194"/>
      <c r="F94" s="222"/>
      <c r="G94" s="222"/>
      <c r="H94" s="193"/>
      <c r="I94" s="193"/>
      <c r="J94" s="193"/>
      <c r="K94" s="195"/>
      <c r="L94" s="196"/>
      <c r="M94" s="193"/>
      <c r="N94" s="197"/>
      <c r="O94" s="197"/>
      <c r="P94" s="197"/>
      <c r="Q94" s="197"/>
      <c r="R94" s="196"/>
      <c r="S94" s="195"/>
      <c r="T94" s="195"/>
      <c r="U94" s="197"/>
      <c r="V94" s="213"/>
      <c r="W94" s="198"/>
      <c r="X94" s="198"/>
      <c r="Y94" s="198"/>
      <c r="Z94" s="198"/>
      <c r="AA94" s="198"/>
      <c r="AB94" s="200"/>
      <c r="AC94" s="200"/>
      <c r="AD94" s="200"/>
      <c r="AE94" s="200"/>
      <c r="AF94" s="200"/>
      <c r="AG94" s="200"/>
      <c r="AH94" s="200"/>
      <c r="AI94" s="91"/>
      <c r="AJ94" s="91">
        <f t="shared" ca="1" si="3"/>
        <v>0</v>
      </c>
      <c r="AK94" s="91">
        <f t="shared" ca="1" si="4"/>
        <v>0</v>
      </c>
      <c r="AL94" s="203"/>
      <c r="AM94" s="203"/>
      <c r="AN94" s="203"/>
      <c r="AO94" s="203"/>
      <c r="AP94" s="203"/>
      <c r="AQ94" s="203"/>
      <c r="AR94" s="203"/>
      <c r="AS94" s="203"/>
      <c r="AT94" s="203"/>
      <c r="AU94" s="203"/>
      <c r="AV94" s="203"/>
      <c r="AW94" s="203"/>
      <c r="AX94" s="203"/>
      <c r="AY94" s="203"/>
      <c r="AZ94" s="203"/>
      <c r="BA94" s="203"/>
      <c r="BB94" s="203"/>
      <c r="BC94" s="203"/>
      <c r="BD94" s="203"/>
      <c r="BE94" s="203"/>
      <c r="BF94" s="203"/>
      <c r="BG94" s="203"/>
      <c r="BH94" s="203"/>
      <c r="BI94" s="203"/>
      <c r="BJ94" s="203"/>
      <c r="BK94" s="203"/>
      <c r="BL94" s="203"/>
      <c r="BM94" s="203"/>
      <c r="BN94" s="203"/>
      <c r="BO94" s="203"/>
      <c r="BP94" s="203"/>
      <c r="BQ94" s="203"/>
      <c r="BR94" s="203"/>
      <c r="BS94" s="203"/>
      <c r="BT94" s="203"/>
      <c r="BU94" s="203"/>
      <c r="BV94" s="203"/>
      <c r="BW94" s="203"/>
      <c r="BX94" s="203"/>
    </row>
    <row r="95" spans="1:76" s="199" customFormat="1" ht="22.5" customHeight="1">
      <c r="A95" s="222">
        <v>90</v>
      </c>
      <c r="B95" s="222"/>
      <c r="C95" s="198"/>
      <c r="D95" s="193"/>
      <c r="E95" s="194"/>
      <c r="F95" s="222"/>
      <c r="G95" s="222"/>
      <c r="H95" s="193"/>
      <c r="I95" s="193"/>
      <c r="J95" s="193"/>
      <c r="K95" s="195"/>
      <c r="L95" s="196"/>
      <c r="M95" s="193"/>
      <c r="N95" s="197"/>
      <c r="O95" s="197"/>
      <c r="P95" s="197"/>
      <c r="Q95" s="197"/>
      <c r="R95" s="196"/>
      <c r="S95" s="195"/>
      <c r="T95" s="195"/>
      <c r="U95" s="197"/>
      <c r="V95" s="213"/>
      <c r="W95" s="198"/>
      <c r="X95" s="198"/>
      <c r="Y95" s="198"/>
      <c r="Z95" s="198"/>
      <c r="AA95" s="198"/>
      <c r="AB95" s="200"/>
      <c r="AC95" s="200"/>
      <c r="AD95" s="200"/>
      <c r="AE95" s="200"/>
      <c r="AF95" s="200"/>
      <c r="AG95" s="200"/>
      <c r="AH95" s="200"/>
      <c r="AI95" s="91"/>
      <c r="AJ95" s="91">
        <f t="shared" ca="1" si="3"/>
        <v>0</v>
      </c>
      <c r="AK95" s="91">
        <f t="shared" ca="1" si="4"/>
        <v>0</v>
      </c>
      <c r="AL95" s="203"/>
      <c r="AM95" s="203"/>
      <c r="AN95" s="203"/>
      <c r="AO95" s="203"/>
      <c r="AP95" s="203"/>
      <c r="AQ95" s="203"/>
      <c r="AR95" s="203"/>
      <c r="AS95" s="203"/>
      <c r="AT95" s="203"/>
      <c r="AU95" s="203"/>
      <c r="AV95" s="203"/>
      <c r="AW95" s="203"/>
      <c r="AX95" s="203"/>
      <c r="AY95" s="203"/>
      <c r="AZ95" s="203"/>
      <c r="BA95" s="203"/>
      <c r="BB95" s="203"/>
      <c r="BC95" s="203"/>
      <c r="BD95" s="203"/>
      <c r="BE95" s="203"/>
      <c r="BF95" s="203"/>
      <c r="BG95" s="203"/>
      <c r="BH95" s="203"/>
      <c r="BI95" s="203"/>
      <c r="BJ95" s="203"/>
      <c r="BK95" s="203"/>
      <c r="BL95" s="203"/>
      <c r="BM95" s="203"/>
      <c r="BN95" s="203"/>
      <c r="BO95" s="203"/>
      <c r="BP95" s="203"/>
      <c r="BQ95" s="203"/>
      <c r="BR95" s="203"/>
      <c r="BS95" s="203"/>
      <c r="BT95" s="203"/>
      <c r="BU95" s="203"/>
      <c r="BV95" s="203"/>
      <c r="BW95" s="203"/>
      <c r="BX95" s="203"/>
    </row>
    <row r="96" spans="1:76" s="199" customFormat="1" ht="22.5" customHeight="1">
      <c r="A96" s="222">
        <v>91</v>
      </c>
      <c r="B96" s="222"/>
      <c r="C96" s="198"/>
      <c r="D96" s="193"/>
      <c r="E96" s="194"/>
      <c r="F96" s="222"/>
      <c r="G96" s="222"/>
      <c r="H96" s="193"/>
      <c r="I96" s="193"/>
      <c r="J96" s="193"/>
      <c r="K96" s="195"/>
      <c r="L96" s="196"/>
      <c r="M96" s="193"/>
      <c r="N96" s="197"/>
      <c r="O96" s="197"/>
      <c r="P96" s="197"/>
      <c r="Q96" s="197"/>
      <c r="R96" s="196"/>
      <c r="S96" s="195"/>
      <c r="T96" s="195"/>
      <c r="U96" s="197"/>
      <c r="V96" s="213"/>
      <c r="W96" s="198"/>
      <c r="X96" s="198"/>
      <c r="Y96" s="198"/>
      <c r="Z96" s="198"/>
      <c r="AA96" s="198"/>
      <c r="AB96" s="200"/>
      <c r="AC96" s="200"/>
      <c r="AD96" s="200"/>
      <c r="AE96" s="200"/>
      <c r="AF96" s="200"/>
      <c r="AG96" s="200"/>
      <c r="AH96" s="200"/>
      <c r="AI96" s="91"/>
      <c r="AJ96" s="91">
        <f t="shared" ca="1" si="3"/>
        <v>0</v>
      </c>
      <c r="AK96" s="91">
        <f t="shared" ca="1" si="4"/>
        <v>0</v>
      </c>
      <c r="AL96" s="203"/>
      <c r="AM96" s="203"/>
      <c r="AN96" s="203"/>
      <c r="AO96" s="203"/>
      <c r="AP96" s="203"/>
      <c r="AQ96" s="203"/>
      <c r="AR96" s="203"/>
      <c r="AS96" s="203"/>
      <c r="AT96" s="203"/>
      <c r="AU96" s="203"/>
      <c r="AV96" s="203"/>
      <c r="AW96" s="203"/>
      <c r="AX96" s="203"/>
      <c r="AY96" s="203"/>
      <c r="AZ96" s="203"/>
      <c r="BA96" s="203"/>
      <c r="BB96" s="203"/>
      <c r="BC96" s="203"/>
      <c r="BD96" s="203"/>
      <c r="BE96" s="203"/>
      <c r="BF96" s="203"/>
      <c r="BG96" s="203"/>
      <c r="BH96" s="203"/>
      <c r="BI96" s="203"/>
      <c r="BJ96" s="203"/>
      <c r="BK96" s="203"/>
      <c r="BL96" s="203"/>
      <c r="BM96" s="203"/>
      <c r="BN96" s="203"/>
      <c r="BO96" s="203"/>
      <c r="BP96" s="203"/>
      <c r="BQ96" s="203"/>
      <c r="BR96" s="203"/>
      <c r="BS96" s="203"/>
      <c r="BT96" s="203"/>
      <c r="BU96" s="203"/>
      <c r="BV96" s="203"/>
      <c r="BW96" s="203"/>
      <c r="BX96" s="203"/>
    </row>
    <row r="97" spans="1:76" s="199" customFormat="1" ht="22.5" customHeight="1">
      <c r="A97" s="222">
        <v>92</v>
      </c>
      <c r="B97" s="222"/>
      <c r="C97" s="198"/>
      <c r="D97" s="193"/>
      <c r="E97" s="194"/>
      <c r="F97" s="222"/>
      <c r="G97" s="222"/>
      <c r="H97" s="193"/>
      <c r="I97" s="193"/>
      <c r="J97" s="193"/>
      <c r="K97" s="195"/>
      <c r="L97" s="196"/>
      <c r="M97" s="193"/>
      <c r="N97" s="197"/>
      <c r="O97" s="197"/>
      <c r="P97" s="197"/>
      <c r="Q97" s="197"/>
      <c r="R97" s="196"/>
      <c r="S97" s="195"/>
      <c r="T97" s="195"/>
      <c r="U97" s="197"/>
      <c r="V97" s="213"/>
      <c r="W97" s="198"/>
      <c r="X97" s="198"/>
      <c r="Y97" s="198"/>
      <c r="Z97" s="198"/>
      <c r="AA97" s="198"/>
      <c r="AB97" s="200"/>
      <c r="AC97" s="200"/>
      <c r="AD97" s="200"/>
      <c r="AE97" s="200"/>
      <c r="AF97" s="200"/>
      <c r="AG97" s="200"/>
      <c r="AH97" s="200"/>
      <c r="AI97" s="91"/>
      <c r="AJ97" s="91">
        <f t="shared" ca="1" si="3"/>
        <v>0</v>
      </c>
      <c r="AK97" s="91">
        <f t="shared" ca="1" si="4"/>
        <v>0</v>
      </c>
      <c r="AL97" s="203"/>
      <c r="AM97" s="203"/>
      <c r="AN97" s="203"/>
      <c r="AO97" s="203"/>
      <c r="AP97" s="203"/>
      <c r="AQ97" s="203"/>
      <c r="AR97" s="203"/>
      <c r="AS97" s="203"/>
      <c r="AT97" s="203"/>
      <c r="AU97" s="203"/>
      <c r="AV97" s="203"/>
      <c r="AW97" s="203"/>
      <c r="AX97" s="203"/>
      <c r="AY97" s="203"/>
      <c r="AZ97" s="203"/>
      <c r="BA97" s="203"/>
      <c r="BB97" s="203"/>
      <c r="BC97" s="203"/>
      <c r="BD97" s="203"/>
      <c r="BE97" s="203"/>
      <c r="BF97" s="203"/>
      <c r="BG97" s="203"/>
      <c r="BH97" s="203"/>
      <c r="BI97" s="203"/>
      <c r="BJ97" s="203"/>
      <c r="BK97" s="203"/>
      <c r="BL97" s="203"/>
      <c r="BM97" s="203"/>
      <c r="BN97" s="203"/>
      <c r="BO97" s="203"/>
      <c r="BP97" s="203"/>
      <c r="BQ97" s="203"/>
      <c r="BR97" s="203"/>
      <c r="BS97" s="203"/>
      <c r="BT97" s="203"/>
      <c r="BU97" s="203"/>
      <c r="BV97" s="203"/>
      <c r="BW97" s="203"/>
      <c r="BX97" s="203"/>
    </row>
    <row r="98" spans="1:76" s="199" customFormat="1" ht="22.5" customHeight="1">
      <c r="A98" s="222">
        <v>93</v>
      </c>
      <c r="B98" s="222"/>
      <c r="C98" s="198"/>
      <c r="D98" s="193"/>
      <c r="E98" s="194"/>
      <c r="F98" s="222"/>
      <c r="G98" s="222"/>
      <c r="H98" s="193"/>
      <c r="I98" s="193"/>
      <c r="J98" s="193"/>
      <c r="K98" s="195"/>
      <c r="L98" s="196"/>
      <c r="M98" s="193"/>
      <c r="N98" s="197"/>
      <c r="O98" s="197"/>
      <c r="P98" s="197"/>
      <c r="Q98" s="197"/>
      <c r="R98" s="196"/>
      <c r="S98" s="195"/>
      <c r="T98" s="195"/>
      <c r="U98" s="197"/>
      <c r="V98" s="213"/>
      <c r="W98" s="198"/>
      <c r="X98" s="198"/>
      <c r="Y98" s="198"/>
      <c r="Z98" s="198"/>
      <c r="AA98" s="198"/>
      <c r="AB98" s="200"/>
      <c r="AC98" s="200"/>
      <c r="AD98" s="200"/>
      <c r="AE98" s="200"/>
      <c r="AF98" s="200"/>
      <c r="AG98" s="200"/>
      <c r="AH98" s="200"/>
      <c r="AI98" s="91"/>
      <c r="AJ98" s="91">
        <f t="shared" ca="1" si="3"/>
        <v>0</v>
      </c>
      <c r="AK98" s="91">
        <f t="shared" ca="1" si="4"/>
        <v>0</v>
      </c>
      <c r="AL98" s="203"/>
      <c r="AM98" s="203"/>
      <c r="AN98" s="203"/>
      <c r="AO98" s="203"/>
      <c r="AP98" s="203"/>
      <c r="AQ98" s="203"/>
      <c r="AR98" s="203"/>
      <c r="AS98" s="203"/>
      <c r="AT98" s="203"/>
      <c r="AU98" s="203"/>
      <c r="AV98" s="203"/>
      <c r="AW98" s="203"/>
      <c r="AX98" s="203"/>
      <c r="AY98" s="203"/>
      <c r="AZ98" s="203"/>
      <c r="BA98" s="203"/>
      <c r="BB98" s="203"/>
      <c r="BC98" s="203"/>
      <c r="BD98" s="203"/>
      <c r="BE98" s="203"/>
      <c r="BF98" s="203"/>
      <c r="BG98" s="203"/>
      <c r="BH98" s="203"/>
      <c r="BI98" s="203"/>
      <c r="BJ98" s="203"/>
      <c r="BK98" s="203"/>
      <c r="BL98" s="203"/>
      <c r="BM98" s="203"/>
      <c r="BN98" s="203"/>
      <c r="BO98" s="203"/>
      <c r="BP98" s="203"/>
      <c r="BQ98" s="203"/>
      <c r="BR98" s="203"/>
      <c r="BS98" s="203"/>
      <c r="BT98" s="203"/>
      <c r="BU98" s="203"/>
      <c r="BV98" s="203"/>
      <c r="BW98" s="203"/>
      <c r="BX98" s="203"/>
    </row>
    <row r="99" spans="1:76" s="199" customFormat="1" ht="22.5" customHeight="1">
      <c r="A99" s="222">
        <v>94</v>
      </c>
      <c r="B99" s="222"/>
      <c r="C99" s="198"/>
      <c r="D99" s="193"/>
      <c r="E99" s="194"/>
      <c r="F99" s="222"/>
      <c r="G99" s="222"/>
      <c r="H99" s="193"/>
      <c r="I99" s="193"/>
      <c r="J99" s="193"/>
      <c r="K99" s="195"/>
      <c r="L99" s="196"/>
      <c r="M99" s="193"/>
      <c r="N99" s="197"/>
      <c r="O99" s="197"/>
      <c r="P99" s="197"/>
      <c r="Q99" s="197"/>
      <c r="R99" s="196"/>
      <c r="S99" s="195"/>
      <c r="T99" s="195"/>
      <c r="U99" s="197"/>
      <c r="V99" s="213"/>
      <c r="W99" s="198"/>
      <c r="X99" s="198"/>
      <c r="Y99" s="198"/>
      <c r="Z99" s="198"/>
      <c r="AA99" s="198"/>
      <c r="AB99" s="200"/>
      <c r="AC99" s="200"/>
      <c r="AD99" s="200"/>
      <c r="AE99" s="200"/>
      <c r="AF99" s="200"/>
      <c r="AG99" s="200"/>
      <c r="AH99" s="200"/>
      <c r="AI99" s="91"/>
      <c r="AJ99" s="91">
        <f t="shared" ca="1" si="3"/>
        <v>0</v>
      </c>
      <c r="AK99" s="91">
        <f t="shared" ca="1" si="4"/>
        <v>0</v>
      </c>
      <c r="AL99" s="203"/>
      <c r="AM99" s="203"/>
      <c r="AN99" s="203"/>
      <c r="AO99" s="203"/>
      <c r="AP99" s="203"/>
      <c r="AQ99" s="203"/>
      <c r="AR99" s="203"/>
      <c r="AS99" s="203"/>
      <c r="AT99" s="203"/>
      <c r="AU99" s="203"/>
      <c r="AV99" s="203"/>
      <c r="AW99" s="203"/>
      <c r="AX99" s="203"/>
      <c r="AY99" s="203"/>
      <c r="AZ99" s="203"/>
      <c r="BA99" s="203"/>
      <c r="BB99" s="203"/>
      <c r="BC99" s="203"/>
      <c r="BD99" s="203"/>
      <c r="BE99" s="203"/>
      <c r="BF99" s="203"/>
      <c r="BG99" s="203"/>
      <c r="BH99" s="203"/>
      <c r="BI99" s="203"/>
      <c r="BJ99" s="203"/>
      <c r="BK99" s="203"/>
      <c r="BL99" s="203"/>
      <c r="BM99" s="203"/>
      <c r="BN99" s="203"/>
      <c r="BO99" s="203"/>
      <c r="BP99" s="203"/>
      <c r="BQ99" s="203"/>
      <c r="BR99" s="203"/>
      <c r="BS99" s="203"/>
      <c r="BT99" s="203"/>
      <c r="BU99" s="203"/>
      <c r="BV99" s="203"/>
      <c r="BW99" s="203"/>
      <c r="BX99" s="203"/>
    </row>
    <row r="100" spans="1:76" s="199" customFormat="1" ht="22.5" customHeight="1">
      <c r="A100" s="222">
        <v>95</v>
      </c>
      <c r="B100" s="222"/>
      <c r="C100" s="198"/>
      <c r="D100" s="193"/>
      <c r="E100" s="194"/>
      <c r="F100" s="222"/>
      <c r="G100" s="222"/>
      <c r="H100" s="193"/>
      <c r="I100" s="193"/>
      <c r="J100" s="193"/>
      <c r="K100" s="195"/>
      <c r="L100" s="196"/>
      <c r="M100" s="193"/>
      <c r="N100" s="197"/>
      <c r="O100" s="197"/>
      <c r="P100" s="197"/>
      <c r="Q100" s="197"/>
      <c r="R100" s="196"/>
      <c r="S100" s="195"/>
      <c r="T100" s="195"/>
      <c r="U100" s="197"/>
      <c r="V100" s="213"/>
      <c r="W100" s="198"/>
      <c r="X100" s="198"/>
      <c r="Y100" s="198"/>
      <c r="Z100" s="198"/>
      <c r="AA100" s="198"/>
      <c r="AB100" s="200"/>
      <c r="AC100" s="200"/>
      <c r="AD100" s="200"/>
      <c r="AE100" s="200"/>
      <c r="AF100" s="200"/>
      <c r="AG100" s="200"/>
      <c r="AH100" s="200"/>
      <c r="AI100" s="91"/>
      <c r="AJ100" s="91">
        <f t="shared" ca="1" si="3"/>
        <v>0</v>
      </c>
      <c r="AK100" s="91">
        <f t="shared" ca="1" si="4"/>
        <v>0</v>
      </c>
      <c r="AL100" s="203"/>
      <c r="AM100" s="203"/>
      <c r="AN100" s="203"/>
      <c r="AO100" s="203"/>
      <c r="AP100" s="203"/>
      <c r="AQ100" s="203"/>
      <c r="AR100" s="203"/>
      <c r="AS100" s="203"/>
      <c r="AT100" s="203"/>
      <c r="AU100" s="203"/>
      <c r="AV100" s="203"/>
      <c r="AW100" s="203"/>
      <c r="AX100" s="203"/>
      <c r="AY100" s="203"/>
      <c r="AZ100" s="203"/>
      <c r="BA100" s="203"/>
      <c r="BB100" s="203"/>
      <c r="BC100" s="203"/>
      <c r="BD100" s="203"/>
      <c r="BE100" s="203"/>
      <c r="BF100" s="203"/>
      <c r="BG100" s="203"/>
      <c r="BH100" s="203"/>
      <c r="BI100" s="203"/>
      <c r="BJ100" s="203"/>
      <c r="BK100" s="203"/>
      <c r="BL100" s="203"/>
      <c r="BM100" s="203"/>
      <c r="BN100" s="203"/>
      <c r="BO100" s="203"/>
      <c r="BP100" s="203"/>
      <c r="BQ100" s="203"/>
      <c r="BR100" s="203"/>
      <c r="BS100" s="203"/>
      <c r="BT100" s="203"/>
      <c r="BU100" s="203"/>
      <c r="BV100" s="203"/>
      <c r="BW100" s="203"/>
      <c r="BX100" s="203"/>
    </row>
    <row r="101" spans="1:76" s="199" customFormat="1" ht="22.5" customHeight="1">
      <c r="A101" s="222">
        <v>96</v>
      </c>
      <c r="B101" s="222"/>
      <c r="C101" s="198"/>
      <c r="D101" s="193"/>
      <c r="E101" s="194"/>
      <c r="F101" s="222"/>
      <c r="G101" s="222"/>
      <c r="H101" s="193"/>
      <c r="I101" s="193"/>
      <c r="J101" s="193"/>
      <c r="K101" s="195"/>
      <c r="L101" s="196"/>
      <c r="M101" s="193"/>
      <c r="N101" s="197"/>
      <c r="O101" s="197"/>
      <c r="P101" s="197"/>
      <c r="Q101" s="197"/>
      <c r="R101" s="196"/>
      <c r="S101" s="195"/>
      <c r="T101" s="195"/>
      <c r="U101" s="197"/>
      <c r="V101" s="213"/>
      <c r="W101" s="198"/>
      <c r="X101" s="198"/>
      <c r="Y101" s="198"/>
      <c r="Z101" s="198"/>
      <c r="AA101" s="198"/>
      <c r="AB101" s="200"/>
      <c r="AC101" s="200"/>
      <c r="AD101" s="200"/>
      <c r="AE101" s="200"/>
      <c r="AF101" s="200"/>
      <c r="AG101" s="200"/>
      <c r="AH101" s="200"/>
      <c r="AI101" s="91"/>
      <c r="AJ101" s="91">
        <f t="shared" ca="1" si="3"/>
        <v>0</v>
      </c>
      <c r="AK101" s="91">
        <f t="shared" ca="1" si="4"/>
        <v>0</v>
      </c>
      <c r="AL101" s="203"/>
      <c r="AM101" s="203"/>
      <c r="AN101" s="203"/>
      <c r="AO101" s="203"/>
      <c r="AP101" s="203"/>
      <c r="AQ101" s="203"/>
      <c r="AR101" s="203"/>
      <c r="AS101" s="203"/>
      <c r="AT101" s="203"/>
      <c r="AU101" s="203"/>
      <c r="AV101" s="203"/>
      <c r="AW101" s="203"/>
      <c r="AX101" s="203"/>
      <c r="AY101" s="203"/>
      <c r="AZ101" s="203"/>
      <c r="BA101" s="203"/>
      <c r="BB101" s="203"/>
      <c r="BC101" s="203"/>
      <c r="BD101" s="203"/>
      <c r="BE101" s="203"/>
      <c r="BF101" s="203"/>
      <c r="BG101" s="203"/>
      <c r="BH101" s="203"/>
      <c r="BI101" s="203"/>
      <c r="BJ101" s="203"/>
      <c r="BK101" s="203"/>
      <c r="BL101" s="203"/>
      <c r="BM101" s="203"/>
      <c r="BN101" s="203"/>
      <c r="BO101" s="203"/>
      <c r="BP101" s="203"/>
      <c r="BQ101" s="203"/>
      <c r="BR101" s="203"/>
      <c r="BS101" s="203"/>
      <c r="BT101" s="203"/>
      <c r="BU101" s="203"/>
      <c r="BV101" s="203"/>
      <c r="BW101" s="203"/>
      <c r="BX101" s="203"/>
    </row>
    <row r="102" spans="1:76" s="199" customFormat="1" ht="22.5" customHeight="1">
      <c r="A102" s="222">
        <v>97</v>
      </c>
      <c r="B102" s="222"/>
      <c r="C102" s="198"/>
      <c r="D102" s="193"/>
      <c r="E102" s="194"/>
      <c r="F102" s="222"/>
      <c r="G102" s="222"/>
      <c r="H102" s="193"/>
      <c r="I102" s="193"/>
      <c r="J102" s="193"/>
      <c r="K102" s="195"/>
      <c r="L102" s="196"/>
      <c r="M102" s="193"/>
      <c r="N102" s="197"/>
      <c r="O102" s="197"/>
      <c r="P102" s="197"/>
      <c r="Q102" s="197"/>
      <c r="R102" s="196"/>
      <c r="S102" s="195"/>
      <c r="T102" s="195"/>
      <c r="U102" s="197"/>
      <c r="V102" s="213"/>
      <c r="W102" s="198"/>
      <c r="X102" s="198"/>
      <c r="Y102" s="198"/>
      <c r="Z102" s="198"/>
      <c r="AA102" s="198"/>
      <c r="AB102" s="200"/>
      <c r="AC102" s="200"/>
      <c r="AD102" s="200"/>
      <c r="AE102" s="200"/>
      <c r="AF102" s="200"/>
      <c r="AG102" s="200"/>
      <c r="AH102" s="200"/>
      <c r="AI102" s="91"/>
      <c r="AJ102" s="91">
        <f t="shared" ca="1" si="3"/>
        <v>0</v>
      </c>
      <c r="AK102" s="91">
        <f t="shared" ca="1" si="4"/>
        <v>0</v>
      </c>
      <c r="AL102" s="203"/>
      <c r="AM102" s="203"/>
      <c r="AN102" s="203"/>
      <c r="AO102" s="203"/>
      <c r="AP102" s="203"/>
      <c r="AQ102" s="203"/>
      <c r="AR102" s="203"/>
      <c r="AS102" s="203"/>
      <c r="AT102" s="203"/>
      <c r="AU102" s="203"/>
      <c r="AV102" s="203"/>
      <c r="AW102" s="203"/>
      <c r="AX102" s="203"/>
      <c r="AY102" s="203"/>
      <c r="AZ102" s="203"/>
      <c r="BA102" s="203"/>
      <c r="BB102" s="203"/>
      <c r="BC102" s="203"/>
      <c r="BD102" s="203"/>
      <c r="BE102" s="203"/>
      <c r="BF102" s="203"/>
      <c r="BG102" s="203"/>
      <c r="BH102" s="203"/>
      <c r="BI102" s="203"/>
      <c r="BJ102" s="203"/>
      <c r="BK102" s="203"/>
      <c r="BL102" s="203"/>
      <c r="BM102" s="203"/>
      <c r="BN102" s="203"/>
      <c r="BO102" s="203"/>
      <c r="BP102" s="203"/>
      <c r="BQ102" s="203"/>
      <c r="BR102" s="203"/>
      <c r="BS102" s="203"/>
      <c r="BT102" s="203"/>
      <c r="BU102" s="203"/>
      <c r="BV102" s="203"/>
      <c r="BW102" s="203"/>
      <c r="BX102" s="203"/>
    </row>
    <row r="103" spans="1:76" s="199" customFormat="1" ht="22.5" customHeight="1">
      <c r="A103" s="222">
        <v>98</v>
      </c>
      <c r="B103" s="222"/>
      <c r="C103" s="198"/>
      <c r="D103" s="193"/>
      <c r="E103" s="194"/>
      <c r="F103" s="222"/>
      <c r="G103" s="222"/>
      <c r="H103" s="193"/>
      <c r="I103" s="193"/>
      <c r="J103" s="193"/>
      <c r="K103" s="195"/>
      <c r="L103" s="196"/>
      <c r="M103" s="193"/>
      <c r="N103" s="197"/>
      <c r="O103" s="197"/>
      <c r="P103" s="197"/>
      <c r="Q103" s="197"/>
      <c r="R103" s="196"/>
      <c r="S103" s="195"/>
      <c r="T103" s="195"/>
      <c r="U103" s="197"/>
      <c r="V103" s="213"/>
      <c r="W103" s="198"/>
      <c r="X103" s="198"/>
      <c r="Y103" s="198"/>
      <c r="Z103" s="198"/>
      <c r="AA103" s="198"/>
      <c r="AB103" s="200"/>
      <c r="AC103" s="200"/>
      <c r="AD103" s="200"/>
      <c r="AE103" s="200"/>
      <c r="AF103" s="200"/>
      <c r="AG103" s="200"/>
      <c r="AH103" s="200"/>
      <c r="AI103" s="91"/>
      <c r="AJ103" s="91">
        <f t="shared" ca="1" si="3"/>
        <v>0</v>
      </c>
      <c r="AK103" s="91">
        <f t="shared" ca="1" si="4"/>
        <v>0</v>
      </c>
      <c r="AL103" s="203"/>
      <c r="AM103" s="203"/>
      <c r="AN103" s="203"/>
      <c r="AO103" s="203"/>
      <c r="AP103" s="203"/>
      <c r="AQ103" s="203"/>
      <c r="AR103" s="203"/>
      <c r="AS103" s="203"/>
      <c r="AT103" s="203"/>
      <c r="AU103" s="203"/>
      <c r="AV103" s="203"/>
      <c r="AW103" s="203"/>
      <c r="AX103" s="203"/>
      <c r="AY103" s="203"/>
      <c r="AZ103" s="203"/>
      <c r="BA103" s="203"/>
      <c r="BB103" s="203"/>
      <c r="BC103" s="203"/>
      <c r="BD103" s="203"/>
      <c r="BE103" s="203"/>
      <c r="BF103" s="203"/>
      <c r="BG103" s="203"/>
      <c r="BH103" s="203"/>
      <c r="BI103" s="203"/>
      <c r="BJ103" s="203"/>
      <c r="BK103" s="203"/>
      <c r="BL103" s="203"/>
      <c r="BM103" s="203"/>
      <c r="BN103" s="203"/>
      <c r="BO103" s="203"/>
      <c r="BP103" s="203"/>
      <c r="BQ103" s="203"/>
      <c r="BR103" s="203"/>
      <c r="BS103" s="203"/>
      <c r="BT103" s="203"/>
      <c r="BU103" s="203"/>
      <c r="BV103" s="203"/>
      <c r="BW103" s="203"/>
      <c r="BX103" s="203"/>
    </row>
    <row r="104" spans="1:76" s="199" customFormat="1" ht="22.5" customHeight="1">
      <c r="A104" s="222">
        <v>99</v>
      </c>
      <c r="B104" s="222"/>
      <c r="C104" s="198"/>
      <c r="D104" s="193"/>
      <c r="E104" s="194"/>
      <c r="F104" s="222"/>
      <c r="G104" s="222"/>
      <c r="H104" s="193"/>
      <c r="I104" s="193"/>
      <c r="J104" s="193"/>
      <c r="K104" s="195"/>
      <c r="L104" s="196"/>
      <c r="M104" s="193"/>
      <c r="N104" s="197"/>
      <c r="O104" s="197"/>
      <c r="P104" s="197"/>
      <c r="Q104" s="197"/>
      <c r="R104" s="196"/>
      <c r="S104" s="195"/>
      <c r="T104" s="195"/>
      <c r="U104" s="197"/>
      <c r="V104" s="213"/>
      <c r="W104" s="198"/>
      <c r="X104" s="198"/>
      <c r="Y104" s="198"/>
      <c r="Z104" s="198"/>
      <c r="AA104" s="198"/>
      <c r="AB104" s="200"/>
      <c r="AC104" s="200"/>
      <c r="AD104" s="200"/>
      <c r="AE104" s="200"/>
      <c r="AF104" s="200"/>
      <c r="AG104" s="200"/>
      <c r="AH104" s="200"/>
      <c r="AI104" s="91"/>
      <c r="AJ104" s="91">
        <f t="shared" ca="1" si="3"/>
        <v>0</v>
      </c>
      <c r="AK104" s="91">
        <f t="shared" ca="1" si="4"/>
        <v>0</v>
      </c>
      <c r="AL104" s="203"/>
      <c r="AM104" s="203"/>
      <c r="AN104" s="203"/>
      <c r="AO104" s="203"/>
      <c r="AP104" s="203"/>
      <c r="AQ104" s="203"/>
      <c r="AR104" s="203"/>
      <c r="AS104" s="203"/>
      <c r="AT104" s="203"/>
      <c r="AU104" s="203"/>
      <c r="AV104" s="203"/>
      <c r="AW104" s="203"/>
      <c r="AX104" s="203"/>
      <c r="AY104" s="203"/>
      <c r="AZ104" s="203"/>
      <c r="BA104" s="203"/>
      <c r="BB104" s="203"/>
      <c r="BC104" s="203"/>
      <c r="BD104" s="203"/>
      <c r="BE104" s="203"/>
      <c r="BF104" s="203"/>
      <c r="BG104" s="203"/>
      <c r="BH104" s="203"/>
      <c r="BI104" s="203"/>
      <c r="BJ104" s="203"/>
      <c r="BK104" s="203"/>
      <c r="BL104" s="203"/>
      <c r="BM104" s="203"/>
      <c r="BN104" s="203"/>
      <c r="BO104" s="203"/>
      <c r="BP104" s="203"/>
      <c r="BQ104" s="203"/>
      <c r="BR104" s="203"/>
      <c r="BS104" s="203"/>
      <c r="BT104" s="203"/>
      <c r="BU104" s="203"/>
      <c r="BV104" s="203"/>
      <c r="BW104" s="203"/>
      <c r="BX104" s="203"/>
    </row>
    <row r="105" spans="1:76" s="199" customFormat="1" ht="22.5" customHeight="1">
      <c r="A105" s="222">
        <v>100</v>
      </c>
      <c r="B105" s="222"/>
      <c r="C105" s="198"/>
      <c r="D105" s="193"/>
      <c r="E105" s="194"/>
      <c r="F105" s="222"/>
      <c r="G105" s="222"/>
      <c r="H105" s="193"/>
      <c r="I105" s="193"/>
      <c r="J105" s="193"/>
      <c r="K105" s="195"/>
      <c r="L105" s="196"/>
      <c r="M105" s="193"/>
      <c r="N105" s="197"/>
      <c r="O105" s="197"/>
      <c r="P105" s="197"/>
      <c r="Q105" s="197"/>
      <c r="R105" s="196"/>
      <c r="S105" s="195"/>
      <c r="T105" s="195"/>
      <c r="U105" s="197"/>
      <c r="V105" s="213"/>
      <c r="W105" s="198"/>
      <c r="X105" s="198"/>
      <c r="Y105" s="198"/>
      <c r="Z105" s="198"/>
      <c r="AA105" s="198"/>
      <c r="AB105" s="200"/>
      <c r="AC105" s="200"/>
      <c r="AD105" s="200"/>
      <c r="AE105" s="200"/>
      <c r="AF105" s="200"/>
      <c r="AG105" s="200"/>
      <c r="AH105" s="200"/>
      <c r="AI105" s="91"/>
      <c r="AJ105" s="91">
        <f t="shared" ca="1" si="3"/>
        <v>0</v>
      </c>
      <c r="AK105" s="91">
        <f t="shared" ca="1" si="4"/>
        <v>0</v>
      </c>
      <c r="AL105" s="203"/>
      <c r="AM105" s="203"/>
      <c r="AN105" s="203"/>
      <c r="AO105" s="203"/>
      <c r="AP105" s="203"/>
      <c r="AQ105" s="203"/>
      <c r="AR105" s="203"/>
      <c r="AS105" s="203"/>
      <c r="AT105" s="203"/>
      <c r="AU105" s="203"/>
      <c r="AV105" s="203"/>
      <c r="AW105" s="203"/>
      <c r="AX105" s="203"/>
      <c r="AY105" s="203"/>
      <c r="AZ105" s="203"/>
      <c r="BA105" s="203"/>
      <c r="BB105" s="203"/>
      <c r="BC105" s="203"/>
      <c r="BD105" s="203"/>
      <c r="BE105" s="203"/>
      <c r="BF105" s="203"/>
      <c r="BG105" s="203"/>
      <c r="BH105" s="203"/>
      <c r="BI105" s="203"/>
      <c r="BJ105" s="203"/>
      <c r="BK105" s="203"/>
      <c r="BL105" s="203"/>
      <c r="BM105" s="203"/>
      <c r="BN105" s="203"/>
      <c r="BO105" s="203"/>
      <c r="BP105" s="203"/>
      <c r="BQ105" s="203"/>
      <c r="BR105" s="203"/>
      <c r="BS105" s="203"/>
      <c r="BT105" s="203"/>
      <c r="BU105" s="203"/>
      <c r="BV105" s="203"/>
      <c r="BW105" s="203"/>
      <c r="BX105" s="203"/>
    </row>
    <row r="106" spans="1:76" s="199" customFormat="1" ht="22.5" customHeight="1">
      <c r="A106" s="222">
        <v>101</v>
      </c>
      <c r="B106" s="222"/>
      <c r="C106" s="198"/>
      <c r="D106" s="193"/>
      <c r="E106" s="194"/>
      <c r="F106" s="222"/>
      <c r="G106" s="222"/>
      <c r="H106" s="193"/>
      <c r="I106" s="193"/>
      <c r="J106" s="193"/>
      <c r="K106" s="195"/>
      <c r="L106" s="196"/>
      <c r="M106" s="193"/>
      <c r="N106" s="197"/>
      <c r="O106" s="197"/>
      <c r="P106" s="197"/>
      <c r="Q106" s="197"/>
      <c r="R106" s="196"/>
      <c r="S106" s="195"/>
      <c r="T106" s="195"/>
      <c r="U106" s="197"/>
      <c r="V106" s="213"/>
      <c r="W106" s="198"/>
      <c r="X106" s="198"/>
      <c r="Y106" s="198"/>
      <c r="Z106" s="198"/>
      <c r="AA106" s="198"/>
      <c r="AB106" s="200"/>
      <c r="AC106" s="200"/>
      <c r="AD106" s="200"/>
      <c r="AE106" s="200"/>
      <c r="AF106" s="200"/>
      <c r="AG106" s="200"/>
      <c r="AH106" s="200"/>
      <c r="AI106" s="91"/>
      <c r="AJ106" s="91">
        <f t="shared" ca="1" si="3"/>
        <v>0</v>
      </c>
      <c r="AK106" s="91">
        <f t="shared" ca="1" si="4"/>
        <v>0</v>
      </c>
      <c r="AL106" s="203"/>
      <c r="AM106" s="203"/>
      <c r="AN106" s="203"/>
      <c r="AO106" s="203"/>
      <c r="AP106" s="203"/>
      <c r="AQ106" s="203"/>
      <c r="AR106" s="203"/>
      <c r="AS106" s="203"/>
      <c r="AT106" s="203"/>
      <c r="AU106" s="203"/>
      <c r="AV106" s="203"/>
      <c r="AW106" s="203"/>
      <c r="AX106" s="203"/>
      <c r="AY106" s="203"/>
      <c r="AZ106" s="203"/>
      <c r="BA106" s="203"/>
      <c r="BB106" s="203"/>
      <c r="BC106" s="203"/>
      <c r="BD106" s="203"/>
      <c r="BE106" s="203"/>
      <c r="BF106" s="203"/>
      <c r="BG106" s="203"/>
      <c r="BH106" s="203"/>
      <c r="BI106" s="203"/>
      <c r="BJ106" s="203"/>
      <c r="BK106" s="203"/>
      <c r="BL106" s="203"/>
      <c r="BM106" s="203"/>
      <c r="BN106" s="203"/>
      <c r="BO106" s="203"/>
      <c r="BP106" s="203"/>
      <c r="BQ106" s="203"/>
      <c r="BR106" s="203"/>
      <c r="BS106" s="203"/>
      <c r="BT106" s="203"/>
      <c r="BU106" s="203"/>
      <c r="BV106" s="203"/>
      <c r="BW106" s="203"/>
      <c r="BX106" s="203"/>
    </row>
    <row r="107" spans="1:76" s="199" customFormat="1" ht="22.5" customHeight="1">
      <c r="A107" s="222">
        <v>102</v>
      </c>
      <c r="B107" s="222"/>
      <c r="C107" s="198"/>
      <c r="D107" s="193"/>
      <c r="E107" s="194"/>
      <c r="F107" s="222"/>
      <c r="G107" s="222"/>
      <c r="H107" s="193"/>
      <c r="I107" s="193"/>
      <c r="J107" s="193"/>
      <c r="K107" s="195"/>
      <c r="L107" s="196"/>
      <c r="M107" s="193"/>
      <c r="N107" s="197"/>
      <c r="O107" s="197"/>
      <c r="P107" s="197"/>
      <c r="Q107" s="197"/>
      <c r="R107" s="196"/>
      <c r="S107" s="195"/>
      <c r="T107" s="195"/>
      <c r="U107" s="197"/>
      <c r="V107" s="213"/>
      <c r="W107" s="198"/>
      <c r="X107" s="198"/>
      <c r="Y107" s="198"/>
      <c r="Z107" s="198"/>
      <c r="AA107" s="198"/>
      <c r="AB107" s="200"/>
      <c r="AC107" s="200"/>
      <c r="AD107" s="200"/>
      <c r="AE107" s="200"/>
      <c r="AF107" s="200"/>
      <c r="AG107" s="200"/>
      <c r="AH107" s="200"/>
      <c r="AI107" s="91"/>
      <c r="AJ107" s="91">
        <f t="shared" ca="1" si="3"/>
        <v>0</v>
      </c>
      <c r="AK107" s="91">
        <f t="shared" ca="1" si="4"/>
        <v>0</v>
      </c>
      <c r="AL107" s="203"/>
      <c r="AM107" s="203"/>
      <c r="AN107" s="203"/>
      <c r="AO107" s="203"/>
      <c r="AP107" s="203"/>
      <c r="AQ107" s="203"/>
      <c r="AR107" s="203"/>
      <c r="AS107" s="203"/>
      <c r="AT107" s="203"/>
      <c r="AU107" s="203"/>
      <c r="AV107" s="203"/>
      <c r="AW107" s="203"/>
      <c r="AX107" s="203"/>
      <c r="AY107" s="203"/>
      <c r="AZ107" s="203"/>
      <c r="BA107" s="203"/>
      <c r="BB107" s="203"/>
      <c r="BC107" s="203"/>
      <c r="BD107" s="203"/>
      <c r="BE107" s="203"/>
      <c r="BF107" s="203"/>
      <c r="BG107" s="203"/>
      <c r="BH107" s="203"/>
      <c r="BI107" s="203"/>
      <c r="BJ107" s="203"/>
      <c r="BK107" s="203"/>
      <c r="BL107" s="203"/>
      <c r="BM107" s="203"/>
      <c r="BN107" s="203"/>
      <c r="BO107" s="203"/>
      <c r="BP107" s="203"/>
      <c r="BQ107" s="203"/>
      <c r="BR107" s="203"/>
      <c r="BS107" s="203"/>
      <c r="BT107" s="203"/>
      <c r="BU107" s="203"/>
      <c r="BV107" s="203"/>
      <c r="BW107" s="203"/>
      <c r="BX107" s="203"/>
    </row>
    <row r="108" spans="1:76" s="199" customFormat="1" ht="22.5" customHeight="1">
      <c r="A108" s="222">
        <v>103</v>
      </c>
      <c r="B108" s="222"/>
      <c r="C108" s="198"/>
      <c r="D108" s="193"/>
      <c r="E108" s="194"/>
      <c r="F108" s="222"/>
      <c r="G108" s="222"/>
      <c r="H108" s="193"/>
      <c r="I108" s="193"/>
      <c r="J108" s="193"/>
      <c r="K108" s="195"/>
      <c r="L108" s="196"/>
      <c r="M108" s="193"/>
      <c r="N108" s="197"/>
      <c r="O108" s="197"/>
      <c r="P108" s="197"/>
      <c r="Q108" s="197"/>
      <c r="R108" s="196"/>
      <c r="S108" s="195"/>
      <c r="T108" s="195"/>
      <c r="U108" s="197"/>
      <c r="V108" s="213"/>
      <c r="W108" s="198"/>
      <c r="X108" s="198"/>
      <c r="Y108" s="198"/>
      <c r="Z108" s="198"/>
      <c r="AA108" s="198"/>
      <c r="AB108" s="200"/>
      <c r="AC108" s="200"/>
      <c r="AD108" s="200"/>
      <c r="AE108" s="200"/>
      <c r="AF108" s="200"/>
      <c r="AG108" s="200"/>
      <c r="AH108" s="200"/>
      <c r="AI108" s="91"/>
      <c r="AJ108" s="91">
        <f t="shared" ca="1" si="3"/>
        <v>0</v>
      </c>
      <c r="AK108" s="91">
        <f t="shared" ca="1" si="4"/>
        <v>0</v>
      </c>
      <c r="AL108" s="203"/>
      <c r="AM108" s="203"/>
      <c r="AN108" s="203"/>
      <c r="AO108" s="203"/>
      <c r="AP108" s="203"/>
      <c r="AQ108" s="203"/>
      <c r="AR108" s="203"/>
      <c r="AS108" s="203"/>
      <c r="AT108" s="203"/>
      <c r="AU108" s="203"/>
      <c r="AV108" s="203"/>
      <c r="AW108" s="203"/>
      <c r="AX108" s="203"/>
      <c r="AY108" s="203"/>
      <c r="AZ108" s="203"/>
      <c r="BA108" s="203"/>
      <c r="BB108" s="203"/>
      <c r="BC108" s="203"/>
      <c r="BD108" s="203"/>
      <c r="BE108" s="203"/>
      <c r="BF108" s="203"/>
      <c r="BG108" s="203"/>
      <c r="BH108" s="203"/>
      <c r="BI108" s="203"/>
      <c r="BJ108" s="203"/>
      <c r="BK108" s="203"/>
      <c r="BL108" s="203"/>
      <c r="BM108" s="203"/>
      <c r="BN108" s="203"/>
      <c r="BO108" s="203"/>
      <c r="BP108" s="203"/>
      <c r="BQ108" s="203"/>
      <c r="BR108" s="203"/>
      <c r="BS108" s="203"/>
      <c r="BT108" s="203"/>
      <c r="BU108" s="203"/>
      <c r="BV108" s="203"/>
      <c r="BW108" s="203"/>
      <c r="BX108" s="203"/>
    </row>
    <row r="109" spans="1:76" s="199" customFormat="1" ht="22.5" customHeight="1">
      <c r="A109" s="222">
        <v>104</v>
      </c>
      <c r="B109" s="222"/>
      <c r="C109" s="198"/>
      <c r="D109" s="193"/>
      <c r="E109" s="194"/>
      <c r="F109" s="222"/>
      <c r="G109" s="222"/>
      <c r="H109" s="193"/>
      <c r="I109" s="193"/>
      <c r="J109" s="193"/>
      <c r="K109" s="195"/>
      <c r="L109" s="196"/>
      <c r="M109" s="193"/>
      <c r="N109" s="197"/>
      <c r="O109" s="197"/>
      <c r="P109" s="197"/>
      <c r="Q109" s="197"/>
      <c r="R109" s="196"/>
      <c r="S109" s="195"/>
      <c r="T109" s="195"/>
      <c r="U109" s="197"/>
      <c r="V109" s="213"/>
      <c r="W109" s="198"/>
      <c r="X109" s="198"/>
      <c r="Y109" s="198"/>
      <c r="Z109" s="198"/>
      <c r="AA109" s="198"/>
      <c r="AB109" s="200"/>
      <c r="AC109" s="200"/>
      <c r="AD109" s="200"/>
      <c r="AE109" s="200"/>
      <c r="AF109" s="200"/>
      <c r="AG109" s="200"/>
      <c r="AH109" s="200"/>
      <c r="AI109" s="91"/>
      <c r="AJ109" s="91">
        <f t="shared" ca="1" si="3"/>
        <v>0</v>
      </c>
      <c r="AK109" s="91">
        <f t="shared" ca="1" si="4"/>
        <v>0</v>
      </c>
      <c r="AL109" s="203"/>
      <c r="AM109" s="203"/>
      <c r="AN109" s="203"/>
      <c r="AO109" s="203"/>
      <c r="AP109" s="203"/>
      <c r="AQ109" s="203"/>
      <c r="AR109" s="203"/>
      <c r="AS109" s="203"/>
      <c r="AT109" s="203"/>
      <c r="AU109" s="203"/>
      <c r="AV109" s="203"/>
      <c r="AW109" s="203"/>
      <c r="AX109" s="203"/>
      <c r="AY109" s="203"/>
      <c r="AZ109" s="203"/>
      <c r="BA109" s="203"/>
      <c r="BB109" s="203"/>
      <c r="BC109" s="203"/>
      <c r="BD109" s="203"/>
      <c r="BE109" s="203"/>
      <c r="BF109" s="203"/>
      <c r="BG109" s="203"/>
      <c r="BH109" s="203"/>
      <c r="BI109" s="203"/>
      <c r="BJ109" s="203"/>
      <c r="BK109" s="203"/>
      <c r="BL109" s="203"/>
      <c r="BM109" s="203"/>
      <c r="BN109" s="203"/>
      <c r="BO109" s="203"/>
      <c r="BP109" s="203"/>
      <c r="BQ109" s="203"/>
      <c r="BR109" s="203"/>
      <c r="BS109" s="203"/>
      <c r="BT109" s="203"/>
      <c r="BU109" s="203"/>
      <c r="BV109" s="203"/>
      <c r="BW109" s="203"/>
      <c r="BX109" s="203"/>
    </row>
    <row r="110" spans="1:76" s="199" customFormat="1" ht="22.5" customHeight="1">
      <c r="A110" s="222">
        <v>105</v>
      </c>
      <c r="B110" s="222"/>
      <c r="C110" s="198"/>
      <c r="D110" s="193"/>
      <c r="E110" s="194"/>
      <c r="F110" s="222"/>
      <c r="G110" s="222"/>
      <c r="H110" s="193"/>
      <c r="I110" s="193"/>
      <c r="J110" s="193"/>
      <c r="K110" s="195"/>
      <c r="L110" s="196"/>
      <c r="M110" s="193"/>
      <c r="N110" s="197"/>
      <c r="O110" s="197"/>
      <c r="P110" s="197"/>
      <c r="Q110" s="197"/>
      <c r="R110" s="196"/>
      <c r="S110" s="195"/>
      <c r="T110" s="195"/>
      <c r="U110" s="197"/>
      <c r="V110" s="213"/>
      <c r="W110" s="198"/>
      <c r="X110" s="198"/>
      <c r="Y110" s="198"/>
      <c r="Z110" s="198"/>
      <c r="AA110" s="198"/>
      <c r="AB110" s="200"/>
      <c r="AC110" s="200"/>
      <c r="AD110" s="200"/>
      <c r="AE110" s="200"/>
      <c r="AF110" s="200"/>
      <c r="AG110" s="200"/>
      <c r="AH110" s="200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3"/>
      <c r="AM110" s="203"/>
      <c r="AN110" s="203"/>
      <c r="AO110" s="203"/>
      <c r="AP110" s="203"/>
      <c r="AQ110" s="203"/>
      <c r="AR110" s="203"/>
      <c r="AS110" s="203"/>
      <c r="AT110" s="203"/>
      <c r="AU110" s="203"/>
      <c r="AV110" s="203"/>
      <c r="AW110" s="203"/>
      <c r="AX110" s="203"/>
      <c r="AY110" s="203"/>
      <c r="AZ110" s="203"/>
      <c r="BA110" s="203"/>
      <c r="BB110" s="203"/>
      <c r="BC110" s="203"/>
      <c r="BD110" s="203"/>
      <c r="BE110" s="203"/>
      <c r="BF110" s="203"/>
      <c r="BG110" s="203"/>
      <c r="BH110" s="203"/>
      <c r="BI110" s="203"/>
      <c r="BJ110" s="203"/>
      <c r="BK110" s="203"/>
      <c r="BL110" s="203"/>
      <c r="BM110" s="203"/>
      <c r="BN110" s="203"/>
      <c r="BO110" s="203"/>
      <c r="BP110" s="203"/>
      <c r="BQ110" s="203"/>
      <c r="BR110" s="203"/>
      <c r="BS110" s="203"/>
      <c r="BT110" s="203"/>
      <c r="BU110" s="203"/>
      <c r="BV110" s="203"/>
      <c r="BW110" s="203"/>
      <c r="BX110" s="203"/>
    </row>
    <row r="111" spans="1:76" s="199" customFormat="1" ht="22.5" customHeight="1">
      <c r="A111" s="222">
        <v>106</v>
      </c>
      <c r="B111" s="222"/>
      <c r="C111" s="198"/>
      <c r="D111" s="193"/>
      <c r="E111" s="194"/>
      <c r="F111" s="222"/>
      <c r="G111" s="222"/>
      <c r="H111" s="193"/>
      <c r="I111" s="193"/>
      <c r="J111" s="193"/>
      <c r="K111" s="195"/>
      <c r="L111" s="196"/>
      <c r="M111" s="193"/>
      <c r="N111" s="197"/>
      <c r="O111" s="197"/>
      <c r="P111" s="197"/>
      <c r="Q111" s="197"/>
      <c r="R111" s="196"/>
      <c r="S111" s="195"/>
      <c r="T111" s="195"/>
      <c r="U111" s="197"/>
      <c r="V111" s="213"/>
      <c r="W111" s="198"/>
      <c r="X111" s="198"/>
      <c r="Y111" s="198"/>
      <c r="Z111" s="198"/>
      <c r="AA111" s="198"/>
      <c r="AB111" s="200"/>
      <c r="AC111" s="200"/>
      <c r="AD111" s="200"/>
      <c r="AE111" s="200"/>
      <c r="AF111" s="200"/>
      <c r="AG111" s="200"/>
      <c r="AH111" s="200"/>
      <c r="AI111" s="91"/>
      <c r="AJ111" s="91">
        <f t="shared" ca="1" si="5"/>
        <v>0</v>
      </c>
      <c r="AK111" s="91">
        <f t="shared" ca="1" si="6"/>
        <v>0</v>
      </c>
      <c r="AL111" s="203"/>
      <c r="AM111" s="203"/>
      <c r="AN111" s="203"/>
      <c r="AO111" s="203"/>
      <c r="AP111" s="203"/>
      <c r="AQ111" s="203"/>
      <c r="AR111" s="203"/>
      <c r="AS111" s="203"/>
      <c r="AT111" s="203"/>
      <c r="AU111" s="203"/>
      <c r="AV111" s="203"/>
      <c r="AW111" s="203"/>
      <c r="AX111" s="203"/>
      <c r="AY111" s="203"/>
      <c r="AZ111" s="203"/>
      <c r="BA111" s="203"/>
      <c r="BB111" s="203"/>
      <c r="BC111" s="203"/>
      <c r="BD111" s="203"/>
      <c r="BE111" s="203"/>
      <c r="BF111" s="203"/>
      <c r="BG111" s="203"/>
      <c r="BH111" s="203"/>
      <c r="BI111" s="203"/>
      <c r="BJ111" s="203"/>
      <c r="BK111" s="203"/>
      <c r="BL111" s="203"/>
      <c r="BM111" s="203"/>
      <c r="BN111" s="203"/>
      <c r="BO111" s="203"/>
      <c r="BP111" s="203"/>
      <c r="BQ111" s="203"/>
      <c r="BR111" s="203"/>
      <c r="BS111" s="203"/>
      <c r="BT111" s="203"/>
      <c r="BU111" s="203"/>
      <c r="BV111" s="203"/>
      <c r="BW111" s="203"/>
      <c r="BX111" s="203"/>
    </row>
    <row r="112" spans="1:76" s="199" customFormat="1" ht="22.5" customHeight="1">
      <c r="A112" s="222">
        <v>107</v>
      </c>
      <c r="B112" s="222"/>
      <c r="C112" s="198"/>
      <c r="D112" s="193"/>
      <c r="E112" s="194"/>
      <c r="F112" s="222"/>
      <c r="G112" s="222"/>
      <c r="H112" s="193"/>
      <c r="I112" s="193"/>
      <c r="J112" s="193"/>
      <c r="K112" s="195"/>
      <c r="L112" s="196"/>
      <c r="M112" s="193"/>
      <c r="N112" s="197"/>
      <c r="O112" s="197"/>
      <c r="P112" s="197"/>
      <c r="Q112" s="197"/>
      <c r="R112" s="196"/>
      <c r="S112" s="195"/>
      <c r="T112" s="195"/>
      <c r="U112" s="197"/>
      <c r="V112" s="213"/>
      <c r="W112" s="198"/>
      <c r="X112" s="198"/>
      <c r="Y112" s="198"/>
      <c r="Z112" s="198"/>
      <c r="AA112" s="198"/>
      <c r="AB112" s="200"/>
      <c r="AC112" s="200"/>
      <c r="AD112" s="200"/>
      <c r="AE112" s="200"/>
      <c r="AF112" s="200"/>
      <c r="AG112" s="200"/>
      <c r="AH112" s="200"/>
      <c r="AI112" s="91"/>
      <c r="AJ112" s="91">
        <f t="shared" ca="1" si="5"/>
        <v>0</v>
      </c>
      <c r="AK112" s="91">
        <f t="shared" ca="1" si="6"/>
        <v>0</v>
      </c>
      <c r="AL112" s="203"/>
      <c r="AM112" s="203"/>
      <c r="AN112" s="203"/>
      <c r="AO112" s="203"/>
      <c r="AP112" s="203"/>
      <c r="AQ112" s="203"/>
      <c r="AR112" s="203"/>
      <c r="AS112" s="203"/>
      <c r="AT112" s="203"/>
      <c r="AU112" s="203"/>
      <c r="AV112" s="203"/>
      <c r="AW112" s="203"/>
      <c r="AX112" s="203"/>
      <c r="AY112" s="203"/>
      <c r="AZ112" s="203"/>
      <c r="BA112" s="203"/>
      <c r="BB112" s="203"/>
      <c r="BC112" s="203"/>
      <c r="BD112" s="203"/>
      <c r="BE112" s="203"/>
      <c r="BF112" s="203"/>
      <c r="BG112" s="203"/>
      <c r="BH112" s="203"/>
      <c r="BI112" s="203"/>
      <c r="BJ112" s="203"/>
      <c r="BK112" s="203"/>
      <c r="BL112" s="203"/>
      <c r="BM112" s="203"/>
      <c r="BN112" s="203"/>
      <c r="BO112" s="203"/>
      <c r="BP112" s="203"/>
      <c r="BQ112" s="203"/>
      <c r="BR112" s="203"/>
      <c r="BS112" s="203"/>
      <c r="BT112" s="203"/>
      <c r="BU112" s="203"/>
      <c r="BV112" s="203"/>
      <c r="BW112" s="203"/>
      <c r="BX112" s="203"/>
    </row>
    <row r="113" spans="1:76" s="199" customFormat="1" ht="22.5" customHeight="1">
      <c r="A113" s="222">
        <v>108</v>
      </c>
      <c r="B113" s="222"/>
      <c r="C113" s="198"/>
      <c r="D113" s="193"/>
      <c r="E113" s="194"/>
      <c r="F113" s="222"/>
      <c r="G113" s="222"/>
      <c r="H113" s="193"/>
      <c r="I113" s="193"/>
      <c r="J113" s="193"/>
      <c r="K113" s="195"/>
      <c r="L113" s="196"/>
      <c r="M113" s="193"/>
      <c r="N113" s="197"/>
      <c r="O113" s="197"/>
      <c r="P113" s="197"/>
      <c r="Q113" s="197"/>
      <c r="R113" s="196"/>
      <c r="S113" s="195"/>
      <c r="T113" s="195"/>
      <c r="U113" s="197"/>
      <c r="V113" s="213"/>
      <c r="W113" s="198"/>
      <c r="X113" s="198"/>
      <c r="Y113" s="198"/>
      <c r="Z113" s="198"/>
      <c r="AA113" s="198"/>
      <c r="AB113" s="200"/>
      <c r="AC113" s="200"/>
      <c r="AD113" s="200"/>
      <c r="AE113" s="200"/>
      <c r="AF113" s="200"/>
      <c r="AG113" s="200"/>
      <c r="AH113" s="200"/>
      <c r="AI113" s="91"/>
      <c r="AJ113" s="91">
        <f t="shared" ca="1" si="5"/>
        <v>0</v>
      </c>
      <c r="AK113" s="91">
        <f t="shared" ca="1" si="6"/>
        <v>0</v>
      </c>
      <c r="AL113" s="203"/>
      <c r="AM113" s="203"/>
      <c r="AN113" s="203"/>
      <c r="AO113" s="203"/>
      <c r="AP113" s="203"/>
      <c r="AQ113" s="203"/>
      <c r="AR113" s="203"/>
      <c r="AS113" s="203"/>
      <c r="AT113" s="203"/>
      <c r="AU113" s="203"/>
      <c r="AV113" s="203"/>
      <c r="AW113" s="203"/>
      <c r="AX113" s="203"/>
      <c r="AY113" s="203"/>
      <c r="AZ113" s="203"/>
      <c r="BA113" s="203"/>
      <c r="BB113" s="203"/>
      <c r="BC113" s="203"/>
      <c r="BD113" s="203"/>
      <c r="BE113" s="203"/>
      <c r="BF113" s="203"/>
      <c r="BG113" s="203"/>
      <c r="BH113" s="203"/>
      <c r="BI113" s="203"/>
      <c r="BJ113" s="203"/>
      <c r="BK113" s="203"/>
      <c r="BL113" s="203"/>
      <c r="BM113" s="203"/>
      <c r="BN113" s="203"/>
      <c r="BO113" s="203"/>
      <c r="BP113" s="203"/>
      <c r="BQ113" s="203"/>
      <c r="BR113" s="203"/>
      <c r="BS113" s="203"/>
      <c r="BT113" s="203"/>
      <c r="BU113" s="203"/>
      <c r="BV113" s="203"/>
      <c r="BW113" s="203"/>
      <c r="BX113" s="203"/>
    </row>
    <row r="114" spans="1:76" s="199" customFormat="1" ht="22.5" customHeight="1">
      <c r="A114" s="222">
        <v>109</v>
      </c>
      <c r="B114" s="222"/>
      <c r="C114" s="198"/>
      <c r="D114" s="193"/>
      <c r="E114" s="194"/>
      <c r="F114" s="222"/>
      <c r="G114" s="222"/>
      <c r="H114" s="193"/>
      <c r="I114" s="193"/>
      <c r="J114" s="193"/>
      <c r="K114" s="195"/>
      <c r="L114" s="196"/>
      <c r="M114" s="193"/>
      <c r="N114" s="197"/>
      <c r="O114" s="197"/>
      <c r="P114" s="197"/>
      <c r="Q114" s="197"/>
      <c r="R114" s="196"/>
      <c r="S114" s="195"/>
      <c r="T114" s="195"/>
      <c r="U114" s="197"/>
      <c r="V114" s="213"/>
      <c r="W114" s="198"/>
      <c r="X114" s="198"/>
      <c r="Y114" s="198"/>
      <c r="Z114" s="198"/>
      <c r="AA114" s="198"/>
      <c r="AB114" s="200"/>
      <c r="AC114" s="200"/>
      <c r="AD114" s="200"/>
      <c r="AE114" s="200"/>
      <c r="AF114" s="200"/>
      <c r="AG114" s="200"/>
      <c r="AH114" s="200"/>
      <c r="AI114" s="91"/>
      <c r="AJ114" s="91">
        <f t="shared" ca="1" si="5"/>
        <v>0</v>
      </c>
      <c r="AK114" s="91">
        <f t="shared" ca="1" si="6"/>
        <v>0</v>
      </c>
      <c r="AL114" s="203"/>
      <c r="AM114" s="203"/>
      <c r="AN114" s="203"/>
      <c r="AO114" s="203"/>
      <c r="AP114" s="203"/>
      <c r="AQ114" s="203"/>
      <c r="AR114" s="203"/>
      <c r="AS114" s="203"/>
      <c r="AT114" s="203"/>
      <c r="AU114" s="203"/>
      <c r="AV114" s="203"/>
      <c r="AW114" s="203"/>
      <c r="AX114" s="203"/>
      <c r="AY114" s="203"/>
      <c r="AZ114" s="203"/>
      <c r="BA114" s="203"/>
      <c r="BB114" s="203"/>
      <c r="BC114" s="203"/>
      <c r="BD114" s="203"/>
      <c r="BE114" s="203"/>
      <c r="BF114" s="203"/>
      <c r="BG114" s="203"/>
      <c r="BH114" s="203"/>
      <c r="BI114" s="203"/>
      <c r="BJ114" s="203"/>
      <c r="BK114" s="203"/>
      <c r="BL114" s="203"/>
      <c r="BM114" s="203"/>
      <c r="BN114" s="203"/>
      <c r="BO114" s="203"/>
      <c r="BP114" s="203"/>
      <c r="BQ114" s="203"/>
      <c r="BR114" s="203"/>
      <c r="BS114" s="203"/>
      <c r="BT114" s="203"/>
      <c r="BU114" s="203"/>
      <c r="BV114" s="203"/>
      <c r="BW114" s="203"/>
      <c r="BX114" s="203"/>
    </row>
    <row r="115" spans="1:76" s="199" customFormat="1" ht="22.5" customHeight="1">
      <c r="A115" s="222">
        <v>110</v>
      </c>
      <c r="B115" s="222"/>
      <c r="C115" s="198"/>
      <c r="D115" s="193"/>
      <c r="E115" s="194"/>
      <c r="F115" s="222"/>
      <c r="G115" s="222"/>
      <c r="H115" s="193"/>
      <c r="I115" s="193"/>
      <c r="J115" s="193"/>
      <c r="K115" s="195"/>
      <c r="L115" s="196"/>
      <c r="M115" s="193"/>
      <c r="N115" s="197"/>
      <c r="O115" s="197"/>
      <c r="P115" s="197"/>
      <c r="Q115" s="197"/>
      <c r="R115" s="196"/>
      <c r="S115" s="195"/>
      <c r="T115" s="195"/>
      <c r="U115" s="197"/>
      <c r="V115" s="213"/>
      <c r="W115" s="198"/>
      <c r="X115" s="198"/>
      <c r="Y115" s="198"/>
      <c r="Z115" s="198"/>
      <c r="AA115" s="198"/>
      <c r="AB115" s="200"/>
      <c r="AC115" s="200"/>
      <c r="AD115" s="200"/>
      <c r="AE115" s="200"/>
      <c r="AF115" s="200"/>
      <c r="AG115" s="200"/>
      <c r="AH115" s="200"/>
      <c r="AI115" s="91"/>
      <c r="AJ115" s="91">
        <f t="shared" ca="1" si="5"/>
        <v>0</v>
      </c>
      <c r="AK115" s="91">
        <f t="shared" ca="1" si="6"/>
        <v>0</v>
      </c>
      <c r="AL115" s="203"/>
      <c r="AM115" s="203"/>
      <c r="AN115" s="203"/>
      <c r="AO115" s="203"/>
      <c r="AP115" s="203"/>
      <c r="AQ115" s="203"/>
      <c r="AR115" s="203"/>
      <c r="AS115" s="203"/>
      <c r="AT115" s="203"/>
      <c r="AU115" s="203"/>
      <c r="AV115" s="203"/>
      <c r="AW115" s="203"/>
      <c r="AX115" s="203"/>
      <c r="AY115" s="203"/>
      <c r="AZ115" s="203"/>
      <c r="BA115" s="203"/>
      <c r="BB115" s="203"/>
      <c r="BC115" s="203"/>
      <c r="BD115" s="203"/>
      <c r="BE115" s="203"/>
      <c r="BF115" s="203"/>
      <c r="BG115" s="203"/>
      <c r="BH115" s="203"/>
      <c r="BI115" s="203"/>
      <c r="BJ115" s="203"/>
      <c r="BK115" s="203"/>
      <c r="BL115" s="203"/>
      <c r="BM115" s="203"/>
      <c r="BN115" s="203"/>
      <c r="BO115" s="203"/>
      <c r="BP115" s="203"/>
      <c r="BQ115" s="203"/>
      <c r="BR115" s="203"/>
      <c r="BS115" s="203"/>
      <c r="BT115" s="203"/>
      <c r="BU115" s="203"/>
      <c r="BV115" s="203"/>
      <c r="BW115" s="203"/>
      <c r="BX115" s="203"/>
    </row>
    <row r="116" spans="1:76" s="199" customFormat="1" ht="22.5" customHeight="1">
      <c r="A116" s="222">
        <v>111</v>
      </c>
      <c r="B116" s="222"/>
      <c r="C116" s="198"/>
      <c r="D116" s="193"/>
      <c r="E116" s="194"/>
      <c r="F116" s="222"/>
      <c r="G116" s="222"/>
      <c r="H116" s="193"/>
      <c r="I116" s="193"/>
      <c r="J116" s="193"/>
      <c r="K116" s="195"/>
      <c r="L116" s="196"/>
      <c r="M116" s="193"/>
      <c r="N116" s="197"/>
      <c r="O116" s="197"/>
      <c r="P116" s="197"/>
      <c r="Q116" s="197"/>
      <c r="R116" s="196"/>
      <c r="S116" s="195"/>
      <c r="T116" s="195"/>
      <c r="U116" s="197"/>
      <c r="V116" s="213"/>
      <c r="W116" s="198"/>
      <c r="X116" s="198"/>
      <c r="Y116" s="198"/>
      <c r="Z116" s="198"/>
      <c r="AA116" s="198"/>
      <c r="AB116" s="200"/>
      <c r="AC116" s="200"/>
      <c r="AD116" s="200"/>
      <c r="AE116" s="200"/>
      <c r="AF116" s="200"/>
      <c r="AG116" s="200"/>
      <c r="AH116" s="200"/>
      <c r="AI116" s="91"/>
      <c r="AJ116" s="91">
        <f t="shared" ca="1" si="5"/>
        <v>0</v>
      </c>
      <c r="AK116" s="91">
        <f t="shared" ca="1" si="6"/>
        <v>0</v>
      </c>
      <c r="AL116" s="203"/>
      <c r="AM116" s="203"/>
      <c r="AN116" s="203"/>
      <c r="AO116" s="203"/>
      <c r="AP116" s="203"/>
      <c r="AQ116" s="203"/>
      <c r="AR116" s="203"/>
      <c r="AS116" s="203"/>
      <c r="AT116" s="203"/>
      <c r="AU116" s="203"/>
      <c r="AV116" s="203"/>
      <c r="AW116" s="203"/>
      <c r="AX116" s="203"/>
      <c r="AY116" s="203"/>
      <c r="AZ116" s="203"/>
      <c r="BA116" s="203"/>
      <c r="BB116" s="203"/>
      <c r="BC116" s="203"/>
      <c r="BD116" s="203"/>
      <c r="BE116" s="203"/>
      <c r="BF116" s="203"/>
      <c r="BG116" s="203"/>
      <c r="BH116" s="203"/>
      <c r="BI116" s="203"/>
      <c r="BJ116" s="203"/>
      <c r="BK116" s="203"/>
      <c r="BL116" s="203"/>
      <c r="BM116" s="203"/>
      <c r="BN116" s="203"/>
      <c r="BO116" s="203"/>
      <c r="BP116" s="203"/>
      <c r="BQ116" s="203"/>
      <c r="BR116" s="203"/>
      <c r="BS116" s="203"/>
      <c r="BT116" s="203"/>
      <c r="BU116" s="203"/>
      <c r="BV116" s="203"/>
      <c r="BW116" s="203"/>
      <c r="BX116" s="203"/>
    </row>
    <row r="117" spans="1:76" s="199" customFormat="1" ht="22.5" customHeight="1">
      <c r="A117" s="222">
        <v>112</v>
      </c>
      <c r="B117" s="222"/>
      <c r="C117" s="198"/>
      <c r="D117" s="193"/>
      <c r="E117" s="194"/>
      <c r="F117" s="222"/>
      <c r="G117" s="222"/>
      <c r="H117" s="193"/>
      <c r="I117" s="193"/>
      <c r="J117" s="193"/>
      <c r="K117" s="195"/>
      <c r="L117" s="196"/>
      <c r="M117" s="193"/>
      <c r="N117" s="197"/>
      <c r="O117" s="197"/>
      <c r="P117" s="197"/>
      <c r="Q117" s="197"/>
      <c r="R117" s="196"/>
      <c r="S117" s="195"/>
      <c r="T117" s="195"/>
      <c r="U117" s="197"/>
      <c r="V117" s="213"/>
      <c r="W117" s="198"/>
      <c r="X117" s="198"/>
      <c r="Y117" s="198"/>
      <c r="Z117" s="198"/>
      <c r="AA117" s="198"/>
      <c r="AB117" s="200"/>
      <c r="AC117" s="200"/>
      <c r="AD117" s="200"/>
      <c r="AE117" s="200"/>
      <c r="AF117" s="200"/>
      <c r="AG117" s="200"/>
      <c r="AH117" s="200"/>
      <c r="AI117" s="91"/>
      <c r="AJ117" s="91">
        <f t="shared" ca="1" si="5"/>
        <v>0</v>
      </c>
      <c r="AK117" s="91">
        <f t="shared" ca="1" si="6"/>
        <v>0</v>
      </c>
      <c r="AL117" s="203"/>
      <c r="AM117" s="203"/>
      <c r="AN117" s="203"/>
      <c r="AO117" s="203"/>
      <c r="AP117" s="203"/>
      <c r="AQ117" s="203"/>
      <c r="AR117" s="203"/>
      <c r="AS117" s="203"/>
      <c r="AT117" s="203"/>
      <c r="AU117" s="203"/>
      <c r="AV117" s="203"/>
      <c r="AW117" s="203"/>
      <c r="AX117" s="203"/>
      <c r="AY117" s="203"/>
      <c r="AZ117" s="203"/>
      <c r="BA117" s="203"/>
      <c r="BB117" s="203"/>
      <c r="BC117" s="203"/>
      <c r="BD117" s="203"/>
      <c r="BE117" s="203"/>
      <c r="BF117" s="203"/>
      <c r="BG117" s="203"/>
      <c r="BH117" s="203"/>
      <c r="BI117" s="203"/>
      <c r="BJ117" s="203"/>
      <c r="BK117" s="203"/>
      <c r="BL117" s="203"/>
      <c r="BM117" s="203"/>
      <c r="BN117" s="203"/>
      <c r="BO117" s="203"/>
      <c r="BP117" s="203"/>
      <c r="BQ117" s="203"/>
      <c r="BR117" s="203"/>
      <c r="BS117" s="203"/>
      <c r="BT117" s="203"/>
      <c r="BU117" s="203"/>
      <c r="BV117" s="203"/>
      <c r="BW117" s="203"/>
      <c r="BX117" s="203"/>
    </row>
    <row r="118" spans="1:76" s="199" customFormat="1" ht="22.5" customHeight="1">
      <c r="A118" s="222">
        <v>113</v>
      </c>
      <c r="B118" s="222"/>
      <c r="C118" s="198"/>
      <c r="D118" s="193"/>
      <c r="E118" s="194"/>
      <c r="F118" s="222"/>
      <c r="G118" s="222"/>
      <c r="H118" s="193"/>
      <c r="I118" s="193"/>
      <c r="J118" s="193"/>
      <c r="K118" s="195"/>
      <c r="L118" s="196"/>
      <c r="M118" s="193"/>
      <c r="N118" s="197"/>
      <c r="O118" s="197"/>
      <c r="P118" s="197"/>
      <c r="Q118" s="197"/>
      <c r="R118" s="196"/>
      <c r="S118" s="195"/>
      <c r="T118" s="195"/>
      <c r="U118" s="197"/>
      <c r="V118" s="213"/>
      <c r="W118" s="198"/>
      <c r="X118" s="198"/>
      <c r="Y118" s="198"/>
      <c r="Z118" s="198"/>
      <c r="AA118" s="198"/>
      <c r="AB118" s="200"/>
      <c r="AC118" s="200"/>
      <c r="AD118" s="200"/>
      <c r="AE118" s="200"/>
      <c r="AF118" s="200"/>
      <c r="AG118" s="200"/>
      <c r="AH118" s="200"/>
      <c r="AI118" s="91"/>
      <c r="AJ118" s="91">
        <f t="shared" ca="1" si="5"/>
        <v>0</v>
      </c>
      <c r="AK118" s="91">
        <f t="shared" ca="1" si="6"/>
        <v>0</v>
      </c>
      <c r="AL118" s="203"/>
      <c r="AM118" s="203"/>
      <c r="AN118" s="203"/>
      <c r="AO118" s="203"/>
      <c r="AP118" s="203"/>
      <c r="AQ118" s="203"/>
      <c r="AR118" s="203"/>
      <c r="AS118" s="203"/>
      <c r="AT118" s="203"/>
      <c r="AU118" s="203"/>
      <c r="AV118" s="203"/>
      <c r="AW118" s="203"/>
      <c r="AX118" s="203"/>
      <c r="AY118" s="203"/>
      <c r="AZ118" s="203"/>
      <c r="BA118" s="203"/>
      <c r="BB118" s="203"/>
      <c r="BC118" s="203"/>
      <c r="BD118" s="203"/>
      <c r="BE118" s="203"/>
      <c r="BF118" s="203"/>
      <c r="BG118" s="203"/>
      <c r="BH118" s="203"/>
      <c r="BI118" s="203"/>
      <c r="BJ118" s="203"/>
      <c r="BK118" s="203"/>
      <c r="BL118" s="203"/>
      <c r="BM118" s="203"/>
      <c r="BN118" s="203"/>
      <c r="BO118" s="203"/>
      <c r="BP118" s="203"/>
      <c r="BQ118" s="203"/>
      <c r="BR118" s="203"/>
      <c r="BS118" s="203"/>
      <c r="BT118" s="203"/>
      <c r="BU118" s="203"/>
      <c r="BV118" s="203"/>
      <c r="BW118" s="203"/>
      <c r="BX118" s="203"/>
    </row>
    <row r="119" spans="1:76" s="199" customFormat="1" ht="22.5" customHeight="1">
      <c r="A119" s="222">
        <v>114</v>
      </c>
      <c r="B119" s="222"/>
      <c r="C119" s="198"/>
      <c r="D119" s="193"/>
      <c r="E119" s="194"/>
      <c r="F119" s="222"/>
      <c r="G119" s="222"/>
      <c r="H119" s="193"/>
      <c r="I119" s="193"/>
      <c r="J119" s="193"/>
      <c r="K119" s="195"/>
      <c r="L119" s="196"/>
      <c r="M119" s="193"/>
      <c r="N119" s="197"/>
      <c r="O119" s="197"/>
      <c r="P119" s="197"/>
      <c r="Q119" s="197"/>
      <c r="R119" s="196"/>
      <c r="S119" s="195"/>
      <c r="T119" s="195"/>
      <c r="U119" s="197"/>
      <c r="V119" s="213"/>
      <c r="W119" s="198"/>
      <c r="X119" s="198"/>
      <c r="Y119" s="198"/>
      <c r="Z119" s="198"/>
      <c r="AA119" s="198"/>
      <c r="AB119" s="200"/>
      <c r="AC119" s="200"/>
      <c r="AD119" s="200"/>
      <c r="AE119" s="200"/>
      <c r="AF119" s="200"/>
      <c r="AG119" s="200"/>
      <c r="AH119" s="200"/>
      <c r="AI119" s="91"/>
      <c r="AJ119" s="91">
        <f t="shared" ca="1" si="5"/>
        <v>0</v>
      </c>
      <c r="AK119" s="91">
        <f t="shared" ca="1" si="6"/>
        <v>0</v>
      </c>
      <c r="AL119" s="203"/>
      <c r="AM119" s="203"/>
      <c r="AN119" s="203"/>
      <c r="AO119" s="203"/>
      <c r="AP119" s="203"/>
      <c r="AQ119" s="203"/>
      <c r="AR119" s="203"/>
      <c r="AS119" s="203"/>
      <c r="AT119" s="203"/>
      <c r="AU119" s="203"/>
      <c r="AV119" s="203"/>
      <c r="AW119" s="203"/>
      <c r="AX119" s="203"/>
      <c r="AY119" s="203"/>
      <c r="AZ119" s="203"/>
      <c r="BA119" s="203"/>
      <c r="BB119" s="203"/>
      <c r="BC119" s="203"/>
      <c r="BD119" s="203"/>
      <c r="BE119" s="203"/>
      <c r="BF119" s="203"/>
      <c r="BG119" s="203"/>
      <c r="BH119" s="203"/>
      <c r="BI119" s="203"/>
      <c r="BJ119" s="203"/>
      <c r="BK119" s="203"/>
      <c r="BL119" s="203"/>
      <c r="BM119" s="203"/>
      <c r="BN119" s="203"/>
      <c r="BO119" s="203"/>
      <c r="BP119" s="203"/>
      <c r="BQ119" s="203"/>
      <c r="BR119" s="203"/>
      <c r="BS119" s="203"/>
      <c r="BT119" s="203"/>
      <c r="BU119" s="203"/>
      <c r="BV119" s="203"/>
      <c r="BW119" s="203"/>
      <c r="BX119" s="203"/>
    </row>
    <row r="120" spans="1:76" s="199" customFormat="1" ht="22.5" customHeight="1">
      <c r="A120" s="222">
        <v>115</v>
      </c>
      <c r="B120" s="222"/>
      <c r="C120" s="198"/>
      <c r="D120" s="193"/>
      <c r="E120" s="194"/>
      <c r="F120" s="222"/>
      <c r="G120" s="222"/>
      <c r="H120" s="193"/>
      <c r="I120" s="193"/>
      <c r="J120" s="193"/>
      <c r="K120" s="195"/>
      <c r="L120" s="196"/>
      <c r="M120" s="193"/>
      <c r="N120" s="197"/>
      <c r="O120" s="197"/>
      <c r="P120" s="197"/>
      <c r="Q120" s="197"/>
      <c r="R120" s="196"/>
      <c r="S120" s="195"/>
      <c r="T120" s="195"/>
      <c r="U120" s="197"/>
      <c r="V120" s="213"/>
      <c r="W120" s="198"/>
      <c r="X120" s="198"/>
      <c r="Y120" s="198"/>
      <c r="Z120" s="198"/>
      <c r="AA120" s="198"/>
      <c r="AB120" s="200"/>
      <c r="AC120" s="200"/>
      <c r="AD120" s="200"/>
      <c r="AE120" s="200"/>
      <c r="AF120" s="200"/>
      <c r="AG120" s="200"/>
      <c r="AH120" s="200"/>
      <c r="AI120" s="91"/>
      <c r="AJ120" s="91">
        <f t="shared" ca="1" si="5"/>
        <v>0</v>
      </c>
      <c r="AK120" s="91">
        <f t="shared" ca="1" si="6"/>
        <v>0</v>
      </c>
      <c r="AL120" s="203"/>
      <c r="AM120" s="203"/>
      <c r="AN120" s="203"/>
      <c r="AO120" s="203"/>
      <c r="AP120" s="203"/>
      <c r="AQ120" s="203"/>
      <c r="AR120" s="203"/>
      <c r="AS120" s="203"/>
      <c r="AT120" s="203"/>
      <c r="AU120" s="203"/>
      <c r="AV120" s="203"/>
      <c r="AW120" s="203"/>
      <c r="AX120" s="203"/>
      <c r="AY120" s="203"/>
      <c r="AZ120" s="203"/>
      <c r="BA120" s="203"/>
      <c r="BB120" s="203"/>
      <c r="BC120" s="203"/>
      <c r="BD120" s="203"/>
      <c r="BE120" s="203"/>
      <c r="BF120" s="203"/>
      <c r="BG120" s="203"/>
      <c r="BH120" s="203"/>
      <c r="BI120" s="203"/>
      <c r="BJ120" s="203"/>
      <c r="BK120" s="203"/>
      <c r="BL120" s="203"/>
      <c r="BM120" s="203"/>
      <c r="BN120" s="203"/>
      <c r="BO120" s="203"/>
      <c r="BP120" s="203"/>
      <c r="BQ120" s="203"/>
      <c r="BR120" s="203"/>
      <c r="BS120" s="203"/>
      <c r="BT120" s="203"/>
      <c r="BU120" s="203"/>
      <c r="BV120" s="203"/>
      <c r="BW120" s="203"/>
      <c r="BX120" s="203"/>
    </row>
    <row r="121" spans="1:76" s="199" customFormat="1" ht="22.5" customHeight="1">
      <c r="A121" s="222">
        <v>116</v>
      </c>
      <c r="B121" s="222"/>
      <c r="C121" s="198"/>
      <c r="D121" s="193"/>
      <c r="E121" s="194"/>
      <c r="F121" s="222"/>
      <c r="G121" s="222"/>
      <c r="H121" s="193"/>
      <c r="I121" s="193"/>
      <c r="J121" s="193"/>
      <c r="K121" s="195"/>
      <c r="L121" s="196"/>
      <c r="M121" s="193"/>
      <c r="N121" s="197"/>
      <c r="O121" s="197"/>
      <c r="P121" s="197"/>
      <c r="Q121" s="197"/>
      <c r="R121" s="196"/>
      <c r="S121" s="195"/>
      <c r="T121" s="195"/>
      <c r="U121" s="197"/>
      <c r="V121" s="213"/>
      <c r="W121" s="198"/>
      <c r="X121" s="198"/>
      <c r="Y121" s="198"/>
      <c r="Z121" s="198"/>
      <c r="AA121" s="198"/>
      <c r="AB121" s="200"/>
      <c r="AC121" s="200"/>
      <c r="AD121" s="200"/>
      <c r="AE121" s="200"/>
      <c r="AF121" s="200"/>
      <c r="AG121" s="200"/>
      <c r="AH121" s="200"/>
      <c r="AI121" s="91"/>
      <c r="AJ121" s="91">
        <f t="shared" ca="1" si="5"/>
        <v>0</v>
      </c>
      <c r="AK121" s="91">
        <f t="shared" ca="1" si="6"/>
        <v>0</v>
      </c>
      <c r="AL121" s="203"/>
      <c r="AM121" s="203"/>
      <c r="AN121" s="203"/>
      <c r="AO121" s="203"/>
      <c r="AP121" s="203"/>
      <c r="AQ121" s="203"/>
      <c r="AR121" s="203"/>
      <c r="AS121" s="203"/>
      <c r="AT121" s="203"/>
      <c r="AU121" s="203"/>
      <c r="AV121" s="203"/>
      <c r="AW121" s="203"/>
      <c r="AX121" s="203"/>
      <c r="AY121" s="203"/>
      <c r="AZ121" s="203"/>
      <c r="BA121" s="203"/>
      <c r="BB121" s="203"/>
      <c r="BC121" s="203"/>
      <c r="BD121" s="203"/>
      <c r="BE121" s="203"/>
      <c r="BF121" s="203"/>
      <c r="BG121" s="203"/>
      <c r="BH121" s="203"/>
      <c r="BI121" s="203"/>
      <c r="BJ121" s="203"/>
      <c r="BK121" s="203"/>
      <c r="BL121" s="203"/>
      <c r="BM121" s="203"/>
      <c r="BN121" s="203"/>
      <c r="BO121" s="203"/>
      <c r="BP121" s="203"/>
      <c r="BQ121" s="203"/>
      <c r="BR121" s="203"/>
      <c r="BS121" s="203"/>
      <c r="BT121" s="203"/>
      <c r="BU121" s="203"/>
      <c r="BV121" s="203"/>
      <c r="BW121" s="203"/>
      <c r="BX121" s="203"/>
    </row>
    <row r="122" spans="1:76" s="199" customFormat="1" ht="22.5" customHeight="1">
      <c r="A122" s="222">
        <v>117</v>
      </c>
      <c r="B122" s="222"/>
      <c r="C122" s="198"/>
      <c r="D122" s="193"/>
      <c r="E122" s="194"/>
      <c r="F122" s="222"/>
      <c r="G122" s="222"/>
      <c r="H122" s="193"/>
      <c r="I122" s="193"/>
      <c r="J122" s="193"/>
      <c r="K122" s="195"/>
      <c r="L122" s="196"/>
      <c r="M122" s="193"/>
      <c r="N122" s="197"/>
      <c r="O122" s="197"/>
      <c r="P122" s="197"/>
      <c r="Q122" s="197"/>
      <c r="R122" s="196"/>
      <c r="S122" s="195"/>
      <c r="T122" s="195"/>
      <c r="U122" s="197"/>
      <c r="V122" s="213"/>
      <c r="W122" s="198"/>
      <c r="X122" s="198"/>
      <c r="Y122" s="198"/>
      <c r="Z122" s="198"/>
      <c r="AA122" s="198"/>
      <c r="AB122" s="200"/>
      <c r="AC122" s="200"/>
      <c r="AD122" s="200"/>
      <c r="AE122" s="200"/>
      <c r="AF122" s="200"/>
      <c r="AG122" s="200"/>
      <c r="AH122" s="200"/>
      <c r="AI122" s="91"/>
      <c r="AJ122" s="91">
        <f t="shared" ca="1" si="5"/>
        <v>0</v>
      </c>
      <c r="AK122" s="91">
        <f t="shared" ca="1" si="6"/>
        <v>0</v>
      </c>
      <c r="AL122" s="203"/>
      <c r="AM122" s="203"/>
      <c r="AN122" s="203"/>
      <c r="AO122" s="203"/>
      <c r="AP122" s="203"/>
      <c r="AQ122" s="203"/>
      <c r="AR122" s="203"/>
      <c r="AS122" s="203"/>
      <c r="AT122" s="203"/>
      <c r="AU122" s="203"/>
      <c r="AV122" s="203"/>
      <c r="AW122" s="203"/>
      <c r="AX122" s="203"/>
      <c r="AY122" s="203"/>
      <c r="AZ122" s="203"/>
      <c r="BA122" s="203"/>
      <c r="BB122" s="203"/>
      <c r="BC122" s="203"/>
      <c r="BD122" s="203"/>
      <c r="BE122" s="203"/>
      <c r="BF122" s="203"/>
      <c r="BG122" s="203"/>
      <c r="BH122" s="203"/>
      <c r="BI122" s="203"/>
      <c r="BJ122" s="203"/>
      <c r="BK122" s="203"/>
      <c r="BL122" s="203"/>
      <c r="BM122" s="203"/>
      <c r="BN122" s="203"/>
      <c r="BO122" s="203"/>
      <c r="BP122" s="203"/>
      <c r="BQ122" s="203"/>
      <c r="BR122" s="203"/>
      <c r="BS122" s="203"/>
      <c r="BT122" s="203"/>
      <c r="BU122" s="203"/>
      <c r="BV122" s="203"/>
      <c r="BW122" s="203"/>
      <c r="BX122" s="203"/>
    </row>
    <row r="123" spans="1:76" s="199" customFormat="1" ht="22.5" customHeight="1">
      <c r="A123" s="222">
        <v>118</v>
      </c>
      <c r="B123" s="222"/>
      <c r="C123" s="198"/>
      <c r="D123" s="193"/>
      <c r="E123" s="194"/>
      <c r="F123" s="222"/>
      <c r="G123" s="222"/>
      <c r="H123" s="193"/>
      <c r="I123" s="193"/>
      <c r="J123" s="193"/>
      <c r="K123" s="195"/>
      <c r="L123" s="196"/>
      <c r="M123" s="193"/>
      <c r="N123" s="197"/>
      <c r="O123" s="197"/>
      <c r="P123" s="197"/>
      <c r="Q123" s="197"/>
      <c r="R123" s="196"/>
      <c r="S123" s="195"/>
      <c r="T123" s="195"/>
      <c r="U123" s="197"/>
      <c r="V123" s="213"/>
      <c r="W123" s="198"/>
      <c r="X123" s="198"/>
      <c r="Y123" s="198"/>
      <c r="Z123" s="198"/>
      <c r="AA123" s="198"/>
      <c r="AB123" s="200"/>
      <c r="AC123" s="200"/>
      <c r="AD123" s="200"/>
      <c r="AE123" s="200"/>
      <c r="AF123" s="200"/>
      <c r="AG123" s="200"/>
      <c r="AH123" s="200"/>
      <c r="AI123" s="91"/>
      <c r="AJ123" s="91">
        <f t="shared" ca="1" si="5"/>
        <v>0</v>
      </c>
      <c r="AK123" s="91">
        <f t="shared" ca="1" si="6"/>
        <v>0</v>
      </c>
      <c r="AL123" s="203"/>
      <c r="AM123" s="203"/>
      <c r="AN123" s="203"/>
      <c r="AO123" s="203"/>
      <c r="AP123" s="203"/>
      <c r="AQ123" s="203"/>
      <c r="AR123" s="203"/>
      <c r="AS123" s="203"/>
      <c r="AT123" s="203"/>
      <c r="AU123" s="203"/>
      <c r="AV123" s="203"/>
      <c r="AW123" s="203"/>
      <c r="AX123" s="203"/>
      <c r="AY123" s="203"/>
      <c r="AZ123" s="203"/>
      <c r="BA123" s="203"/>
      <c r="BB123" s="203"/>
      <c r="BC123" s="203"/>
      <c r="BD123" s="203"/>
      <c r="BE123" s="203"/>
      <c r="BF123" s="203"/>
      <c r="BG123" s="203"/>
      <c r="BH123" s="203"/>
      <c r="BI123" s="203"/>
      <c r="BJ123" s="203"/>
      <c r="BK123" s="203"/>
      <c r="BL123" s="203"/>
      <c r="BM123" s="203"/>
      <c r="BN123" s="203"/>
      <c r="BO123" s="203"/>
      <c r="BP123" s="203"/>
      <c r="BQ123" s="203"/>
      <c r="BR123" s="203"/>
      <c r="BS123" s="203"/>
      <c r="BT123" s="203"/>
      <c r="BU123" s="203"/>
      <c r="BV123" s="203"/>
      <c r="BW123" s="203"/>
      <c r="BX123" s="203"/>
    </row>
    <row r="124" spans="1:76" s="199" customFormat="1" ht="22.5" customHeight="1">
      <c r="A124" s="222">
        <v>119</v>
      </c>
      <c r="B124" s="222"/>
      <c r="C124" s="198"/>
      <c r="D124" s="193"/>
      <c r="E124" s="194"/>
      <c r="F124" s="222"/>
      <c r="G124" s="222"/>
      <c r="H124" s="193"/>
      <c r="I124" s="193"/>
      <c r="J124" s="193"/>
      <c r="K124" s="195"/>
      <c r="L124" s="196"/>
      <c r="M124" s="193"/>
      <c r="N124" s="197"/>
      <c r="O124" s="197"/>
      <c r="P124" s="197"/>
      <c r="Q124" s="197"/>
      <c r="R124" s="196"/>
      <c r="S124" s="195"/>
      <c r="T124" s="195"/>
      <c r="U124" s="197"/>
      <c r="V124" s="213"/>
      <c r="W124" s="198"/>
      <c r="X124" s="198"/>
      <c r="Y124" s="198"/>
      <c r="Z124" s="198"/>
      <c r="AA124" s="198"/>
      <c r="AB124" s="200"/>
      <c r="AC124" s="200"/>
      <c r="AD124" s="200"/>
      <c r="AE124" s="200"/>
      <c r="AF124" s="200"/>
      <c r="AG124" s="200"/>
      <c r="AH124" s="200"/>
      <c r="AI124" s="91"/>
      <c r="AJ124" s="91">
        <f t="shared" ca="1" si="5"/>
        <v>0</v>
      </c>
      <c r="AK124" s="91">
        <f t="shared" ca="1" si="6"/>
        <v>0</v>
      </c>
      <c r="AL124" s="203"/>
      <c r="AM124" s="203"/>
      <c r="AN124" s="203"/>
      <c r="AO124" s="203"/>
      <c r="AP124" s="203"/>
      <c r="AQ124" s="203"/>
      <c r="AR124" s="203"/>
      <c r="AS124" s="203"/>
      <c r="AT124" s="203"/>
      <c r="AU124" s="203"/>
      <c r="AV124" s="203"/>
      <c r="AW124" s="203"/>
      <c r="AX124" s="203"/>
      <c r="AY124" s="203"/>
      <c r="AZ124" s="203"/>
      <c r="BA124" s="203"/>
      <c r="BB124" s="203"/>
      <c r="BC124" s="203"/>
      <c r="BD124" s="203"/>
      <c r="BE124" s="203"/>
      <c r="BF124" s="203"/>
      <c r="BG124" s="203"/>
      <c r="BH124" s="203"/>
      <c r="BI124" s="203"/>
      <c r="BJ124" s="203"/>
      <c r="BK124" s="203"/>
      <c r="BL124" s="203"/>
      <c r="BM124" s="203"/>
      <c r="BN124" s="203"/>
      <c r="BO124" s="203"/>
      <c r="BP124" s="203"/>
      <c r="BQ124" s="203"/>
      <c r="BR124" s="203"/>
      <c r="BS124" s="203"/>
      <c r="BT124" s="203"/>
      <c r="BU124" s="203"/>
      <c r="BV124" s="203"/>
      <c r="BW124" s="203"/>
      <c r="BX124" s="203"/>
    </row>
    <row r="125" spans="1:76" s="199" customFormat="1" ht="22.5" customHeight="1">
      <c r="A125" s="222">
        <v>120</v>
      </c>
      <c r="B125" s="222"/>
      <c r="C125" s="198"/>
      <c r="D125" s="193"/>
      <c r="E125" s="194"/>
      <c r="F125" s="222"/>
      <c r="G125" s="222"/>
      <c r="H125" s="193"/>
      <c r="I125" s="193"/>
      <c r="J125" s="193"/>
      <c r="K125" s="195"/>
      <c r="L125" s="196"/>
      <c r="M125" s="193"/>
      <c r="N125" s="197"/>
      <c r="O125" s="197"/>
      <c r="P125" s="197"/>
      <c r="Q125" s="197"/>
      <c r="R125" s="196"/>
      <c r="S125" s="195"/>
      <c r="T125" s="195"/>
      <c r="U125" s="197"/>
      <c r="V125" s="213"/>
      <c r="W125" s="198"/>
      <c r="X125" s="198"/>
      <c r="Y125" s="198"/>
      <c r="Z125" s="198"/>
      <c r="AA125" s="198"/>
      <c r="AB125" s="200"/>
      <c r="AC125" s="200"/>
      <c r="AD125" s="200"/>
      <c r="AE125" s="200"/>
      <c r="AF125" s="200"/>
      <c r="AG125" s="200"/>
      <c r="AH125" s="200"/>
      <c r="AI125" s="91"/>
      <c r="AJ125" s="91">
        <f t="shared" ca="1" si="5"/>
        <v>0</v>
      </c>
      <c r="AK125" s="91">
        <f t="shared" ca="1" si="6"/>
        <v>0</v>
      </c>
      <c r="AL125" s="203"/>
      <c r="AM125" s="203"/>
      <c r="AN125" s="203"/>
      <c r="AO125" s="203"/>
      <c r="AP125" s="203"/>
      <c r="AQ125" s="203"/>
      <c r="AR125" s="203"/>
      <c r="AS125" s="203"/>
      <c r="AT125" s="203"/>
      <c r="AU125" s="203"/>
      <c r="AV125" s="203"/>
      <c r="AW125" s="203"/>
      <c r="AX125" s="203"/>
      <c r="AY125" s="203"/>
      <c r="AZ125" s="203"/>
      <c r="BA125" s="203"/>
      <c r="BB125" s="203"/>
      <c r="BC125" s="203"/>
      <c r="BD125" s="203"/>
      <c r="BE125" s="203"/>
      <c r="BF125" s="203"/>
      <c r="BG125" s="203"/>
      <c r="BH125" s="203"/>
      <c r="BI125" s="203"/>
      <c r="BJ125" s="203"/>
      <c r="BK125" s="203"/>
      <c r="BL125" s="203"/>
      <c r="BM125" s="203"/>
      <c r="BN125" s="203"/>
      <c r="BO125" s="203"/>
      <c r="BP125" s="203"/>
      <c r="BQ125" s="203"/>
      <c r="BR125" s="203"/>
      <c r="BS125" s="203"/>
      <c r="BT125" s="203"/>
      <c r="BU125" s="203"/>
      <c r="BV125" s="203"/>
      <c r="BW125" s="203"/>
      <c r="BX125" s="203"/>
    </row>
    <row r="126" spans="1:76" s="199" customFormat="1" ht="22.5" customHeight="1">
      <c r="A126" s="222">
        <v>121</v>
      </c>
      <c r="B126" s="222"/>
      <c r="C126" s="198"/>
      <c r="D126" s="193"/>
      <c r="E126" s="194"/>
      <c r="F126" s="222"/>
      <c r="G126" s="222"/>
      <c r="H126" s="193"/>
      <c r="I126" s="193"/>
      <c r="J126" s="193"/>
      <c r="K126" s="195"/>
      <c r="L126" s="196"/>
      <c r="M126" s="193"/>
      <c r="N126" s="197"/>
      <c r="O126" s="197"/>
      <c r="P126" s="197"/>
      <c r="Q126" s="197"/>
      <c r="R126" s="196"/>
      <c r="S126" s="195"/>
      <c r="T126" s="195"/>
      <c r="U126" s="197"/>
      <c r="V126" s="213"/>
      <c r="W126" s="198"/>
      <c r="X126" s="198"/>
      <c r="Y126" s="198"/>
      <c r="Z126" s="198"/>
      <c r="AA126" s="198"/>
      <c r="AB126" s="200"/>
      <c r="AC126" s="200"/>
      <c r="AD126" s="200"/>
      <c r="AE126" s="200"/>
      <c r="AF126" s="200"/>
      <c r="AG126" s="200"/>
      <c r="AH126" s="200"/>
      <c r="AI126" s="91"/>
      <c r="AJ126" s="91">
        <f t="shared" ca="1" si="5"/>
        <v>0</v>
      </c>
      <c r="AK126" s="91">
        <f t="shared" ca="1" si="6"/>
        <v>0</v>
      </c>
      <c r="AL126" s="203"/>
      <c r="AM126" s="203"/>
      <c r="AN126" s="203"/>
      <c r="AO126" s="203"/>
      <c r="AP126" s="203"/>
      <c r="AQ126" s="203"/>
      <c r="AR126" s="203"/>
      <c r="AS126" s="203"/>
      <c r="AT126" s="203"/>
      <c r="AU126" s="203"/>
      <c r="AV126" s="203"/>
      <c r="AW126" s="203"/>
      <c r="AX126" s="203"/>
      <c r="AY126" s="203"/>
      <c r="AZ126" s="203"/>
      <c r="BA126" s="203"/>
      <c r="BB126" s="203"/>
      <c r="BC126" s="203"/>
      <c r="BD126" s="203"/>
      <c r="BE126" s="203"/>
      <c r="BF126" s="203"/>
      <c r="BG126" s="203"/>
      <c r="BH126" s="203"/>
      <c r="BI126" s="203"/>
      <c r="BJ126" s="203"/>
      <c r="BK126" s="203"/>
      <c r="BL126" s="203"/>
      <c r="BM126" s="203"/>
      <c r="BN126" s="203"/>
      <c r="BO126" s="203"/>
      <c r="BP126" s="203"/>
      <c r="BQ126" s="203"/>
      <c r="BR126" s="203"/>
      <c r="BS126" s="203"/>
      <c r="BT126" s="203"/>
      <c r="BU126" s="203"/>
      <c r="BV126" s="203"/>
      <c r="BW126" s="203"/>
      <c r="BX126" s="203"/>
    </row>
    <row r="127" spans="1:76" s="199" customFormat="1" ht="22.5" customHeight="1">
      <c r="A127" s="222">
        <v>122</v>
      </c>
      <c r="B127" s="222"/>
      <c r="C127" s="198"/>
      <c r="D127" s="193"/>
      <c r="E127" s="194"/>
      <c r="F127" s="222"/>
      <c r="G127" s="222"/>
      <c r="H127" s="193"/>
      <c r="I127" s="193"/>
      <c r="J127" s="193"/>
      <c r="K127" s="195"/>
      <c r="L127" s="196"/>
      <c r="M127" s="193"/>
      <c r="N127" s="197"/>
      <c r="O127" s="197"/>
      <c r="P127" s="197"/>
      <c r="Q127" s="197"/>
      <c r="R127" s="196"/>
      <c r="S127" s="195"/>
      <c r="T127" s="195"/>
      <c r="U127" s="197"/>
      <c r="V127" s="213"/>
      <c r="W127" s="198"/>
      <c r="X127" s="198"/>
      <c r="Y127" s="198"/>
      <c r="Z127" s="198"/>
      <c r="AA127" s="198"/>
      <c r="AB127" s="200"/>
      <c r="AC127" s="200"/>
      <c r="AD127" s="200"/>
      <c r="AE127" s="200"/>
      <c r="AF127" s="200"/>
      <c r="AG127" s="200"/>
      <c r="AH127" s="200"/>
      <c r="AI127" s="91"/>
      <c r="AJ127" s="91">
        <f t="shared" ca="1" si="5"/>
        <v>0</v>
      </c>
      <c r="AK127" s="91">
        <f t="shared" ca="1" si="6"/>
        <v>0</v>
      </c>
      <c r="AL127" s="203"/>
      <c r="AM127" s="203"/>
      <c r="AN127" s="203"/>
      <c r="AO127" s="203"/>
      <c r="AP127" s="203"/>
      <c r="AQ127" s="203"/>
      <c r="AR127" s="203"/>
      <c r="AS127" s="203"/>
      <c r="AT127" s="203"/>
      <c r="AU127" s="203"/>
      <c r="AV127" s="203"/>
      <c r="AW127" s="203"/>
      <c r="AX127" s="203"/>
      <c r="AY127" s="203"/>
      <c r="AZ127" s="203"/>
      <c r="BA127" s="203"/>
      <c r="BB127" s="203"/>
      <c r="BC127" s="203"/>
      <c r="BD127" s="203"/>
      <c r="BE127" s="203"/>
      <c r="BF127" s="203"/>
      <c r="BG127" s="203"/>
      <c r="BH127" s="203"/>
      <c r="BI127" s="203"/>
      <c r="BJ127" s="203"/>
      <c r="BK127" s="203"/>
      <c r="BL127" s="203"/>
      <c r="BM127" s="203"/>
      <c r="BN127" s="203"/>
      <c r="BO127" s="203"/>
      <c r="BP127" s="203"/>
      <c r="BQ127" s="203"/>
      <c r="BR127" s="203"/>
      <c r="BS127" s="203"/>
      <c r="BT127" s="203"/>
      <c r="BU127" s="203"/>
      <c r="BV127" s="203"/>
      <c r="BW127" s="203"/>
      <c r="BX127" s="203"/>
    </row>
    <row r="128" spans="1:76" s="199" customFormat="1" ht="22.5" customHeight="1">
      <c r="A128" s="222">
        <v>123</v>
      </c>
      <c r="B128" s="222"/>
      <c r="C128" s="198"/>
      <c r="D128" s="193"/>
      <c r="E128" s="194"/>
      <c r="F128" s="222"/>
      <c r="G128" s="222"/>
      <c r="H128" s="193"/>
      <c r="I128" s="193"/>
      <c r="J128" s="193"/>
      <c r="K128" s="195"/>
      <c r="L128" s="196"/>
      <c r="M128" s="193"/>
      <c r="N128" s="197"/>
      <c r="O128" s="197"/>
      <c r="P128" s="197"/>
      <c r="Q128" s="197"/>
      <c r="R128" s="196"/>
      <c r="S128" s="195"/>
      <c r="T128" s="195"/>
      <c r="U128" s="197"/>
      <c r="V128" s="213"/>
      <c r="W128" s="198"/>
      <c r="X128" s="198"/>
      <c r="Y128" s="198"/>
      <c r="Z128" s="198"/>
      <c r="AA128" s="198"/>
      <c r="AB128" s="200"/>
      <c r="AC128" s="200"/>
      <c r="AD128" s="200"/>
      <c r="AE128" s="200"/>
      <c r="AF128" s="200"/>
      <c r="AG128" s="200"/>
      <c r="AH128" s="200"/>
      <c r="AI128" s="91"/>
      <c r="AJ128" s="91">
        <f t="shared" ca="1" si="5"/>
        <v>0</v>
      </c>
      <c r="AK128" s="91">
        <f t="shared" ca="1" si="6"/>
        <v>0</v>
      </c>
      <c r="AL128" s="203"/>
      <c r="AM128" s="203"/>
      <c r="AN128" s="203"/>
      <c r="AO128" s="203"/>
      <c r="AP128" s="203"/>
      <c r="AQ128" s="203"/>
      <c r="AR128" s="203"/>
      <c r="AS128" s="203"/>
      <c r="AT128" s="203"/>
      <c r="AU128" s="203"/>
      <c r="AV128" s="203"/>
      <c r="AW128" s="203"/>
      <c r="AX128" s="203"/>
      <c r="AY128" s="203"/>
      <c r="AZ128" s="203"/>
      <c r="BA128" s="203"/>
      <c r="BB128" s="203"/>
      <c r="BC128" s="203"/>
      <c r="BD128" s="203"/>
      <c r="BE128" s="203"/>
      <c r="BF128" s="203"/>
      <c r="BG128" s="203"/>
      <c r="BH128" s="203"/>
      <c r="BI128" s="203"/>
      <c r="BJ128" s="203"/>
      <c r="BK128" s="203"/>
      <c r="BL128" s="203"/>
      <c r="BM128" s="203"/>
      <c r="BN128" s="203"/>
      <c r="BO128" s="203"/>
      <c r="BP128" s="203"/>
      <c r="BQ128" s="203"/>
      <c r="BR128" s="203"/>
      <c r="BS128" s="203"/>
      <c r="BT128" s="203"/>
      <c r="BU128" s="203"/>
      <c r="BV128" s="203"/>
      <c r="BW128" s="203"/>
      <c r="BX128" s="203"/>
    </row>
    <row r="129" spans="1:76" s="199" customFormat="1" ht="22.5" customHeight="1">
      <c r="A129" s="222">
        <v>124</v>
      </c>
      <c r="B129" s="222"/>
      <c r="C129" s="198"/>
      <c r="D129" s="193"/>
      <c r="E129" s="194"/>
      <c r="F129" s="222"/>
      <c r="G129" s="222"/>
      <c r="H129" s="193"/>
      <c r="I129" s="193"/>
      <c r="J129" s="193"/>
      <c r="K129" s="195"/>
      <c r="L129" s="196"/>
      <c r="M129" s="193"/>
      <c r="N129" s="197"/>
      <c r="O129" s="197"/>
      <c r="P129" s="197"/>
      <c r="Q129" s="197"/>
      <c r="R129" s="196"/>
      <c r="S129" s="195"/>
      <c r="T129" s="195"/>
      <c r="U129" s="197"/>
      <c r="V129" s="213"/>
      <c r="W129" s="198"/>
      <c r="X129" s="198"/>
      <c r="Y129" s="198"/>
      <c r="Z129" s="198"/>
      <c r="AA129" s="198"/>
      <c r="AB129" s="200"/>
      <c r="AC129" s="200"/>
      <c r="AD129" s="200"/>
      <c r="AE129" s="200"/>
      <c r="AF129" s="200"/>
      <c r="AG129" s="200"/>
      <c r="AH129" s="200"/>
      <c r="AI129" s="91"/>
      <c r="AJ129" s="91">
        <f t="shared" ca="1" si="5"/>
        <v>0</v>
      </c>
      <c r="AK129" s="91">
        <f t="shared" ca="1" si="6"/>
        <v>0</v>
      </c>
      <c r="AL129" s="203"/>
      <c r="AM129" s="203"/>
      <c r="AN129" s="203"/>
      <c r="AO129" s="203"/>
      <c r="AP129" s="203"/>
      <c r="AQ129" s="203"/>
      <c r="AR129" s="203"/>
      <c r="AS129" s="203"/>
      <c r="AT129" s="203"/>
      <c r="AU129" s="203"/>
      <c r="AV129" s="203"/>
      <c r="AW129" s="203"/>
      <c r="AX129" s="203"/>
      <c r="AY129" s="203"/>
      <c r="AZ129" s="203"/>
      <c r="BA129" s="203"/>
      <c r="BB129" s="203"/>
      <c r="BC129" s="203"/>
      <c r="BD129" s="203"/>
      <c r="BE129" s="203"/>
      <c r="BF129" s="203"/>
      <c r="BG129" s="203"/>
      <c r="BH129" s="203"/>
      <c r="BI129" s="203"/>
      <c r="BJ129" s="203"/>
      <c r="BK129" s="203"/>
      <c r="BL129" s="203"/>
      <c r="BM129" s="203"/>
      <c r="BN129" s="203"/>
      <c r="BO129" s="203"/>
      <c r="BP129" s="203"/>
      <c r="BQ129" s="203"/>
      <c r="BR129" s="203"/>
      <c r="BS129" s="203"/>
      <c r="BT129" s="203"/>
      <c r="BU129" s="203"/>
      <c r="BV129" s="203"/>
      <c r="BW129" s="203"/>
      <c r="BX129" s="203"/>
    </row>
    <row r="130" spans="1:76" s="199" customFormat="1" ht="22.5" customHeight="1">
      <c r="A130" s="222">
        <v>125</v>
      </c>
      <c r="B130" s="222"/>
      <c r="C130" s="198"/>
      <c r="D130" s="193"/>
      <c r="E130" s="194"/>
      <c r="F130" s="222"/>
      <c r="G130" s="222"/>
      <c r="H130" s="193"/>
      <c r="I130" s="193"/>
      <c r="J130" s="193"/>
      <c r="K130" s="195"/>
      <c r="L130" s="196"/>
      <c r="M130" s="193"/>
      <c r="N130" s="197"/>
      <c r="O130" s="197"/>
      <c r="P130" s="197"/>
      <c r="Q130" s="197"/>
      <c r="R130" s="196"/>
      <c r="S130" s="195"/>
      <c r="T130" s="195"/>
      <c r="U130" s="197"/>
      <c r="V130" s="213"/>
      <c r="W130" s="198"/>
      <c r="X130" s="198"/>
      <c r="Y130" s="198"/>
      <c r="Z130" s="198"/>
      <c r="AA130" s="198"/>
      <c r="AB130" s="200"/>
      <c r="AC130" s="200"/>
      <c r="AD130" s="200"/>
      <c r="AE130" s="200"/>
      <c r="AF130" s="200"/>
      <c r="AG130" s="200"/>
      <c r="AH130" s="200"/>
      <c r="AI130" s="91"/>
      <c r="AJ130" s="91">
        <f t="shared" ca="1" si="5"/>
        <v>0</v>
      </c>
      <c r="AK130" s="91">
        <f t="shared" ca="1" si="6"/>
        <v>0</v>
      </c>
      <c r="AL130" s="203"/>
      <c r="AM130" s="203"/>
      <c r="AN130" s="203"/>
      <c r="AO130" s="203"/>
      <c r="AP130" s="203"/>
      <c r="AQ130" s="203"/>
      <c r="AR130" s="203"/>
      <c r="AS130" s="203"/>
      <c r="AT130" s="203"/>
      <c r="AU130" s="203"/>
      <c r="AV130" s="203"/>
      <c r="AW130" s="203"/>
      <c r="AX130" s="203"/>
      <c r="AY130" s="203"/>
      <c r="AZ130" s="203"/>
      <c r="BA130" s="203"/>
      <c r="BB130" s="203"/>
      <c r="BC130" s="203"/>
      <c r="BD130" s="203"/>
      <c r="BE130" s="203"/>
      <c r="BF130" s="203"/>
      <c r="BG130" s="203"/>
      <c r="BH130" s="203"/>
      <c r="BI130" s="203"/>
      <c r="BJ130" s="203"/>
      <c r="BK130" s="203"/>
      <c r="BL130" s="203"/>
      <c r="BM130" s="203"/>
      <c r="BN130" s="203"/>
      <c r="BO130" s="203"/>
      <c r="BP130" s="203"/>
      <c r="BQ130" s="203"/>
      <c r="BR130" s="203"/>
      <c r="BS130" s="203"/>
      <c r="BT130" s="203"/>
      <c r="BU130" s="203"/>
      <c r="BV130" s="203"/>
      <c r="BW130" s="203"/>
      <c r="BX130" s="203"/>
    </row>
    <row r="131" spans="1:76" s="199" customFormat="1" ht="22.5" customHeight="1">
      <c r="A131" s="222">
        <v>126</v>
      </c>
      <c r="B131" s="222"/>
      <c r="C131" s="198"/>
      <c r="D131" s="193"/>
      <c r="E131" s="194"/>
      <c r="F131" s="222"/>
      <c r="G131" s="222"/>
      <c r="H131" s="193"/>
      <c r="I131" s="193"/>
      <c r="J131" s="193"/>
      <c r="K131" s="195"/>
      <c r="L131" s="196"/>
      <c r="M131" s="193"/>
      <c r="N131" s="197"/>
      <c r="O131" s="197"/>
      <c r="P131" s="197"/>
      <c r="Q131" s="197"/>
      <c r="R131" s="196"/>
      <c r="S131" s="195"/>
      <c r="T131" s="195"/>
      <c r="U131" s="197"/>
      <c r="V131" s="213"/>
      <c r="W131" s="198"/>
      <c r="X131" s="198"/>
      <c r="Y131" s="198"/>
      <c r="Z131" s="198"/>
      <c r="AA131" s="198"/>
      <c r="AB131" s="200"/>
      <c r="AC131" s="200"/>
      <c r="AD131" s="200"/>
      <c r="AE131" s="200"/>
      <c r="AF131" s="200"/>
      <c r="AG131" s="200"/>
      <c r="AH131" s="200"/>
      <c r="AI131" s="91"/>
      <c r="AJ131" s="91">
        <f t="shared" ca="1" si="5"/>
        <v>0</v>
      </c>
      <c r="AK131" s="91">
        <f t="shared" ca="1" si="6"/>
        <v>0</v>
      </c>
      <c r="AL131" s="203"/>
      <c r="AM131" s="203"/>
      <c r="AN131" s="203"/>
      <c r="AO131" s="203"/>
      <c r="AP131" s="203"/>
      <c r="AQ131" s="203"/>
      <c r="AR131" s="203"/>
      <c r="AS131" s="203"/>
      <c r="AT131" s="203"/>
      <c r="AU131" s="203"/>
      <c r="AV131" s="203"/>
      <c r="AW131" s="203"/>
      <c r="AX131" s="203"/>
      <c r="AY131" s="203"/>
      <c r="AZ131" s="203"/>
      <c r="BA131" s="203"/>
      <c r="BB131" s="203"/>
      <c r="BC131" s="203"/>
      <c r="BD131" s="203"/>
      <c r="BE131" s="203"/>
      <c r="BF131" s="203"/>
      <c r="BG131" s="203"/>
      <c r="BH131" s="203"/>
      <c r="BI131" s="203"/>
      <c r="BJ131" s="203"/>
      <c r="BK131" s="203"/>
      <c r="BL131" s="203"/>
      <c r="BM131" s="203"/>
      <c r="BN131" s="203"/>
      <c r="BO131" s="203"/>
      <c r="BP131" s="203"/>
      <c r="BQ131" s="203"/>
      <c r="BR131" s="203"/>
      <c r="BS131" s="203"/>
      <c r="BT131" s="203"/>
      <c r="BU131" s="203"/>
      <c r="BV131" s="203"/>
      <c r="BW131" s="203"/>
      <c r="BX131" s="203"/>
    </row>
    <row r="132" spans="1:76" s="199" customFormat="1" ht="22.5" customHeight="1">
      <c r="A132" s="222">
        <v>127</v>
      </c>
      <c r="B132" s="222"/>
      <c r="C132" s="198"/>
      <c r="D132" s="193"/>
      <c r="E132" s="194"/>
      <c r="F132" s="222"/>
      <c r="G132" s="222"/>
      <c r="H132" s="193"/>
      <c r="I132" s="193"/>
      <c r="J132" s="193"/>
      <c r="K132" s="195"/>
      <c r="L132" s="196"/>
      <c r="M132" s="193"/>
      <c r="N132" s="197"/>
      <c r="O132" s="197"/>
      <c r="P132" s="197"/>
      <c r="Q132" s="197"/>
      <c r="R132" s="196"/>
      <c r="S132" s="195"/>
      <c r="T132" s="195"/>
      <c r="U132" s="197"/>
      <c r="V132" s="213"/>
      <c r="W132" s="198"/>
      <c r="X132" s="198"/>
      <c r="Y132" s="198"/>
      <c r="Z132" s="198"/>
      <c r="AA132" s="198"/>
      <c r="AB132" s="200"/>
      <c r="AC132" s="200"/>
      <c r="AD132" s="200"/>
      <c r="AE132" s="200"/>
      <c r="AF132" s="200"/>
      <c r="AG132" s="200"/>
      <c r="AH132" s="200"/>
      <c r="AI132" s="91"/>
      <c r="AJ132" s="91">
        <f t="shared" ca="1" si="5"/>
        <v>0</v>
      </c>
      <c r="AK132" s="91">
        <f t="shared" ca="1" si="6"/>
        <v>0</v>
      </c>
      <c r="AL132" s="203"/>
      <c r="AM132" s="203"/>
      <c r="AN132" s="203"/>
      <c r="AO132" s="203"/>
      <c r="AP132" s="203"/>
      <c r="AQ132" s="203"/>
      <c r="AR132" s="203"/>
      <c r="AS132" s="203"/>
      <c r="AT132" s="203"/>
      <c r="AU132" s="203"/>
      <c r="AV132" s="203"/>
      <c r="AW132" s="203"/>
      <c r="AX132" s="203"/>
      <c r="AY132" s="203"/>
      <c r="AZ132" s="203"/>
      <c r="BA132" s="203"/>
      <c r="BB132" s="203"/>
      <c r="BC132" s="203"/>
      <c r="BD132" s="203"/>
      <c r="BE132" s="203"/>
      <c r="BF132" s="203"/>
      <c r="BG132" s="203"/>
      <c r="BH132" s="203"/>
      <c r="BI132" s="203"/>
      <c r="BJ132" s="203"/>
      <c r="BK132" s="203"/>
      <c r="BL132" s="203"/>
      <c r="BM132" s="203"/>
      <c r="BN132" s="203"/>
      <c r="BO132" s="203"/>
      <c r="BP132" s="203"/>
      <c r="BQ132" s="203"/>
      <c r="BR132" s="203"/>
      <c r="BS132" s="203"/>
      <c r="BT132" s="203"/>
      <c r="BU132" s="203"/>
      <c r="BV132" s="203"/>
      <c r="BW132" s="203"/>
      <c r="BX132" s="203"/>
    </row>
    <row r="133" spans="1:76" s="199" customFormat="1" ht="22.5" customHeight="1">
      <c r="A133" s="222">
        <v>128</v>
      </c>
      <c r="B133" s="222"/>
      <c r="C133" s="198"/>
      <c r="D133" s="193"/>
      <c r="E133" s="194"/>
      <c r="F133" s="222"/>
      <c r="G133" s="222"/>
      <c r="H133" s="193"/>
      <c r="I133" s="193"/>
      <c r="J133" s="193"/>
      <c r="K133" s="195"/>
      <c r="L133" s="196"/>
      <c r="M133" s="193"/>
      <c r="N133" s="197"/>
      <c r="O133" s="197"/>
      <c r="P133" s="197"/>
      <c r="Q133" s="197"/>
      <c r="R133" s="196"/>
      <c r="S133" s="195"/>
      <c r="T133" s="195"/>
      <c r="U133" s="197"/>
      <c r="V133" s="213"/>
      <c r="W133" s="198"/>
      <c r="X133" s="198"/>
      <c r="Y133" s="198"/>
      <c r="Z133" s="198"/>
      <c r="AA133" s="198"/>
      <c r="AB133" s="200"/>
      <c r="AC133" s="200"/>
      <c r="AD133" s="200"/>
      <c r="AE133" s="200"/>
      <c r="AF133" s="200"/>
      <c r="AG133" s="200"/>
      <c r="AH133" s="200"/>
      <c r="AI133" s="91"/>
      <c r="AJ133" s="91">
        <f t="shared" ca="1" si="5"/>
        <v>0</v>
      </c>
      <c r="AK133" s="91">
        <f t="shared" ca="1" si="6"/>
        <v>0</v>
      </c>
      <c r="AL133" s="203"/>
      <c r="AM133" s="203"/>
      <c r="AN133" s="203"/>
      <c r="AO133" s="203"/>
      <c r="AP133" s="203"/>
      <c r="AQ133" s="203"/>
      <c r="AR133" s="203"/>
      <c r="AS133" s="203"/>
      <c r="AT133" s="203"/>
      <c r="AU133" s="203"/>
      <c r="AV133" s="203"/>
      <c r="AW133" s="203"/>
      <c r="AX133" s="203"/>
      <c r="AY133" s="203"/>
      <c r="AZ133" s="203"/>
      <c r="BA133" s="203"/>
      <c r="BB133" s="203"/>
      <c r="BC133" s="203"/>
      <c r="BD133" s="203"/>
      <c r="BE133" s="203"/>
      <c r="BF133" s="203"/>
      <c r="BG133" s="203"/>
      <c r="BH133" s="203"/>
      <c r="BI133" s="203"/>
      <c r="BJ133" s="203"/>
      <c r="BK133" s="203"/>
      <c r="BL133" s="203"/>
      <c r="BM133" s="203"/>
      <c r="BN133" s="203"/>
      <c r="BO133" s="203"/>
      <c r="BP133" s="203"/>
      <c r="BQ133" s="203"/>
      <c r="BR133" s="203"/>
      <c r="BS133" s="203"/>
      <c r="BT133" s="203"/>
      <c r="BU133" s="203"/>
      <c r="BV133" s="203"/>
      <c r="BW133" s="203"/>
      <c r="BX133" s="203"/>
    </row>
    <row r="134" spans="1:76" s="199" customFormat="1" ht="22.5" customHeight="1">
      <c r="A134" s="222">
        <v>129</v>
      </c>
      <c r="B134" s="222"/>
      <c r="C134" s="198"/>
      <c r="D134" s="193"/>
      <c r="E134" s="194"/>
      <c r="F134" s="222"/>
      <c r="G134" s="222"/>
      <c r="H134" s="193"/>
      <c r="I134" s="193"/>
      <c r="J134" s="193"/>
      <c r="K134" s="195"/>
      <c r="L134" s="196"/>
      <c r="M134" s="193"/>
      <c r="N134" s="197"/>
      <c r="O134" s="197"/>
      <c r="P134" s="197"/>
      <c r="Q134" s="197"/>
      <c r="R134" s="196"/>
      <c r="S134" s="195"/>
      <c r="T134" s="195"/>
      <c r="U134" s="197"/>
      <c r="V134" s="213"/>
      <c r="W134" s="198"/>
      <c r="X134" s="198"/>
      <c r="Y134" s="198"/>
      <c r="Z134" s="198"/>
      <c r="AA134" s="198"/>
      <c r="AB134" s="200"/>
      <c r="AC134" s="200"/>
      <c r="AD134" s="200"/>
      <c r="AE134" s="200"/>
      <c r="AF134" s="200"/>
      <c r="AG134" s="200"/>
      <c r="AH134" s="200"/>
      <c r="AI134" s="91"/>
      <c r="AJ134" s="91">
        <f t="shared" ca="1" si="5"/>
        <v>0</v>
      </c>
      <c r="AK134" s="91">
        <f t="shared" ca="1" si="6"/>
        <v>0</v>
      </c>
      <c r="AL134" s="203"/>
      <c r="AM134" s="203"/>
      <c r="AN134" s="203"/>
      <c r="AO134" s="203"/>
      <c r="AP134" s="203"/>
      <c r="AQ134" s="203"/>
      <c r="AR134" s="203"/>
      <c r="AS134" s="203"/>
      <c r="AT134" s="203"/>
      <c r="AU134" s="203"/>
      <c r="AV134" s="203"/>
      <c r="AW134" s="203"/>
      <c r="AX134" s="203"/>
      <c r="AY134" s="203"/>
      <c r="AZ134" s="203"/>
      <c r="BA134" s="203"/>
      <c r="BB134" s="203"/>
      <c r="BC134" s="203"/>
      <c r="BD134" s="203"/>
      <c r="BE134" s="203"/>
      <c r="BF134" s="203"/>
      <c r="BG134" s="203"/>
      <c r="BH134" s="203"/>
      <c r="BI134" s="203"/>
      <c r="BJ134" s="203"/>
      <c r="BK134" s="203"/>
      <c r="BL134" s="203"/>
      <c r="BM134" s="203"/>
      <c r="BN134" s="203"/>
      <c r="BO134" s="203"/>
      <c r="BP134" s="203"/>
      <c r="BQ134" s="203"/>
      <c r="BR134" s="203"/>
      <c r="BS134" s="203"/>
      <c r="BT134" s="203"/>
      <c r="BU134" s="203"/>
      <c r="BV134" s="203"/>
      <c r="BW134" s="203"/>
      <c r="BX134" s="203"/>
    </row>
    <row r="135" spans="1:76" s="199" customFormat="1" ht="22.5" customHeight="1">
      <c r="A135" s="222">
        <v>130</v>
      </c>
      <c r="B135" s="222"/>
      <c r="C135" s="198"/>
      <c r="D135" s="193"/>
      <c r="E135" s="194"/>
      <c r="F135" s="222"/>
      <c r="G135" s="222"/>
      <c r="H135" s="193"/>
      <c r="I135" s="193"/>
      <c r="J135" s="193"/>
      <c r="K135" s="195"/>
      <c r="L135" s="196"/>
      <c r="M135" s="193"/>
      <c r="N135" s="197"/>
      <c r="O135" s="197"/>
      <c r="P135" s="197"/>
      <c r="Q135" s="197"/>
      <c r="R135" s="196"/>
      <c r="S135" s="195"/>
      <c r="T135" s="195"/>
      <c r="U135" s="197"/>
      <c r="V135" s="213"/>
      <c r="W135" s="198"/>
      <c r="X135" s="198"/>
      <c r="Y135" s="198"/>
      <c r="Z135" s="198"/>
      <c r="AA135" s="198"/>
      <c r="AB135" s="200"/>
      <c r="AC135" s="200"/>
      <c r="AD135" s="200"/>
      <c r="AE135" s="200"/>
      <c r="AF135" s="200"/>
      <c r="AG135" s="200"/>
      <c r="AH135" s="200"/>
      <c r="AI135" s="91"/>
      <c r="AJ135" s="91">
        <f t="shared" ca="1" si="5"/>
        <v>0</v>
      </c>
      <c r="AK135" s="91">
        <f t="shared" ca="1" si="6"/>
        <v>0</v>
      </c>
      <c r="AL135" s="203"/>
      <c r="AM135" s="203"/>
      <c r="AN135" s="203"/>
      <c r="AO135" s="203"/>
      <c r="AP135" s="203"/>
      <c r="AQ135" s="203"/>
      <c r="AR135" s="203"/>
      <c r="AS135" s="203"/>
      <c r="AT135" s="203"/>
      <c r="AU135" s="203"/>
      <c r="AV135" s="203"/>
      <c r="AW135" s="203"/>
      <c r="AX135" s="203"/>
      <c r="AY135" s="203"/>
      <c r="AZ135" s="203"/>
      <c r="BA135" s="203"/>
      <c r="BB135" s="203"/>
      <c r="BC135" s="203"/>
      <c r="BD135" s="203"/>
      <c r="BE135" s="203"/>
      <c r="BF135" s="203"/>
      <c r="BG135" s="203"/>
      <c r="BH135" s="203"/>
      <c r="BI135" s="203"/>
      <c r="BJ135" s="203"/>
      <c r="BK135" s="203"/>
      <c r="BL135" s="203"/>
      <c r="BM135" s="203"/>
      <c r="BN135" s="203"/>
      <c r="BO135" s="203"/>
      <c r="BP135" s="203"/>
      <c r="BQ135" s="203"/>
      <c r="BR135" s="203"/>
      <c r="BS135" s="203"/>
      <c r="BT135" s="203"/>
      <c r="BU135" s="203"/>
      <c r="BV135" s="203"/>
      <c r="BW135" s="203"/>
      <c r="BX135" s="203"/>
    </row>
    <row r="136" spans="1:76" s="199" customFormat="1" ht="22.5" customHeight="1">
      <c r="A136" s="222">
        <v>131</v>
      </c>
      <c r="B136" s="222"/>
      <c r="C136" s="198"/>
      <c r="D136" s="193"/>
      <c r="E136" s="194"/>
      <c r="F136" s="222"/>
      <c r="G136" s="222"/>
      <c r="H136" s="193"/>
      <c r="I136" s="193"/>
      <c r="J136" s="193"/>
      <c r="K136" s="195"/>
      <c r="L136" s="196"/>
      <c r="M136" s="193"/>
      <c r="N136" s="197"/>
      <c r="O136" s="197"/>
      <c r="P136" s="197"/>
      <c r="Q136" s="197"/>
      <c r="R136" s="196"/>
      <c r="S136" s="195"/>
      <c r="T136" s="195"/>
      <c r="U136" s="197"/>
      <c r="V136" s="213"/>
      <c r="W136" s="198"/>
      <c r="X136" s="198"/>
      <c r="Y136" s="198"/>
      <c r="Z136" s="198"/>
      <c r="AA136" s="198"/>
      <c r="AB136" s="200"/>
      <c r="AC136" s="200"/>
      <c r="AD136" s="200"/>
      <c r="AE136" s="200"/>
      <c r="AF136" s="200"/>
      <c r="AG136" s="200"/>
      <c r="AH136" s="200"/>
      <c r="AI136" s="91"/>
      <c r="AJ136" s="91">
        <f t="shared" ca="1" si="5"/>
        <v>0</v>
      </c>
      <c r="AK136" s="91">
        <f t="shared" ca="1" si="6"/>
        <v>0</v>
      </c>
      <c r="AL136" s="203"/>
      <c r="AM136" s="203"/>
      <c r="AN136" s="203"/>
      <c r="AO136" s="203"/>
      <c r="AP136" s="203"/>
      <c r="AQ136" s="203"/>
      <c r="AR136" s="203"/>
      <c r="AS136" s="203"/>
      <c r="AT136" s="203"/>
      <c r="AU136" s="203"/>
      <c r="AV136" s="203"/>
      <c r="AW136" s="203"/>
      <c r="AX136" s="203"/>
      <c r="AY136" s="203"/>
      <c r="AZ136" s="203"/>
      <c r="BA136" s="203"/>
      <c r="BB136" s="203"/>
      <c r="BC136" s="203"/>
      <c r="BD136" s="203"/>
      <c r="BE136" s="203"/>
      <c r="BF136" s="203"/>
      <c r="BG136" s="203"/>
      <c r="BH136" s="203"/>
      <c r="BI136" s="203"/>
      <c r="BJ136" s="203"/>
      <c r="BK136" s="203"/>
      <c r="BL136" s="203"/>
      <c r="BM136" s="203"/>
      <c r="BN136" s="203"/>
      <c r="BO136" s="203"/>
      <c r="BP136" s="203"/>
      <c r="BQ136" s="203"/>
      <c r="BR136" s="203"/>
      <c r="BS136" s="203"/>
      <c r="BT136" s="203"/>
      <c r="BU136" s="203"/>
      <c r="BV136" s="203"/>
      <c r="BW136" s="203"/>
      <c r="BX136" s="203"/>
    </row>
    <row r="137" spans="1:76" s="199" customFormat="1" ht="22.5" customHeight="1">
      <c r="A137" s="222">
        <v>132</v>
      </c>
      <c r="B137" s="222"/>
      <c r="C137" s="198"/>
      <c r="D137" s="193"/>
      <c r="E137" s="194"/>
      <c r="F137" s="222"/>
      <c r="G137" s="222"/>
      <c r="H137" s="193"/>
      <c r="I137" s="193"/>
      <c r="J137" s="193"/>
      <c r="K137" s="195"/>
      <c r="L137" s="196"/>
      <c r="M137" s="193"/>
      <c r="N137" s="197"/>
      <c r="O137" s="197"/>
      <c r="P137" s="197"/>
      <c r="Q137" s="197"/>
      <c r="R137" s="196"/>
      <c r="S137" s="195"/>
      <c r="T137" s="195"/>
      <c r="U137" s="197"/>
      <c r="V137" s="213"/>
      <c r="W137" s="198"/>
      <c r="X137" s="198"/>
      <c r="Y137" s="198"/>
      <c r="Z137" s="198"/>
      <c r="AA137" s="198"/>
      <c r="AB137" s="200"/>
      <c r="AC137" s="200"/>
      <c r="AD137" s="200"/>
      <c r="AE137" s="200"/>
      <c r="AF137" s="200"/>
      <c r="AG137" s="200"/>
      <c r="AH137" s="200"/>
      <c r="AI137" s="91"/>
      <c r="AJ137" s="91">
        <f t="shared" ca="1" si="5"/>
        <v>0</v>
      </c>
      <c r="AK137" s="91">
        <f t="shared" ca="1" si="6"/>
        <v>0</v>
      </c>
      <c r="AL137" s="203"/>
      <c r="AM137" s="203"/>
      <c r="AN137" s="203"/>
      <c r="AO137" s="203"/>
      <c r="AP137" s="203"/>
      <c r="AQ137" s="203"/>
      <c r="AR137" s="203"/>
      <c r="AS137" s="203"/>
      <c r="AT137" s="203"/>
      <c r="AU137" s="203"/>
      <c r="AV137" s="203"/>
      <c r="AW137" s="203"/>
      <c r="AX137" s="203"/>
      <c r="AY137" s="203"/>
      <c r="AZ137" s="203"/>
      <c r="BA137" s="203"/>
      <c r="BB137" s="203"/>
      <c r="BC137" s="203"/>
      <c r="BD137" s="203"/>
      <c r="BE137" s="203"/>
      <c r="BF137" s="203"/>
      <c r="BG137" s="203"/>
      <c r="BH137" s="203"/>
      <c r="BI137" s="203"/>
      <c r="BJ137" s="203"/>
      <c r="BK137" s="203"/>
      <c r="BL137" s="203"/>
      <c r="BM137" s="203"/>
      <c r="BN137" s="203"/>
      <c r="BO137" s="203"/>
      <c r="BP137" s="203"/>
      <c r="BQ137" s="203"/>
      <c r="BR137" s="203"/>
      <c r="BS137" s="203"/>
      <c r="BT137" s="203"/>
      <c r="BU137" s="203"/>
      <c r="BV137" s="203"/>
      <c r="BW137" s="203"/>
      <c r="BX137" s="203"/>
    </row>
    <row r="138" spans="1:76" s="199" customFormat="1" ht="22.5" customHeight="1">
      <c r="A138" s="222">
        <v>133</v>
      </c>
      <c r="B138" s="222"/>
      <c r="C138" s="198"/>
      <c r="D138" s="193"/>
      <c r="E138" s="194"/>
      <c r="F138" s="222"/>
      <c r="G138" s="222"/>
      <c r="H138" s="193"/>
      <c r="I138" s="193"/>
      <c r="J138" s="193"/>
      <c r="K138" s="195"/>
      <c r="L138" s="196"/>
      <c r="M138" s="193"/>
      <c r="N138" s="197"/>
      <c r="O138" s="197"/>
      <c r="P138" s="197"/>
      <c r="Q138" s="197"/>
      <c r="R138" s="196"/>
      <c r="S138" s="195"/>
      <c r="T138" s="195"/>
      <c r="U138" s="197"/>
      <c r="V138" s="213"/>
      <c r="W138" s="198"/>
      <c r="X138" s="198"/>
      <c r="Y138" s="198"/>
      <c r="Z138" s="198"/>
      <c r="AA138" s="198"/>
      <c r="AB138" s="200"/>
      <c r="AC138" s="200"/>
      <c r="AD138" s="200"/>
      <c r="AE138" s="200"/>
      <c r="AF138" s="200"/>
      <c r="AG138" s="200"/>
      <c r="AH138" s="200"/>
      <c r="AI138" s="91"/>
      <c r="AJ138" s="91">
        <f t="shared" ca="1" si="5"/>
        <v>0</v>
      </c>
      <c r="AK138" s="91">
        <f t="shared" ca="1" si="6"/>
        <v>0</v>
      </c>
      <c r="AL138" s="203"/>
      <c r="AM138" s="203"/>
      <c r="AN138" s="203"/>
      <c r="AO138" s="203"/>
      <c r="AP138" s="203"/>
      <c r="AQ138" s="203"/>
      <c r="AR138" s="203"/>
      <c r="AS138" s="203"/>
      <c r="AT138" s="203"/>
      <c r="AU138" s="203"/>
      <c r="AV138" s="203"/>
      <c r="AW138" s="203"/>
      <c r="AX138" s="203"/>
      <c r="AY138" s="203"/>
      <c r="AZ138" s="203"/>
      <c r="BA138" s="203"/>
      <c r="BB138" s="203"/>
      <c r="BC138" s="203"/>
      <c r="BD138" s="203"/>
      <c r="BE138" s="203"/>
      <c r="BF138" s="203"/>
      <c r="BG138" s="203"/>
      <c r="BH138" s="203"/>
      <c r="BI138" s="203"/>
      <c r="BJ138" s="203"/>
      <c r="BK138" s="203"/>
      <c r="BL138" s="203"/>
      <c r="BM138" s="203"/>
      <c r="BN138" s="203"/>
      <c r="BO138" s="203"/>
      <c r="BP138" s="203"/>
      <c r="BQ138" s="203"/>
      <c r="BR138" s="203"/>
      <c r="BS138" s="203"/>
      <c r="BT138" s="203"/>
      <c r="BU138" s="203"/>
      <c r="BV138" s="203"/>
      <c r="BW138" s="203"/>
      <c r="BX138" s="203"/>
    </row>
    <row r="139" spans="1:76" s="199" customFormat="1" ht="22.5" customHeight="1">
      <c r="A139" s="222">
        <v>134</v>
      </c>
      <c r="B139" s="222"/>
      <c r="C139" s="198"/>
      <c r="D139" s="193"/>
      <c r="E139" s="194"/>
      <c r="F139" s="222"/>
      <c r="G139" s="222"/>
      <c r="H139" s="193"/>
      <c r="I139" s="193"/>
      <c r="J139" s="193"/>
      <c r="K139" s="195"/>
      <c r="L139" s="196"/>
      <c r="M139" s="193"/>
      <c r="N139" s="197"/>
      <c r="O139" s="197"/>
      <c r="P139" s="197"/>
      <c r="Q139" s="197"/>
      <c r="R139" s="196"/>
      <c r="S139" s="195"/>
      <c r="T139" s="195"/>
      <c r="U139" s="197"/>
      <c r="V139" s="213"/>
      <c r="W139" s="198"/>
      <c r="X139" s="198"/>
      <c r="Y139" s="198"/>
      <c r="Z139" s="198"/>
      <c r="AA139" s="198"/>
      <c r="AB139" s="200"/>
      <c r="AC139" s="200"/>
      <c r="AD139" s="200"/>
      <c r="AE139" s="200"/>
      <c r="AF139" s="200"/>
      <c r="AG139" s="200"/>
      <c r="AH139" s="200"/>
      <c r="AI139" s="91"/>
      <c r="AJ139" s="91">
        <f t="shared" ca="1" si="5"/>
        <v>0</v>
      </c>
      <c r="AK139" s="91">
        <f t="shared" ca="1" si="6"/>
        <v>0</v>
      </c>
      <c r="AL139" s="203"/>
      <c r="AM139" s="203"/>
      <c r="AN139" s="203"/>
      <c r="AO139" s="203"/>
      <c r="AP139" s="203"/>
      <c r="AQ139" s="203"/>
      <c r="AR139" s="203"/>
      <c r="AS139" s="203"/>
      <c r="AT139" s="203"/>
      <c r="AU139" s="203"/>
      <c r="AV139" s="203"/>
      <c r="AW139" s="203"/>
      <c r="AX139" s="203"/>
      <c r="AY139" s="203"/>
      <c r="AZ139" s="203"/>
      <c r="BA139" s="203"/>
      <c r="BB139" s="203"/>
      <c r="BC139" s="203"/>
      <c r="BD139" s="203"/>
      <c r="BE139" s="203"/>
      <c r="BF139" s="203"/>
      <c r="BG139" s="203"/>
      <c r="BH139" s="203"/>
      <c r="BI139" s="203"/>
      <c r="BJ139" s="203"/>
      <c r="BK139" s="203"/>
      <c r="BL139" s="203"/>
      <c r="BM139" s="203"/>
      <c r="BN139" s="203"/>
      <c r="BO139" s="203"/>
      <c r="BP139" s="203"/>
      <c r="BQ139" s="203"/>
      <c r="BR139" s="203"/>
      <c r="BS139" s="203"/>
      <c r="BT139" s="203"/>
      <c r="BU139" s="203"/>
      <c r="BV139" s="203"/>
      <c r="BW139" s="203"/>
      <c r="BX139" s="203"/>
    </row>
    <row r="140" spans="1:76" s="199" customFormat="1" ht="22.5" customHeight="1">
      <c r="A140" s="222">
        <v>135</v>
      </c>
      <c r="B140" s="222"/>
      <c r="C140" s="198"/>
      <c r="D140" s="193"/>
      <c r="E140" s="194"/>
      <c r="F140" s="222"/>
      <c r="G140" s="222"/>
      <c r="H140" s="193"/>
      <c r="I140" s="193"/>
      <c r="J140" s="193"/>
      <c r="K140" s="195"/>
      <c r="L140" s="196"/>
      <c r="M140" s="193"/>
      <c r="N140" s="197"/>
      <c r="O140" s="197"/>
      <c r="P140" s="197"/>
      <c r="Q140" s="197"/>
      <c r="R140" s="196"/>
      <c r="S140" s="195"/>
      <c r="T140" s="195"/>
      <c r="U140" s="197"/>
      <c r="V140" s="213"/>
      <c r="W140" s="198"/>
      <c r="X140" s="198"/>
      <c r="Y140" s="198"/>
      <c r="Z140" s="198"/>
      <c r="AA140" s="198"/>
      <c r="AB140" s="200"/>
      <c r="AC140" s="200"/>
      <c r="AD140" s="200"/>
      <c r="AE140" s="200"/>
      <c r="AF140" s="200"/>
      <c r="AG140" s="200"/>
      <c r="AH140" s="200"/>
      <c r="AI140" s="91"/>
      <c r="AJ140" s="91">
        <f t="shared" ca="1" si="5"/>
        <v>0</v>
      </c>
      <c r="AK140" s="91">
        <f t="shared" ca="1" si="6"/>
        <v>0</v>
      </c>
      <c r="AL140" s="203"/>
      <c r="AM140" s="203"/>
      <c r="AN140" s="203"/>
      <c r="AO140" s="203"/>
      <c r="AP140" s="203"/>
      <c r="AQ140" s="203"/>
      <c r="AR140" s="203"/>
      <c r="AS140" s="203"/>
      <c r="AT140" s="203"/>
      <c r="AU140" s="203"/>
      <c r="AV140" s="203"/>
      <c r="AW140" s="203"/>
      <c r="AX140" s="203"/>
      <c r="AY140" s="203"/>
      <c r="AZ140" s="203"/>
      <c r="BA140" s="203"/>
      <c r="BB140" s="203"/>
      <c r="BC140" s="203"/>
      <c r="BD140" s="203"/>
      <c r="BE140" s="203"/>
      <c r="BF140" s="203"/>
      <c r="BG140" s="203"/>
      <c r="BH140" s="203"/>
      <c r="BI140" s="203"/>
      <c r="BJ140" s="203"/>
      <c r="BK140" s="203"/>
      <c r="BL140" s="203"/>
      <c r="BM140" s="203"/>
      <c r="BN140" s="203"/>
      <c r="BO140" s="203"/>
      <c r="BP140" s="203"/>
      <c r="BQ140" s="203"/>
      <c r="BR140" s="203"/>
      <c r="BS140" s="203"/>
      <c r="BT140" s="203"/>
      <c r="BU140" s="203"/>
      <c r="BV140" s="203"/>
      <c r="BW140" s="203"/>
      <c r="BX140" s="203"/>
    </row>
    <row r="141" spans="1:76" s="199" customFormat="1" ht="22.5" customHeight="1">
      <c r="A141" s="222">
        <v>136</v>
      </c>
      <c r="B141" s="222"/>
      <c r="C141" s="198"/>
      <c r="D141" s="193"/>
      <c r="E141" s="194"/>
      <c r="F141" s="222"/>
      <c r="G141" s="222"/>
      <c r="H141" s="193"/>
      <c r="I141" s="193"/>
      <c r="J141" s="193"/>
      <c r="K141" s="195"/>
      <c r="L141" s="196"/>
      <c r="M141" s="193"/>
      <c r="N141" s="197"/>
      <c r="O141" s="197"/>
      <c r="P141" s="197"/>
      <c r="Q141" s="197"/>
      <c r="R141" s="196"/>
      <c r="S141" s="195"/>
      <c r="T141" s="195"/>
      <c r="U141" s="197"/>
      <c r="V141" s="213"/>
      <c r="W141" s="198"/>
      <c r="X141" s="198"/>
      <c r="Y141" s="198"/>
      <c r="Z141" s="198"/>
      <c r="AA141" s="198"/>
      <c r="AB141" s="200"/>
      <c r="AC141" s="200"/>
      <c r="AD141" s="200"/>
      <c r="AE141" s="200"/>
      <c r="AF141" s="200"/>
      <c r="AG141" s="200"/>
      <c r="AH141" s="200"/>
      <c r="AI141" s="91"/>
      <c r="AJ141" s="91">
        <f t="shared" ca="1" si="5"/>
        <v>0</v>
      </c>
      <c r="AK141" s="91">
        <f t="shared" ca="1" si="6"/>
        <v>0</v>
      </c>
      <c r="AL141" s="203"/>
      <c r="AM141" s="203"/>
      <c r="AN141" s="203"/>
      <c r="AO141" s="203"/>
      <c r="AP141" s="203"/>
      <c r="AQ141" s="203"/>
      <c r="AR141" s="203"/>
      <c r="AS141" s="203"/>
      <c r="AT141" s="203"/>
      <c r="AU141" s="203"/>
      <c r="AV141" s="203"/>
      <c r="AW141" s="203"/>
      <c r="AX141" s="203"/>
      <c r="AY141" s="203"/>
      <c r="AZ141" s="203"/>
      <c r="BA141" s="203"/>
      <c r="BB141" s="203"/>
      <c r="BC141" s="203"/>
      <c r="BD141" s="203"/>
      <c r="BE141" s="203"/>
      <c r="BF141" s="203"/>
      <c r="BG141" s="203"/>
      <c r="BH141" s="203"/>
      <c r="BI141" s="203"/>
      <c r="BJ141" s="203"/>
      <c r="BK141" s="203"/>
      <c r="BL141" s="203"/>
      <c r="BM141" s="203"/>
      <c r="BN141" s="203"/>
      <c r="BO141" s="203"/>
      <c r="BP141" s="203"/>
      <c r="BQ141" s="203"/>
      <c r="BR141" s="203"/>
      <c r="BS141" s="203"/>
      <c r="BT141" s="203"/>
      <c r="BU141" s="203"/>
      <c r="BV141" s="203"/>
      <c r="BW141" s="203"/>
      <c r="BX141" s="203"/>
    </row>
    <row r="142" spans="1:76" s="199" customFormat="1" ht="22.5" customHeight="1">
      <c r="A142" s="222">
        <v>137</v>
      </c>
      <c r="B142" s="222"/>
      <c r="C142" s="198"/>
      <c r="D142" s="193"/>
      <c r="E142" s="194"/>
      <c r="F142" s="222"/>
      <c r="G142" s="222"/>
      <c r="H142" s="193"/>
      <c r="I142" s="193"/>
      <c r="J142" s="193"/>
      <c r="K142" s="195"/>
      <c r="L142" s="196"/>
      <c r="M142" s="193"/>
      <c r="N142" s="197"/>
      <c r="O142" s="197"/>
      <c r="P142" s="197"/>
      <c r="Q142" s="197"/>
      <c r="R142" s="196"/>
      <c r="S142" s="195"/>
      <c r="T142" s="195"/>
      <c r="U142" s="197"/>
      <c r="V142" s="213"/>
      <c r="W142" s="198"/>
      <c r="X142" s="198"/>
      <c r="Y142" s="198"/>
      <c r="Z142" s="198"/>
      <c r="AA142" s="198"/>
      <c r="AB142" s="200"/>
      <c r="AC142" s="200"/>
      <c r="AD142" s="200"/>
      <c r="AE142" s="200"/>
      <c r="AF142" s="200"/>
      <c r="AG142" s="200"/>
      <c r="AH142" s="200"/>
      <c r="AI142" s="91"/>
      <c r="AJ142" s="91">
        <f t="shared" ca="1" si="5"/>
        <v>0</v>
      </c>
      <c r="AK142" s="91">
        <f t="shared" ca="1" si="6"/>
        <v>0</v>
      </c>
      <c r="AL142" s="203"/>
      <c r="AM142" s="203"/>
      <c r="AN142" s="203"/>
      <c r="AO142" s="203"/>
      <c r="AP142" s="203"/>
      <c r="AQ142" s="203"/>
      <c r="AR142" s="203"/>
      <c r="AS142" s="203"/>
      <c r="AT142" s="203"/>
      <c r="AU142" s="203"/>
      <c r="AV142" s="203"/>
      <c r="AW142" s="203"/>
      <c r="AX142" s="203"/>
      <c r="AY142" s="203"/>
      <c r="AZ142" s="203"/>
      <c r="BA142" s="203"/>
      <c r="BB142" s="203"/>
      <c r="BC142" s="203"/>
      <c r="BD142" s="203"/>
      <c r="BE142" s="203"/>
      <c r="BF142" s="203"/>
      <c r="BG142" s="203"/>
      <c r="BH142" s="203"/>
      <c r="BI142" s="203"/>
      <c r="BJ142" s="203"/>
      <c r="BK142" s="203"/>
      <c r="BL142" s="203"/>
      <c r="BM142" s="203"/>
      <c r="BN142" s="203"/>
      <c r="BO142" s="203"/>
      <c r="BP142" s="203"/>
      <c r="BQ142" s="203"/>
      <c r="BR142" s="203"/>
      <c r="BS142" s="203"/>
      <c r="BT142" s="203"/>
      <c r="BU142" s="203"/>
      <c r="BV142" s="203"/>
      <c r="BW142" s="203"/>
      <c r="BX142" s="203"/>
    </row>
    <row r="143" spans="1:76" s="199" customFormat="1" ht="22.5" customHeight="1">
      <c r="A143" s="222">
        <v>138</v>
      </c>
      <c r="B143" s="222"/>
      <c r="C143" s="198"/>
      <c r="D143" s="193"/>
      <c r="E143" s="194"/>
      <c r="F143" s="222"/>
      <c r="G143" s="222"/>
      <c r="H143" s="193"/>
      <c r="I143" s="193"/>
      <c r="J143" s="193"/>
      <c r="K143" s="195"/>
      <c r="L143" s="196"/>
      <c r="M143" s="193"/>
      <c r="N143" s="197"/>
      <c r="O143" s="197"/>
      <c r="P143" s="197"/>
      <c r="Q143" s="197"/>
      <c r="R143" s="196"/>
      <c r="S143" s="195"/>
      <c r="T143" s="195"/>
      <c r="U143" s="197"/>
      <c r="V143" s="213"/>
      <c r="W143" s="198"/>
      <c r="X143" s="198"/>
      <c r="Y143" s="198"/>
      <c r="Z143" s="198"/>
      <c r="AA143" s="198"/>
      <c r="AB143" s="200"/>
      <c r="AC143" s="200"/>
      <c r="AD143" s="200"/>
      <c r="AE143" s="200"/>
      <c r="AF143" s="200"/>
      <c r="AG143" s="200"/>
      <c r="AH143" s="200"/>
      <c r="AI143" s="91"/>
      <c r="AJ143" s="91">
        <f t="shared" ca="1" si="5"/>
        <v>0</v>
      </c>
      <c r="AK143" s="91">
        <f t="shared" ca="1" si="6"/>
        <v>0</v>
      </c>
      <c r="AL143" s="203"/>
      <c r="AM143" s="203"/>
      <c r="AN143" s="203"/>
      <c r="AO143" s="203"/>
      <c r="AP143" s="203"/>
      <c r="AQ143" s="203"/>
      <c r="AR143" s="203"/>
      <c r="AS143" s="203"/>
      <c r="AT143" s="203"/>
      <c r="AU143" s="203"/>
      <c r="AV143" s="203"/>
      <c r="AW143" s="203"/>
      <c r="AX143" s="203"/>
      <c r="AY143" s="203"/>
      <c r="AZ143" s="203"/>
      <c r="BA143" s="203"/>
      <c r="BB143" s="203"/>
      <c r="BC143" s="203"/>
      <c r="BD143" s="203"/>
      <c r="BE143" s="203"/>
      <c r="BF143" s="203"/>
      <c r="BG143" s="203"/>
      <c r="BH143" s="203"/>
      <c r="BI143" s="203"/>
      <c r="BJ143" s="203"/>
      <c r="BK143" s="203"/>
      <c r="BL143" s="203"/>
      <c r="BM143" s="203"/>
      <c r="BN143" s="203"/>
      <c r="BO143" s="203"/>
      <c r="BP143" s="203"/>
      <c r="BQ143" s="203"/>
      <c r="BR143" s="203"/>
      <c r="BS143" s="203"/>
      <c r="BT143" s="203"/>
      <c r="BU143" s="203"/>
      <c r="BV143" s="203"/>
      <c r="BW143" s="203"/>
      <c r="BX143" s="203"/>
    </row>
    <row r="144" spans="1:76" s="199" customFormat="1" ht="22.5" customHeight="1">
      <c r="A144" s="222">
        <v>139</v>
      </c>
      <c r="B144" s="222"/>
      <c r="C144" s="198"/>
      <c r="D144" s="193"/>
      <c r="E144" s="194"/>
      <c r="F144" s="222"/>
      <c r="G144" s="222"/>
      <c r="H144" s="193"/>
      <c r="I144" s="193"/>
      <c r="J144" s="193"/>
      <c r="K144" s="195"/>
      <c r="L144" s="196"/>
      <c r="M144" s="193"/>
      <c r="N144" s="197"/>
      <c r="O144" s="197"/>
      <c r="P144" s="197"/>
      <c r="Q144" s="197"/>
      <c r="R144" s="196"/>
      <c r="S144" s="195"/>
      <c r="T144" s="195"/>
      <c r="U144" s="197"/>
      <c r="V144" s="213"/>
      <c r="W144" s="198"/>
      <c r="X144" s="198"/>
      <c r="Y144" s="198"/>
      <c r="Z144" s="198"/>
      <c r="AA144" s="198"/>
      <c r="AB144" s="200"/>
      <c r="AC144" s="200"/>
      <c r="AD144" s="200"/>
      <c r="AE144" s="200"/>
      <c r="AF144" s="200"/>
      <c r="AG144" s="200"/>
      <c r="AH144" s="200"/>
      <c r="AI144" s="91"/>
      <c r="AJ144" s="91">
        <f t="shared" ca="1" si="5"/>
        <v>0</v>
      </c>
      <c r="AK144" s="91">
        <f t="shared" ca="1" si="6"/>
        <v>0</v>
      </c>
      <c r="AL144" s="203"/>
      <c r="AM144" s="203"/>
      <c r="AN144" s="203"/>
      <c r="AO144" s="203"/>
      <c r="AP144" s="203"/>
      <c r="AQ144" s="203"/>
      <c r="AR144" s="203"/>
      <c r="AS144" s="203"/>
      <c r="AT144" s="203"/>
      <c r="AU144" s="203"/>
      <c r="AV144" s="203"/>
      <c r="AW144" s="203"/>
      <c r="AX144" s="203"/>
      <c r="AY144" s="203"/>
      <c r="AZ144" s="203"/>
      <c r="BA144" s="203"/>
      <c r="BB144" s="203"/>
      <c r="BC144" s="203"/>
      <c r="BD144" s="203"/>
      <c r="BE144" s="203"/>
      <c r="BF144" s="203"/>
      <c r="BG144" s="203"/>
      <c r="BH144" s="203"/>
      <c r="BI144" s="203"/>
      <c r="BJ144" s="203"/>
      <c r="BK144" s="203"/>
      <c r="BL144" s="203"/>
      <c r="BM144" s="203"/>
      <c r="BN144" s="203"/>
      <c r="BO144" s="203"/>
      <c r="BP144" s="203"/>
      <c r="BQ144" s="203"/>
      <c r="BR144" s="203"/>
      <c r="BS144" s="203"/>
      <c r="BT144" s="203"/>
      <c r="BU144" s="203"/>
      <c r="BV144" s="203"/>
      <c r="BW144" s="203"/>
      <c r="BX144" s="203"/>
    </row>
    <row r="145" spans="1:76" s="199" customFormat="1" ht="22.5" customHeight="1">
      <c r="A145" s="222">
        <v>140</v>
      </c>
      <c r="B145" s="222"/>
      <c r="C145" s="198"/>
      <c r="D145" s="193"/>
      <c r="E145" s="194"/>
      <c r="F145" s="222"/>
      <c r="G145" s="222"/>
      <c r="H145" s="193"/>
      <c r="I145" s="193"/>
      <c r="J145" s="193"/>
      <c r="K145" s="195"/>
      <c r="L145" s="196"/>
      <c r="M145" s="193"/>
      <c r="N145" s="197"/>
      <c r="O145" s="197"/>
      <c r="P145" s="197"/>
      <c r="Q145" s="197"/>
      <c r="R145" s="196"/>
      <c r="S145" s="195"/>
      <c r="T145" s="195"/>
      <c r="U145" s="197"/>
      <c r="V145" s="213"/>
      <c r="W145" s="198"/>
      <c r="X145" s="198"/>
      <c r="Y145" s="198"/>
      <c r="Z145" s="198"/>
      <c r="AA145" s="198"/>
      <c r="AB145" s="200"/>
      <c r="AC145" s="200"/>
      <c r="AD145" s="200"/>
      <c r="AE145" s="200"/>
      <c r="AF145" s="200"/>
      <c r="AG145" s="200"/>
      <c r="AH145" s="200"/>
      <c r="AI145" s="91"/>
      <c r="AJ145" s="91">
        <f t="shared" ca="1" si="5"/>
        <v>0</v>
      </c>
      <c r="AK145" s="91">
        <f t="shared" ca="1" si="6"/>
        <v>0</v>
      </c>
      <c r="AL145" s="203"/>
      <c r="AM145" s="203"/>
      <c r="AN145" s="203"/>
      <c r="AO145" s="203"/>
      <c r="AP145" s="203"/>
      <c r="AQ145" s="203"/>
      <c r="AR145" s="203"/>
      <c r="AS145" s="203"/>
      <c r="AT145" s="203"/>
      <c r="AU145" s="203"/>
      <c r="AV145" s="203"/>
      <c r="AW145" s="203"/>
      <c r="AX145" s="203"/>
      <c r="AY145" s="203"/>
      <c r="AZ145" s="203"/>
      <c r="BA145" s="203"/>
      <c r="BB145" s="203"/>
      <c r="BC145" s="203"/>
      <c r="BD145" s="203"/>
      <c r="BE145" s="203"/>
      <c r="BF145" s="203"/>
      <c r="BG145" s="203"/>
      <c r="BH145" s="203"/>
      <c r="BI145" s="203"/>
      <c r="BJ145" s="203"/>
      <c r="BK145" s="203"/>
      <c r="BL145" s="203"/>
      <c r="BM145" s="203"/>
      <c r="BN145" s="203"/>
      <c r="BO145" s="203"/>
      <c r="BP145" s="203"/>
      <c r="BQ145" s="203"/>
      <c r="BR145" s="203"/>
      <c r="BS145" s="203"/>
      <c r="BT145" s="203"/>
      <c r="BU145" s="203"/>
      <c r="BV145" s="203"/>
      <c r="BW145" s="203"/>
      <c r="BX145" s="203"/>
    </row>
    <row r="146" spans="1:76" s="199" customFormat="1" ht="22.5" customHeight="1">
      <c r="A146" s="222">
        <v>141</v>
      </c>
      <c r="B146" s="222"/>
      <c r="C146" s="198"/>
      <c r="D146" s="193"/>
      <c r="E146" s="194"/>
      <c r="F146" s="222"/>
      <c r="G146" s="222"/>
      <c r="H146" s="193"/>
      <c r="I146" s="193"/>
      <c r="J146" s="193"/>
      <c r="K146" s="195"/>
      <c r="L146" s="196"/>
      <c r="M146" s="193"/>
      <c r="N146" s="197"/>
      <c r="O146" s="197"/>
      <c r="P146" s="197"/>
      <c r="Q146" s="197"/>
      <c r="R146" s="196"/>
      <c r="S146" s="195"/>
      <c r="T146" s="195"/>
      <c r="U146" s="197"/>
      <c r="V146" s="213"/>
      <c r="W146" s="198"/>
      <c r="X146" s="198"/>
      <c r="Y146" s="198"/>
      <c r="Z146" s="198"/>
      <c r="AA146" s="198"/>
      <c r="AB146" s="200"/>
      <c r="AC146" s="200"/>
      <c r="AD146" s="200"/>
      <c r="AE146" s="200"/>
      <c r="AF146" s="200"/>
      <c r="AG146" s="200"/>
      <c r="AH146" s="200"/>
      <c r="AI146" s="91"/>
      <c r="AJ146" s="91">
        <f t="shared" ca="1" si="5"/>
        <v>0</v>
      </c>
      <c r="AK146" s="91">
        <f t="shared" ca="1" si="6"/>
        <v>0</v>
      </c>
      <c r="AL146" s="203"/>
      <c r="AM146" s="203"/>
      <c r="AN146" s="203"/>
      <c r="AO146" s="203"/>
      <c r="AP146" s="203"/>
      <c r="AQ146" s="203"/>
      <c r="AR146" s="203"/>
      <c r="AS146" s="203"/>
      <c r="AT146" s="203"/>
      <c r="AU146" s="203"/>
      <c r="AV146" s="203"/>
      <c r="AW146" s="203"/>
      <c r="AX146" s="203"/>
      <c r="AY146" s="203"/>
      <c r="AZ146" s="203"/>
      <c r="BA146" s="203"/>
      <c r="BB146" s="203"/>
      <c r="BC146" s="203"/>
      <c r="BD146" s="203"/>
      <c r="BE146" s="203"/>
      <c r="BF146" s="203"/>
      <c r="BG146" s="203"/>
      <c r="BH146" s="203"/>
      <c r="BI146" s="203"/>
      <c r="BJ146" s="203"/>
      <c r="BK146" s="203"/>
      <c r="BL146" s="203"/>
      <c r="BM146" s="203"/>
      <c r="BN146" s="203"/>
      <c r="BO146" s="203"/>
      <c r="BP146" s="203"/>
      <c r="BQ146" s="203"/>
      <c r="BR146" s="203"/>
      <c r="BS146" s="203"/>
      <c r="BT146" s="203"/>
      <c r="BU146" s="203"/>
      <c r="BV146" s="203"/>
      <c r="BW146" s="203"/>
      <c r="BX146" s="203"/>
    </row>
    <row r="147" spans="1:76" s="199" customFormat="1" ht="22.5" customHeight="1">
      <c r="A147" s="222">
        <v>142</v>
      </c>
      <c r="B147" s="222"/>
      <c r="C147" s="198"/>
      <c r="D147" s="193"/>
      <c r="E147" s="194"/>
      <c r="F147" s="222"/>
      <c r="G147" s="222"/>
      <c r="H147" s="193"/>
      <c r="I147" s="193"/>
      <c r="J147" s="193"/>
      <c r="K147" s="195"/>
      <c r="L147" s="196"/>
      <c r="M147" s="193"/>
      <c r="N147" s="197"/>
      <c r="O147" s="197"/>
      <c r="P147" s="197"/>
      <c r="Q147" s="197"/>
      <c r="R147" s="196"/>
      <c r="S147" s="195"/>
      <c r="T147" s="195"/>
      <c r="U147" s="197"/>
      <c r="V147" s="213"/>
      <c r="W147" s="198"/>
      <c r="X147" s="198"/>
      <c r="Y147" s="198"/>
      <c r="Z147" s="198"/>
      <c r="AA147" s="198"/>
      <c r="AB147" s="200"/>
      <c r="AC147" s="200"/>
      <c r="AD147" s="200"/>
      <c r="AE147" s="200"/>
      <c r="AF147" s="200"/>
      <c r="AG147" s="200"/>
      <c r="AH147" s="200"/>
      <c r="AI147" s="91"/>
      <c r="AJ147" s="91">
        <f t="shared" ca="1" si="5"/>
        <v>0</v>
      </c>
      <c r="AK147" s="91">
        <f t="shared" ca="1" si="6"/>
        <v>0</v>
      </c>
      <c r="AL147" s="203"/>
      <c r="AM147" s="203"/>
      <c r="AN147" s="203"/>
      <c r="AO147" s="203"/>
      <c r="AP147" s="203"/>
      <c r="AQ147" s="203"/>
      <c r="AR147" s="203"/>
      <c r="AS147" s="203"/>
      <c r="AT147" s="203"/>
      <c r="AU147" s="203"/>
      <c r="AV147" s="203"/>
      <c r="AW147" s="203"/>
      <c r="AX147" s="203"/>
      <c r="AY147" s="203"/>
      <c r="AZ147" s="203"/>
      <c r="BA147" s="203"/>
      <c r="BB147" s="203"/>
      <c r="BC147" s="203"/>
      <c r="BD147" s="203"/>
      <c r="BE147" s="203"/>
      <c r="BF147" s="203"/>
      <c r="BG147" s="203"/>
      <c r="BH147" s="203"/>
      <c r="BI147" s="203"/>
      <c r="BJ147" s="203"/>
      <c r="BK147" s="203"/>
      <c r="BL147" s="203"/>
      <c r="BM147" s="203"/>
      <c r="BN147" s="203"/>
      <c r="BO147" s="203"/>
      <c r="BP147" s="203"/>
      <c r="BQ147" s="203"/>
      <c r="BR147" s="203"/>
      <c r="BS147" s="203"/>
      <c r="BT147" s="203"/>
      <c r="BU147" s="203"/>
      <c r="BV147" s="203"/>
      <c r="BW147" s="203"/>
      <c r="BX147" s="203"/>
    </row>
    <row r="148" spans="1:76" s="199" customFormat="1" ht="22.5" customHeight="1">
      <c r="A148" s="222">
        <v>143</v>
      </c>
      <c r="B148" s="222"/>
      <c r="C148" s="198"/>
      <c r="D148" s="193"/>
      <c r="E148" s="194"/>
      <c r="F148" s="222"/>
      <c r="G148" s="222"/>
      <c r="H148" s="193"/>
      <c r="I148" s="193"/>
      <c r="J148" s="193"/>
      <c r="K148" s="195"/>
      <c r="L148" s="196"/>
      <c r="M148" s="193"/>
      <c r="N148" s="197"/>
      <c r="O148" s="197"/>
      <c r="P148" s="197"/>
      <c r="Q148" s="197"/>
      <c r="R148" s="196"/>
      <c r="S148" s="195"/>
      <c r="T148" s="195"/>
      <c r="U148" s="197"/>
      <c r="V148" s="213"/>
      <c r="W148" s="198"/>
      <c r="X148" s="198"/>
      <c r="Y148" s="198"/>
      <c r="Z148" s="198"/>
      <c r="AA148" s="198"/>
      <c r="AB148" s="200"/>
      <c r="AC148" s="200"/>
      <c r="AD148" s="200"/>
      <c r="AE148" s="200"/>
      <c r="AF148" s="200"/>
      <c r="AG148" s="200"/>
      <c r="AH148" s="200"/>
      <c r="AI148" s="91"/>
      <c r="AJ148" s="91">
        <f t="shared" ca="1" si="5"/>
        <v>0</v>
      </c>
      <c r="AK148" s="91">
        <f t="shared" ca="1" si="6"/>
        <v>0</v>
      </c>
      <c r="AL148" s="203"/>
      <c r="AM148" s="203"/>
      <c r="AN148" s="203"/>
      <c r="AO148" s="203"/>
      <c r="AP148" s="203"/>
      <c r="AQ148" s="203"/>
      <c r="AR148" s="203"/>
      <c r="AS148" s="203"/>
      <c r="AT148" s="203"/>
      <c r="AU148" s="203"/>
      <c r="AV148" s="203"/>
      <c r="AW148" s="203"/>
      <c r="AX148" s="203"/>
      <c r="AY148" s="203"/>
      <c r="AZ148" s="203"/>
      <c r="BA148" s="203"/>
      <c r="BB148" s="203"/>
      <c r="BC148" s="203"/>
      <c r="BD148" s="203"/>
      <c r="BE148" s="203"/>
      <c r="BF148" s="203"/>
      <c r="BG148" s="203"/>
      <c r="BH148" s="203"/>
      <c r="BI148" s="203"/>
      <c r="BJ148" s="203"/>
      <c r="BK148" s="203"/>
      <c r="BL148" s="203"/>
      <c r="BM148" s="203"/>
      <c r="BN148" s="203"/>
      <c r="BO148" s="203"/>
      <c r="BP148" s="203"/>
      <c r="BQ148" s="203"/>
      <c r="BR148" s="203"/>
      <c r="BS148" s="203"/>
      <c r="BT148" s="203"/>
      <c r="BU148" s="203"/>
      <c r="BV148" s="203"/>
      <c r="BW148" s="203"/>
      <c r="BX148" s="203"/>
    </row>
    <row r="149" spans="1:76" s="199" customFormat="1" ht="22.5" customHeight="1">
      <c r="A149" s="222">
        <v>144</v>
      </c>
      <c r="B149" s="222"/>
      <c r="C149" s="198"/>
      <c r="D149" s="193"/>
      <c r="E149" s="194"/>
      <c r="F149" s="222"/>
      <c r="G149" s="222"/>
      <c r="H149" s="193"/>
      <c r="I149" s="193"/>
      <c r="J149" s="193"/>
      <c r="K149" s="195"/>
      <c r="L149" s="196"/>
      <c r="M149" s="193"/>
      <c r="N149" s="197"/>
      <c r="O149" s="197"/>
      <c r="P149" s="197"/>
      <c r="Q149" s="197"/>
      <c r="R149" s="196"/>
      <c r="S149" s="195"/>
      <c r="T149" s="195"/>
      <c r="U149" s="197"/>
      <c r="V149" s="213"/>
      <c r="W149" s="198"/>
      <c r="X149" s="198"/>
      <c r="Y149" s="198"/>
      <c r="Z149" s="198"/>
      <c r="AA149" s="198"/>
      <c r="AB149" s="200"/>
      <c r="AC149" s="200"/>
      <c r="AD149" s="200"/>
      <c r="AE149" s="200"/>
      <c r="AF149" s="200"/>
      <c r="AG149" s="200"/>
      <c r="AH149" s="200"/>
      <c r="AI149" s="91"/>
      <c r="AJ149" s="91">
        <f t="shared" ca="1" si="5"/>
        <v>0</v>
      </c>
      <c r="AK149" s="91">
        <f t="shared" ca="1" si="6"/>
        <v>0</v>
      </c>
      <c r="AL149" s="203"/>
      <c r="AM149" s="203"/>
      <c r="AN149" s="203"/>
      <c r="AO149" s="203"/>
      <c r="AP149" s="203"/>
      <c r="AQ149" s="203"/>
      <c r="AR149" s="203"/>
      <c r="AS149" s="203"/>
      <c r="AT149" s="203"/>
      <c r="AU149" s="203"/>
      <c r="AV149" s="203"/>
      <c r="AW149" s="203"/>
      <c r="AX149" s="203"/>
      <c r="AY149" s="203"/>
      <c r="AZ149" s="203"/>
      <c r="BA149" s="203"/>
      <c r="BB149" s="203"/>
      <c r="BC149" s="203"/>
      <c r="BD149" s="203"/>
      <c r="BE149" s="203"/>
      <c r="BF149" s="203"/>
      <c r="BG149" s="203"/>
      <c r="BH149" s="203"/>
      <c r="BI149" s="203"/>
      <c r="BJ149" s="203"/>
      <c r="BK149" s="203"/>
      <c r="BL149" s="203"/>
      <c r="BM149" s="203"/>
      <c r="BN149" s="203"/>
      <c r="BO149" s="203"/>
      <c r="BP149" s="203"/>
      <c r="BQ149" s="203"/>
      <c r="BR149" s="203"/>
      <c r="BS149" s="203"/>
      <c r="BT149" s="203"/>
      <c r="BU149" s="203"/>
      <c r="BV149" s="203"/>
      <c r="BW149" s="203"/>
      <c r="BX149" s="203"/>
    </row>
    <row r="150" spans="1:76" s="199" customFormat="1" ht="22.5" customHeight="1">
      <c r="A150" s="222">
        <v>145</v>
      </c>
      <c r="B150" s="222"/>
      <c r="C150" s="198"/>
      <c r="D150" s="193"/>
      <c r="E150" s="194"/>
      <c r="F150" s="222"/>
      <c r="G150" s="222"/>
      <c r="H150" s="193"/>
      <c r="I150" s="193"/>
      <c r="J150" s="193"/>
      <c r="K150" s="195"/>
      <c r="L150" s="196"/>
      <c r="M150" s="193"/>
      <c r="N150" s="197"/>
      <c r="O150" s="197"/>
      <c r="P150" s="197"/>
      <c r="Q150" s="197"/>
      <c r="R150" s="196"/>
      <c r="S150" s="195"/>
      <c r="T150" s="195"/>
      <c r="U150" s="197"/>
      <c r="V150" s="213"/>
      <c r="W150" s="198"/>
      <c r="X150" s="198"/>
      <c r="Y150" s="198"/>
      <c r="Z150" s="198"/>
      <c r="AA150" s="198"/>
      <c r="AB150" s="200"/>
      <c r="AC150" s="200"/>
      <c r="AD150" s="200"/>
      <c r="AE150" s="200"/>
      <c r="AF150" s="200"/>
      <c r="AG150" s="200"/>
      <c r="AH150" s="200"/>
      <c r="AI150" s="91"/>
      <c r="AJ150" s="91">
        <f t="shared" ca="1" si="5"/>
        <v>0</v>
      </c>
      <c r="AK150" s="91">
        <f t="shared" ca="1" si="6"/>
        <v>0</v>
      </c>
      <c r="AL150" s="203"/>
      <c r="AM150" s="203"/>
      <c r="AN150" s="203"/>
      <c r="AO150" s="203"/>
      <c r="AP150" s="203"/>
      <c r="AQ150" s="203"/>
      <c r="AR150" s="203"/>
      <c r="AS150" s="203"/>
      <c r="AT150" s="203"/>
      <c r="AU150" s="203"/>
      <c r="AV150" s="203"/>
      <c r="AW150" s="203"/>
      <c r="AX150" s="203"/>
      <c r="AY150" s="203"/>
      <c r="AZ150" s="203"/>
      <c r="BA150" s="203"/>
      <c r="BB150" s="203"/>
      <c r="BC150" s="203"/>
      <c r="BD150" s="203"/>
      <c r="BE150" s="203"/>
      <c r="BF150" s="203"/>
      <c r="BG150" s="203"/>
      <c r="BH150" s="203"/>
      <c r="BI150" s="203"/>
      <c r="BJ150" s="203"/>
      <c r="BK150" s="203"/>
      <c r="BL150" s="203"/>
      <c r="BM150" s="203"/>
      <c r="BN150" s="203"/>
      <c r="BO150" s="203"/>
      <c r="BP150" s="203"/>
      <c r="BQ150" s="203"/>
      <c r="BR150" s="203"/>
      <c r="BS150" s="203"/>
      <c r="BT150" s="203"/>
      <c r="BU150" s="203"/>
      <c r="BV150" s="203"/>
      <c r="BW150" s="203"/>
      <c r="BX150" s="203"/>
    </row>
    <row r="151" spans="1:76" s="199" customFormat="1" ht="22.5" customHeight="1">
      <c r="A151" s="222">
        <v>146</v>
      </c>
      <c r="B151" s="222"/>
      <c r="C151" s="198"/>
      <c r="D151" s="193"/>
      <c r="E151" s="194"/>
      <c r="F151" s="222"/>
      <c r="G151" s="222"/>
      <c r="H151" s="193"/>
      <c r="I151" s="193"/>
      <c r="J151" s="193"/>
      <c r="K151" s="195"/>
      <c r="L151" s="196"/>
      <c r="M151" s="193"/>
      <c r="N151" s="197"/>
      <c r="O151" s="197"/>
      <c r="P151" s="197"/>
      <c r="Q151" s="197"/>
      <c r="R151" s="196"/>
      <c r="S151" s="195"/>
      <c r="T151" s="195"/>
      <c r="U151" s="197"/>
      <c r="V151" s="213"/>
      <c r="W151" s="198"/>
      <c r="X151" s="198"/>
      <c r="Y151" s="198"/>
      <c r="Z151" s="198"/>
      <c r="AA151" s="198"/>
      <c r="AB151" s="200"/>
      <c r="AC151" s="200"/>
      <c r="AD151" s="200"/>
      <c r="AE151" s="200"/>
      <c r="AF151" s="200"/>
      <c r="AG151" s="200"/>
      <c r="AH151" s="200"/>
      <c r="AI151" s="91"/>
      <c r="AJ151" s="91">
        <f t="shared" ca="1" si="5"/>
        <v>0</v>
      </c>
      <c r="AK151" s="91">
        <f t="shared" ca="1" si="6"/>
        <v>0</v>
      </c>
      <c r="AL151" s="203"/>
      <c r="AM151" s="203"/>
      <c r="AN151" s="203"/>
      <c r="AO151" s="203"/>
      <c r="AP151" s="203"/>
      <c r="AQ151" s="203"/>
      <c r="AR151" s="203"/>
      <c r="AS151" s="203"/>
      <c r="AT151" s="203"/>
      <c r="AU151" s="203"/>
      <c r="AV151" s="203"/>
      <c r="AW151" s="203"/>
      <c r="AX151" s="203"/>
      <c r="AY151" s="203"/>
      <c r="AZ151" s="203"/>
      <c r="BA151" s="203"/>
      <c r="BB151" s="203"/>
      <c r="BC151" s="203"/>
      <c r="BD151" s="203"/>
      <c r="BE151" s="203"/>
      <c r="BF151" s="203"/>
      <c r="BG151" s="203"/>
      <c r="BH151" s="203"/>
      <c r="BI151" s="203"/>
      <c r="BJ151" s="203"/>
      <c r="BK151" s="203"/>
      <c r="BL151" s="203"/>
      <c r="BM151" s="203"/>
      <c r="BN151" s="203"/>
      <c r="BO151" s="203"/>
      <c r="BP151" s="203"/>
      <c r="BQ151" s="203"/>
      <c r="BR151" s="203"/>
      <c r="BS151" s="203"/>
      <c r="BT151" s="203"/>
      <c r="BU151" s="203"/>
      <c r="BV151" s="203"/>
      <c r="BW151" s="203"/>
      <c r="BX151" s="203"/>
    </row>
    <row r="152" spans="1:76" s="199" customFormat="1" ht="22.5" customHeight="1">
      <c r="A152" s="222">
        <v>147</v>
      </c>
      <c r="B152" s="222"/>
      <c r="C152" s="198"/>
      <c r="D152" s="193"/>
      <c r="E152" s="194"/>
      <c r="F152" s="222"/>
      <c r="G152" s="222"/>
      <c r="H152" s="193"/>
      <c r="I152" s="193"/>
      <c r="J152" s="193"/>
      <c r="K152" s="195"/>
      <c r="L152" s="196"/>
      <c r="M152" s="193"/>
      <c r="N152" s="197"/>
      <c r="O152" s="197"/>
      <c r="P152" s="197"/>
      <c r="Q152" s="197"/>
      <c r="R152" s="196"/>
      <c r="S152" s="195"/>
      <c r="T152" s="195"/>
      <c r="U152" s="197"/>
      <c r="V152" s="213"/>
      <c r="W152" s="198"/>
      <c r="X152" s="198"/>
      <c r="Y152" s="198"/>
      <c r="Z152" s="198"/>
      <c r="AA152" s="198"/>
      <c r="AB152" s="200"/>
      <c r="AC152" s="200"/>
      <c r="AD152" s="200"/>
      <c r="AE152" s="200"/>
      <c r="AF152" s="200"/>
      <c r="AG152" s="200"/>
      <c r="AH152" s="200"/>
      <c r="AI152" s="91"/>
      <c r="AJ152" s="91">
        <f t="shared" ca="1" si="5"/>
        <v>0</v>
      </c>
      <c r="AK152" s="91">
        <f t="shared" ca="1" si="6"/>
        <v>0</v>
      </c>
      <c r="AL152" s="203"/>
      <c r="AM152" s="203"/>
      <c r="AN152" s="203"/>
      <c r="AO152" s="203"/>
      <c r="AP152" s="203"/>
      <c r="AQ152" s="203"/>
      <c r="AR152" s="203"/>
      <c r="AS152" s="203"/>
      <c r="AT152" s="203"/>
      <c r="AU152" s="203"/>
      <c r="AV152" s="203"/>
      <c r="AW152" s="203"/>
      <c r="AX152" s="203"/>
      <c r="AY152" s="203"/>
      <c r="AZ152" s="203"/>
      <c r="BA152" s="203"/>
      <c r="BB152" s="203"/>
      <c r="BC152" s="203"/>
      <c r="BD152" s="203"/>
      <c r="BE152" s="203"/>
      <c r="BF152" s="203"/>
      <c r="BG152" s="203"/>
      <c r="BH152" s="203"/>
      <c r="BI152" s="203"/>
      <c r="BJ152" s="203"/>
      <c r="BK152" s="203"/>
      <c r="BL152" s="203"/>
      <c r="BM152" s="203"/>
      <c r="BN152" s="203"/>
      <c r="BO152" s="203"/>
      <c r="BP152" s="203"/>
      <c r="BQ152" s="203"/>
      <c r="BR152" s="203"/>
      <c r="BS152" s="203"/>
      <c r="BT152" s="203"/>
      <c r="BU152" s="203"/>
      <c r="BV152" s="203"/>
      <c r="BW152" s="203"/>
      <c r="BX152" s="203"/>
    </row>
    <row r="153" spans="1:76" s="199" customFormat="1" ht="22.5" customHeight="1">
      <c r="A153" s="222">
        <v>148</v>
      </c>
      <c r="B153" s="222"/>
      <c r="C153" s="198"/>
      <c r="D153" s="193"/>
      <c r="E153" s="194"/>
      <c r="F153" s="222"/>
      <c r="G153" s="222"/>
      <c r="H153" s="193"/>
      <c r="I153" s="193"/>
      <c r="J153" s="193"/>
      <c r="K153" s="195"/>
      <c r="L153" s="196"/>
      <c r="M153" s="193"/>
      <c r="N153" s="197"/>
      <c r="O153" s="197"/>
      <c r="P153" s="197"/>
      <c r="Q153" s="197"/>
      <c r="R153" s="196"/>
      <c r="S153" s="195"/>
      <c r="T153" s="195"/>
      <c r="U153" s="197"/>
      <c r="V153" s="213"/>
      <c r="W153" s="198"/>
      <c r="X153" s="198"/>
      <c r="Y153" s="198"/>
      <c r="Z153" s="198"/>
      <c r="AA153" s="198"/>
      <c r="AB153" s="200"/>
      <c r="AC153" s="200"/>
      <c r="AD153" s="200"/>
      <c r="AE153" s="200"/>
      <c r="AF153" s="200"/>
      <c r="AG153" s="200"/>
      <c r="AH153" s="200"/>
      <c r="AI153" s="91"/>
      <c r="AJ153" s="91">
        <f t="shared" ca="1" si="5"/>
        <v>0</v>
      </c>
      <c r="AK153" s="91">
        <f t="shared" ca="1" si="6"/>
        <v>0</v>
      </c>
      <c r="AL153" s="203"/>
      <c r="AM153" s="203"/>
      <c r="AN153" s="203"/>
      <c r="AO153" s="203"/>
      <c r="AP153" s="203"/>
      <c r="AQ153" s="203"/>
      <c r="AR153" s="203"/>
      <c r="AS153" s="203"/>
      <c r="AT153" s="203"/>
      <c r="AU153" s="203"/>
      <c r="AV153" s="203"/>
      <c r="AW153" s="203"/>
      <c r="AX153" s="203"/>
      <c r="AY153" s="203"/>
      <c r="AZ153" s="203"/>
      <c r="BA153" s="203"/>
      <c r="BB153" s="203"/>
      <c r="BC153" s="203"/>
      <c r="BD153" s="203"/>
      <c r="BE153" s="203"/>
      <c r="BF153" s="203"/>
      <c r="BG153" s="203"/>
      <c r="BH153" s="203"/>
      <c r="BI153" s="203"/>
      <c r="BJ153" s="203"/>
      <c r="BK153" s="203"/>
      <c r="BL153" s="203"/>
      <c r="BM153" s="203"/>
      <c r="BN153" s="203"/>
      <c r="BO153" s="203"/>
      <c r="BP153" s="203"/>
      <c r="BQ153" s="203"/>
      <c r="BR153" s="203"/>
      <c r="BS153" s="203"/>
      <c r="BT153" s="203"/>
      <c r="BU153" s="203"/>
      <c r="BV153" s="203"/>
      <c r="BW153" s="203"/>
      <c r="BX153" s="203"/>
    </row>
    <row r="154" spans="1:76" s="199" customFormat="1" ht="22.5" customHeight="1">
      <c r="A154" s="222">
        <v>149</v>
      </c>
      <c r="B154" s="222"/>
      <c r="C154" s="198"/>
      <c r="D154" s="193"/>
      <c r="E154" s="194"/>
      <c r="F154" s="222"/>
      <c r="G154" s="222"/>
      <c r="H154" s="193"/>
      <c r="I154" s="193"/>
      <c r="J154" s="193"/>
      <c r="K154" s="195"/>
      <c r="L154" s="196"/>
      <c r="M154" s="193"/>
      <c r="N154" s="197"/>
      <c r="O154" s="197"/>
      <c r="P154" s="197"/>
      <c r="Q154" s="197"/>
      <c r="R154" s="196"/>
      <c r="S154" s="195"/>
      <c r="T154" s="195"/>
      <c r="U154" s="197"/>
      <c r="V154" s="213"/>
      <c r="W154" s="198"/>
      <c r="X154" s="198"/>
      <c r="Y154" s="198"/>
      <c r="Z154" s="198"/>
      <c r="AA154" s="198"/>
      <c r="AB154" s="200"/>
      <c r="AC154" s="200"/>
      <c r="AD154" s="200"/>
      <c r="AE154" s="200"/>
      <c r="AF154" s="200"/>
      <c r="AG154" s="200"/>
      <c r="AH154" s="200"/>
      <c r="AI154" s="91"/>
      <c r="AJ154" s="91">
        <f t="shared" ca="1" si="5"/>
        <v>0</v>
      </c>
      <c r="AK154" s="91">
        <f t="shared" ca="1" si="6"/>
        <v>0</v>
      </c>
      <c r="AL154" s="203"/>
      <c r="AM154" s="203"/>
      <c r="AN154" s="203"/>
      <c r="AO154" s="203"/>
      <c r="AP154" s="203"/>
      <c r="AQ154" s="203"/>
      <c r="AR154" s="203"/>
      <c r="AS154" s="203"/>
      <c r="AT154" s="203"/>
      <c r="AU154" s="203"/>
      <c r="AV154" s="203"/>
      <c r="AW154" s="203"/>
      <c r="AX154" s="203"/>
      <c r="AY154" s="203"/>
      <c r="AZ154" s="203"/>
      <c r="BA154" s="203"/>
      <c r="BB154" s="203"/>
      <c r="BC154" s="203"/>
      <c r="BD154" s="203"/>
      <c r="BE154" s="203"/>
      <c r="BF154" s="203"/>
      <c r="BG154" s="203"/>
      <c r="BH154" s="203"/>
      <c r="BI154" s="203"/>
      <c r="BJ154" s="203"/>
      <c r="BK154" s="203"/>
      <c r="BL154" s="203"/>
      <c r="BM154" s="203"/>
      <c r="BN154" s="203"/>
      <c r="BO154" s="203"/>
      <c r="BP154" s="203"/>
      <c r="BQ154" s="203"/>
      <c r="BR154" s="203"/>
      <c r="BS154" s="203"/>
      <c r="BT154" s="203"/>
      <c r="BU154" s="203"/>
      <c r="BV154" s="203"/>
      <c r="BW154" s="203"/>
      <c r="BX154" s="203"/>
    </row>
    <row r="155" spans="1:76" s="199" customFormat="1" ht="22.5" customHeight="1">
      <c r="A155" s="222">
        <v>150</v>
      </c>
      <c r="B155" s="222"/>
      <c r="C155" s="198"/>
      <c r="D155" s="193"/>
      <c r="E155" s="194"/>
      <c r="F155" s="222"/>
      <c r="G155" s="222"/>
      <c r="H155" s="193"/>
      <c r="I155" s="193"/>
      <c r="J155" s="193"/>
      <c r="K155" s="195"/>
      <c r="L155" s="196"/>
      <c r="M155" s="193"/>
      <c r="N155" s="197"/>
      <c r="O155" s="197"/>
      <c r="P155" s="197"/>
      <c r="Q155" s="197"/>
      <c r="R155" s="196"/>
      <c r="S155" s="195"/>
      <c r="T155" s="195"/>
      <c r="U155" s="197"/>
      <c r="V155" s="213"/>
      <c r="W155" s="198"/>
      <c r="X155" s="198"/>
      <c r="Y155" s="198"/>
      <c r="Z155" s="198"/>
      <c r="AA155" s="198"/>
      <c r="AB155" s="200"/>
      <c r="AC155" s="200"/>
      <c r="AD155" s="200"/>
      <c r="AE155" s="200"/>
      <c r="AF155" s="200"/>
      <c r="AG155" s="200"/>
      <c r="AH155" s="200"/>
      <c r="AI155" s="91"/>
      <c r="AJ155" s="91">
        <f t="shared" ca="1" si="5"/>
        <v>0</v>
      </c>
      <c r="AK155" s="91">
        <f t="shared" ca="1" si="6"/>
        <v>0</v>
      </c>
      <c r="AL155" s="203"/>
      <c r="AM155" s="203"/>
      <c r="AN155" s="203"/>
      <c r="AO155" s="203"/>
      <c r="AP155" s="203"/>
      <c r="AQ155" s="203"/>
      <c r="AR155" s="203"/>
      <c r="AS155" s="203"/>
      <c r="AT155" s="203"/>
      <c r="AU155" s="203"/>
      <c r="AV155" s="203"/>
      <c r="AW155" s="203"/>
      <c r="AX155" s="203"/>
      <c r="AY155" s="203"/>
      <c r="AZ155" s="203"/>
      <c r="BA155" s="203"/>
      <c r="BB155" s="203"/>
      <c r="BC155" s="203"/>
      <c r="BD155" s="203"/>
      <c r="BE155" s="203"/>
      <c r="BF155" s="203"/>
      <c r="BG155" s="203"/>
      <c r="BH155" s="203"/>
      <c r="BI155" s="203"/>
      <c r="BJ155" s="203"/>
      <c r="BK155" s="203"/>
      <c r="BL155" s="203"/>
      <c r="BM155" s="203"/>
      <c r="BN155" s="203"/>
      <c r="BO155" s="203"/>
      <c r="BP155" s="203"/>
      <c r="BQ155" s="203"/>
      <c r="BR155" s="203"/>
      <c r="BS155" s="203"/>
      <c r="BT155" s="203"/>
      <c r="BU155" s="203"/>
      <c r="BV155" s="203"/>
      <c r="BW155" s="203"/>
      <c r="BX155" s="203"/>
    </row>
    <row r="156" spans="1:76" s="199" customFormat="1" ht="22.5" customHeight="1">
      <c r="A156" s="222">
        <v>151</v>
      </c>
      <c r="B156" s="222"/>
      <c r="C156" s="198"/>
      <c r="D156" s="193"/>
      <c r="E156" s="194"/>
      <c r="F156" s="222"/>
      <c r="G156" s="222"/>
      <c r="H156" s="193"/>
      <c r="I156" s="193"/>
      <c r="J156" s="193"/>
      <c r="K156" s="195"/>
      <c r="L156" s="196"/>
      <c r="M156" s="193"/>
      <c r="N156" s="197"/>
      <c r="O156" s="197"/>
      <c r="P156" s="197"/>
      <c r="Q156" s="197"/>
      <c r="R156" s="196"/>
      <c r="S156" s="195"/>
      <c r="T156" s="195"/>
      <c r="U156" s="197"/>
      <c r="V156" s="213"/>
      <c r="W156" s="198"/>
      <c r="X156" s="198"/>
      <c r="Y156" s="198"/>
      <c r="Z156" s="198"/>
      <c r="AA156" s="198"/>
      <c r="AB156" s="200"/>
      <c r="AC156" s="200"/>
      <c r="AD156" s="200"/>
      <c r="AE156" s="200"/>
      <c r="AF156" s="200"/>
      <c r="AG156" s="200"/>
      <c r="AH156" s="200"/>
      <c r="AI156" s="91"/>
      <c r="AJ156" s="91">
        <f t="shared" ca="1" si="5"/>
        <v>0</v>
      </c>
      <c r="AK156" s="91">
        <f t="shared" ca="1" si="6"/>
        <v>0</v>
      </c>
      <c r="AL156" s="203"/>
      <c r="AM156" s="203"/>
      <c r="AN156" s="203"/>
      <c r="AO156" s="203"/>
      <c r="AP156" s="203"/>
      <c r="AQ156" s="203"/>
      <c r="AR156" s="203"/>
      <c r="AS156" s="203"/>
      <c r="AT156" s="203"/>
      <c r="AU156" s="203"/>
      <c r="AV156" s="203"/>
      <c r="AW156" s="203"/>
      <c r="AX156" s="203"/>
      <c r="AY156" s="203"/>
      <c r="AZ156" s="203"/>
      <c r="BA156" s="203"/>
      <c r="BB156" s="203"/>
      <c r="BC156" s="203"/>
      <c r="BD156" s="203"/>
      <c r="BE156" s="203"/>
      <c r="BF156" s="203"/>
      <c r="BG156" s="203"/>
      <c r="BH156" s="203"/>
      <c r="BI156" s="203"/>
      <c r="BJ156" s="203"/>
      <c r="BK156" s="203"/>
      <c r="BL156" s="203"/>
      <c r="BM156" s="203"/>
      <c r="BN156" s="203"/>
      <c r="BO156" s="203"/>
      <c r="BP156" s="203"/>
      <c r="BQ156" s="203"/>
      <c r="BR156" s="203"/>
      <c r="BS156" s="203"/>
      <c r="BT156" s="203"/>
      <c r="BU156" s="203"/>
      <c r="BV156" s="203"/>
      <c r="BW156" s="203"/>
      <c r="BX156" s="203"/>
    </row>
    <row r="157" spans="1:76" s="199" customFormat="1" ht="22.5" customHeight="1">
      <c r="A157" s="222">
        <v>152</v>
      </c>
      <c r="B157" s="222"/>
      <c r="C157" s="198"/>
      <c r="D157" s="193"/>
      <c r="E157" s="194"/>
      <c r="F157" s="222"/>
      <c r="G157" s="222"/>
      <c r="H157" s="193"/>
      <c r="I157" s="193"/>
      <c r="J157" s="193"/>
      <c r="K157" s="195"/>
      <c r="L157" s="196"/>
      <c r="M157" s="193"/>
      <c r="N157" s="197"/>
      <c r="O157" s="197"/>
      <c r="P157" s="197"/>
      <c r="Q157" s="197"/>
      <c r="R157" s="196"/>
      <c r="S157" s="195"/>
      <c r="T157" s="195"/>
      <c r="U157" s="197"/>
      <c r="V157" s="213"/>
      <c r="W157" s="198"/>
      <c r="X157" s="198"/>
      <c r="Y157" s="198"/>
      <c r="Z157" s="198"/>
      <c r="AA157" s="198"/>
      <c r="AB157" s="200"/>
      <c r="AC157" s="200"/>
      <c r="AD157" s="200"/>
      <c r="AE157" s="200"/>
      <c r="AF157" s="200"/>
      <c r="AG157" s="200"/>
      <c r="AH157" s="200"/>
      <c r="AI157" s="91"/>
      <c r="AJ157" s="91">
        <f t="shared" ca="1" si="5"/>
        <v>0</v>
      </c>
      <c r="AK157" s="91">
        <f t="shared" ca="1" si="6"/>
        <v>0</v>
      </c>
      <c r="AL157" s="203"/>
      <c r="AM157" s="203"/>
      <c r="AN157" s="203"/>
      <c r="AO157" s="203"/>
      <c r="AP157" s="203"/>
      <c r="AQ157" s="203"/>
      <c r="AR157" s="203"/>
      <c r="AS157" s="203"/>
      <c r="AT157" s="203"/>
      <c r="AU157" s="203"/>
      <c r="AV157" s="203"/>
      <c r="AW157" s="203"/>
      <c r="AX157" s="203"/>
      <c r="AY157" s="203"/>
      <c r="AZ157" s="203"/>
      <c r="BA157" s="203"/>
      <c r="BB157" s="203"/>
      <c r="BC157" s="203"/>
      <c r="BD157" s="203"/>
      <c r="BE157" s="203"/>
      <c r="BF157" s="203"/>
      <c r="BG157" s="203"/>
      <c r="BH157" s="203"/>
      <c r="BI157" s="203"/>
      <c r="BJ157" s="203"/>
      <c r="BK157" s="203"/>
      <c r="BL157" s="203"/>
      <c r="BM157" s="203"/>
      <c r="BN157" s="203"/>
      <c r="BO157" s="203"/>
      <c r="BP157" s="203"/>
      <c r="BQ157" s="203"/>
      <c r="BR157" s="203"/>
      <c r="BS157" s="203"/>
      <c r="BT157" s="203"/>
      <c r="BU157" s="203"/>
      <c r="BV157" s="203"/>
      <c r="BW157" s="203"/>
      <c r="BX157" s="203"/>
    </row>
    <row r="158" spans="1:76" s="199" customFormat="1" ht="22.5" customHeight="1">
      <c r="A158" s="222">
        <v>153</v>
      </c>
      <c r="B158" s="222"/>
      <c r="C158" s="198"/>
      <c r="D158" s="193"/>
      <c r="E158" s="194"/>
      <c r="F158" s="222"/>
      <c r="G158" s="222"/>
      <c r="H158" s="193"/>
      <c r="I158" s="193"/>
      <c r="J158" s="193"/>
      <c r="K158" s="195"/>
      <c r="L158" s="196"/>
      <c r="M158" s="193"/>
      <c r="N158" s="197"/>
      <c r="O158" s="197"/>
      <c r="P158" s="197"/>
      <c r="Q158" s="197"/>
      <c r="R158" s="196"/>
      <c r="S158" s="195"/>
      <c r="T158" s="195"/>
      <c r="U158" s="197"/>
      <c r="V158" s="213"/>
      <c r="W158" s="198"/>
      <c r="X158" s="198"/>
      <c r="Y158" s="198"/>
      <c r="Z158" s="198"/>
      <c r="AA158" s="198"/>
      <c r="AB158" s="200"/>
      <c r="AC158" s="200"/>
      <c r="AD158" s="200"/>
      <c r="AE158" s="200"/>
      <c r="AF158" s="200"/>
      <c r="AG158" s="200"/>
      <c r="AH158" s="200"/>
      <c r="AI158" s="91"/>
      <c r="AJ158" s="91">
        <f t="shared" ca="1" si="5"/>
        <v>0</v>
      </c>
      <c r="AK158" s="91">
        <f t="shared" ca="1" si="6"/>
        <v>0</v>
      </c>
      <c r="AL158" s="203"/>
      <c r="AM158" s="203"/>
      <c r="AN158" s="203"/>
      <c r="AO158" s="203"/>
      <c r="AP158" s="203"/>
      <c r="AQ158" s="203"/>
      <c r="AR158" s="203"/>
      <c r="AS158" s="203"/>
      <c r="AT158" s="203"/>
      <c r="AU158" s="203"/>
      <c r="AV158" s="203"/>
      <c r="AW158" s="203"/>
      <c r="AX158" s="203"/>
      <c r="AY158" s="203"/>
      <c r="AZ158" s="203"/>
      <c r="BA158" s="203"/>
      <c r="BB158" s="203"/>
      <c r="BC158" s="203"/>
      <c r="BD158" s="203"/>
      <c r="BE158" s="203"/>
      <c r="BF158" s="203"/>
      <c r="BG158" s="203"/>
      <c r="BH158" s="203"/>
      <c r="BI158" s="203"/>
      <c r="BJ158" s="203"/>
      <c r="BK158" s="203"/>
      <c r="BL158" s="203"/>
      <c r="BM158" s="203"/>
      <c r="BN158" s="203"/>
      <c r="BO158" s="203"/>
      <c r="BP158" s="203"/>
      <c r="BQ158" s="203"/>
      <c r="BR158" s="203"/>
      <c r="BS158" s="203"/>
      <c r="BT158" s="203"/>
      <c r="BU158" s="203"/>
      <c r="BV158" s="203"/>
      <c r="BW158" s="203"/>
      <c r="BX158" s="203"/>
    </row>
    <row r="159" spans="1:76" s="199" customFormat="1" ht="22.5" customHeight="1">
      <c r="A159" s="222">
        <v>154</v>
      </c>
      <c r="B159" s="222"/>
      <c r="C159" s="198"/>
      <c r="D159" s="193"/>
      <c r="E159" s="194"/>
      <c r="F159" s="222"/>
      <c r="G159" s="222"/>
      <c r="H159" s="193"/>
      <c r="I159" s="193"/>
      <c r="J159" s="193"/>
      <c r="K159" s="195"/>
      <c r="L159" s="196"/>
      <c r="M159" s="193"/>
      <c r="N159" s="197"/>
      <c r="O159" s="197"/>
      <c r="P159" s="197"/>
      <c r="Q159" s="197"/>
      <c r="R159" s="196"/>
      <c r="S159" s="195"/>
      <c r="T159" s="195"/>
      <c r="U159" s="197"/>
      <c r="V159" s="213"/>
      <c r="W159" s="198"/>
      <c r="X159" s="198"/>
      <c r="Y159" s="198"/>
      <c r="Z159" s="198"/>
      <c r="AA159" s="198"/>
      <c r="AB159" s="200"/>
      <c r="AC159" s="200"/>
      <c r="AD159" s="200"/>
      <c r="AE159" s="200"/>
      <c r="AF159" s="200"/>
      <c r="AG159" s="200"/>
      <c r="AH159" s="200"/>
      <c r="AI159" s="91"/>
      <c r="AJ159" s="91">
        <f t="shared" ca="1" si="5"/>
        <v>0</v>
      </c>
      <c r="AK159" s="91">
        <f t="shared" ca="1" si="6"/>
        <v>0</v>
      </c>
      <c r="AL159" s="203"/>
      <c r="AM159" s="203"/>
      <c r="AN159" s="203"/>
      <c r="AO159" s="203"/>
      <c r="AP159" s="203"/>
      <c r="AQ159" s="203"/>
      <c r="AR159" s="203"/>
      <c r="AS159" s="203"/>
      <c r="AT159" s="203"/>
      <c r="AU159" s="203"/>
      <c r="AV159" s="203"/>
      <c r="AW159" s="203"/>
      <c r="AX159" s="203"/>
      <c r="AY159" s="203"/>
      <c r="AZ159" s="203"/>
      <c r="BA159" s="203"/>
      <c r="BB159" s="203"/>
      <c r="BC159" s="203"/>
      <c r="BD159" s="203"/>
      <c r="BE159" s="203"/>
      <c r="BF159" s="203"/>
      <c r="BG159" s="203"/>
      <c r="BH159" s="203"/>
      <c r="BI159" s="203"/>
      <c r="BJ159" s="203"/>
      <c r="BK159" s="203"/>
      <c r="BL159" s="203"/>
      <c r="BM159" s="203"/>
      <c r="BN159" s="203"/>
      <c r="BO159" s="203"/>
      <c r="BP159" s="203"/>
      <c r="BQ159" s="203"/>
      <c r="BR159" s="203"/>
      <c r="BS159" s="203"/>
      <c r="BT159" s="203"/>
      <c r="BU159" s="203"/>
      <c r="BV159" s="203"/>
      <c r="BW159" s="203"/>
      <c r="BX159" s="203"/>
    </row>
    <row r="160" spans="1:76" s="199" customFormat="1" ht="22.5" customHeight="1">
      <c r="A160" s="222">
        <v>155</v>
      </c>
      <c r="B160" s="222"/>
      <c r="C160" s="198"/>
      <c r="D160" s="193"/>
      <c r="E160" s="194"/>
      <c r="F160" s="222"/>
      <c r="G160" s="222"/>
      <c r="H160" s="193"/>
      <c r="I160" s="193"/>
      <c r="J160" s="193"/>
      <c r="K160" s="195"/>
      <c r="L160" s="196"/>
      <c r="M160" s="193"/>
      <c r="N160" s="197"/>
      <c r="O160" s="197"/>
      <c r="P160" s="197"/>
      <c r="Q160" s="197"/>
      <c r="R160" s="196"/>
      <c r="S160" s="195"/>
      <c r="T160" s="195"/>
      <c r="U160" s="197"/>
      <c r="V160" s="213"/>
      <c r="W160" s="198"/>
      <c r="X160" s="198"/>
      <c r="Y160" s="198"/>
      <c r="Z160" s="198"/>
      <c r="AA160" s="198"/>
      <c r="AB160" s="200"/>
      <c r="AC160" s="200"/>
      <c r="AD160" s="200"/>
      <c r="AE160" s="200"/>
      <c r="AF160" s="200"/>
      <c r="AG160" s="200"/>
      <c r="AH160" s="200"/>
      <c r="AI160" s="91"/>
      <c r="AJ160" s="91">
        <f t="shared" ca="1" si="5"/>
        <v>0</v>
      </c>
      <c r="AK160" s="91">
        <f t="shared" ca="1" si="6"/>
        <v>0</v>
      </c>
      <c r="AL160" s="203"/>
      <c r="AM160" s="203"/>
      <c r="AN160" s="203"/>
      <c r="AO160" s="203"/>
      <c r="AP160" s="203"/>
      <c r="AQ160" s="203"/>
      <c r="AR160" s="203"/>
      <c r="AS160" s="203"/>
      <c r="AT160" s="203"/>
      <c r="AU160" s="203"/>
      <c r="AV160" s="203"/>
      <c r="AW160" s="203"/>
      <c r="AX160" s="203"/>
      <c r="AY160" s="203"/>
      <c r="AZ160" s="203"/>
      <c r="BA160" s="203"/>
      <c r="BB160" s="203"/>
      <c r="BC160" s="203"/>
      <c r="BD160" s="203"/>
      <c r="BE160" s="203"/>
      <c r="BF160" s="203"/>
      <c r="BG160" s="203"/>
      <c r="BH160" s="203"/>
      <c r="BI160" s="203"/>
      <c r="BJ160" s="203"/>
      <c r="BK160" s="203"/>
      <c r="BL160" s="203"/>
      <c r="BM160" s="203"/>
      <c r="BN160" s="203"/>
      <c r="BO160" s="203"/>
      <c r="BP160" s="203"/>
      <c r="BQ160" s="203"/>
      <c r="BR160" s="203"/>
      <c r="BS160" s="203"/>
      <c r="BT160" s="203"/>
      <c r="BU160" s="203"/>
      <c r="BV160" s="203"/>
      <c r="BW160" s="203"/>
      <c r="BX160" s="203"/>
    </row>
    <row r="161" spans="1:76" s="199" customFormat="1" ht="22.5" customHeight="1">
      <c r="A161" s="222">
        <v>156</v>
      </c>
      <c r="B161" s="222"/>
      <c r="C161" s="198"/>
      <c r="D161" s="193"/>
      <c r="E161" s="194"/>
      <c r="F161" s="222"/>
      <c r="G161" s="222"/>
      <c r="H161" s="193"/>
      <c r="I161" s="193"/>
      <c r="J161" s="193"/>
      <c r="K161" s="195"/>
      <c r="L161" s="196"/>
      <c r="M161" s="193"/>
      <c r="N161" s="197"/>
      <c r="O161" s="197"/>
      <c r="P161" s="197"/>
      <c r="Q161" s="197"/>
      <c r="R161" s="196"/>
      <c r="S161" s="195"/>
      <c r="T161" s="195"/>
      <c r="U161" s="197"/>
      <c r="V161" s="213"/>
      <c r="W161" s="198"/>
      <c r="X161" s="198"/>
      <c r="Y161" s="198"/>
      <c r="Z161" s="198"/>
      <c r="AA161" s="198"/>
      <c r="AB161" s="200"/>
      <c r="AC161" s="200"/>
      <c r="AD161" s="200"/>
      <c r="AE161" s="200"/>
      <c r="AF161" s="200"/>
      <c r="AG161" s="200"/>
      <c r="AH161" s="200"/>
      <c r="AI161" s="91"/>
      <c r="AJ161" s="91">
        <f t="shared" ca="1" si="5"/>
        <v>0</v>
      </c>
      <c r="AK161" s="91">
        <f t="shared" ca="1" si="6"/>
        <v>0</v>
      </c>
      <c r="AL161" s="203"/>
      <c r="AM161" s="203"/>
      <c r="AN161" s="203"/>
      <c r="AO161" s="203"/>
      <c r="AP161" s="203"/>
      <c r="AQ161" s="203"/>
      <c r="AR161" s="203"/>
      <c r="AS161" s="203"/>
      <c r="AT161" s="203"/>
      <c r="AU161" s="203"/>
      <c r="AV161" s="203"/>
      <c r="AW161" s="203"/>
      <c r="AX161" s="203"/>
      <c r="AY161" s="203"/>
      <c r="AZ161" s="203"/>
      <c r="BA161" s="203"/>
      <c r="BB161" s="203"/>
      <c r="BC161" s="203"/>
      <c r="BD161" s="203"/>
      <c r="BE161" s="203"/>
      <c r="BF161" s="203"/>
      <c r="BG161" s="203"/>
      <c r="BH161" s="203"/>
      <c r="BI161" s="203"/>
      <c r="BJ161" s="203"/>
      <c r="BK161" s="203"/>
      <c r="BL161" s="203"/>
      <c r="BM161" s="203"/>
      <c r="BN161" s="203"/>
      <c r="BO161" s="203"/>
      <c r="BP161" s="203"/>
      <c r="BQ161" s="203"/>
      <c r="BR161" s="203"/>
      <c r="BS161" s="203"/>
      <c r="BT161" s="203"/>
      <c r="BU161" s="203"/>
      <c r="BV161" s="203"/>
      <c r="BW161" s="203"/>
      <c r="BX161" s="203"/>
    </row>
    <row r="162" spans="1:76" s="199" customFormat="1" ht="22.5" customHeight="1">
      <c r="A162" s="222">
        <v>157</v>
      </c>
      <c r="B162" s="222"/>
      <c r="C162" s="198"/>
      <c r="D162" s="193"/>
      <c r="E162" s="194"/>
      <c r="F162" s="222"/>
      <c r="G162" s="222"/>
      <c r="H162" s="193"/>
      <c r="I162" s="193"/>
      <c r="J162" s="193"/>
      <c r="K162" s="195"/>
      <c r="L162" s="196"/>
      <c r="M162" s="193"/>
      <c r="N162" s="197"/>
      <c r="O162" s="197"/>
      <c r="P162" s="197"/>
      <c r="Q162" s="197"/>
      <c r="R162" s="196"/>
      <c r="S162" s="195"/>
      <c r="T162" s="195"/>
      <c r="U162" s="197"/>
      <c r="V162" s="213"/>
      <c r="W162" s="198"/>
      <c r="X162" s="198"/>
      <c r="Y162" s="198"/>
      <c r="Z162" s="198"/>
      <c r="AA162" s="198"/>
      <c r="AB162" s="200"/>
      <c r="AC162" s="200"/>
      <c r="AD162" s="200"/>
      <c r="AE162" s="200"/>
      <c r="AF162" s="200"/>
      <c r="AG162" s="200"/>
      <c r="AH162" s="200"/>
      <c r="AI162" s="91"/>
      <c r="AJ162" s="91">
        <f t="shared" ca="1" si="5"/>
        <v>0</v>
      </c>
      <c r="AK162" s="91">
        <f t="shared" ca="1" si="6"/>
        <v>0</v>
      </c>
      <c r="AL162" s="203"/>
      <c r="AM162" s="203"/>
      <c r="AN162" s="203"/>
      <c r="AO162" s="203"/>
      <c r="AP162" s="203"/>
      <c r="AQ162" s="203"/>
      <c r="AR162" s="203"/>
      <c r="AS162" s="203"/>
      <c r="AT162" s="203"/>
      <c r="AU162" s="203"/>
      <c r="AV162" s="203"/>
      <c r="AW162" s="203"/>
      <c r="AX162" s="203"/>
      <c r="AY162" s="203"/>
      <c r="AZ162" s="203"/>
      <c r="BA162" s="203"/>
      <c r="BB162" s="203"/>
      <c r="BC162" s="203"/>
      <c r="BD162" s="203"/>
      <c r="BE162" s="203"/>
      <c r="BF162" s="203"/>
      <c r="BG162" s="203"/>
      <c r="BH162" s="203"/>
      <c r="BI162" s="203"/>
      <c r="BJ162" s="203"/>
      <c r="BK162" s="203"/>
      <c r="BL162" s="203"/>
      <c r="BM162" s="203"/>
      <c r="BN162" s="203"/>
      <c r="BO162" s="203"/>
      <c r="BP162" s="203"/>
      <c r="BQ162" s="203"/>
      <c r="BR162" s="203"/>
      <c r="BS162" s="203"/>
      <c r="BT162" s="203"/>
      <c r="BU162" s="203"/>
      <c r="BV162" s="203"/>
      <c r="BW162" s="203"/>
      <c r="BX162" s="203"/>
    </row>
    <row r="163" spans="1:76" s="199" customFormat="1" ht="22.5" customHeight="1">
      <c r="A163" s="222">
        <v>158</v>
      </c>
      <c r="B163" s="222"/>
      <c r="C163" s="198"/>
      <c r="D163" s="193"/>
      <c r="E163" s="194"/>
      <c r="F163" s="222"/>
      <c r="G163" s="222"/>
      <c r="H163" s="193"/>
      <c r="I163" s="193"/>
      <c r="J163" s="193"/>
      <c r="K163" s="195"/>
      <c r="L163" s="196"/>
      <c r="M163" s="193"/>
      <c r="N163" s="197"/>
      <c r="O163" s="197"/>
      <c r="P163" s="197"/>
      <c r="Q163" s="197"/>
      <c r="R163" s="196"/>
      <c r="S163" s="195"/>
      <c r="T163" s="195"/>
      <c r="U163" s="197"/>
      <c r="V163" s="213"/>
      <c r="W163" s="198"/>
      <c r="X163" s="198"/>
      <c r="Y163" s="198"/>
      <c r="Z163" s="198"/>
      <c r="AA163" s="198"/>
      <c r="AB163" s="200"/>
      <c r="AC163" s="200"/>
      <c r="AD163" s="200"/>
      <c r="AE163" s="200"/>
      <c r="AF163" s="200"/>
      <c r="AG163" s="200"/>
      <c r="AH163" s="200"/>
      <c r="AI163" s="91"/>
      <c r="AJ163" s="91">
        <f t="shared" ca="1" si="5"/>
        <v>0</v>
      </c>
      <c r="AK163" s="91">
        <f t="shared" ca="1" si="6"/>
        <v>0</v>
      </c>
      <c r="AL163" s="203"/>
      <c r="AM163" s="203"/>
      <c r="AN163" s="203"/>
      <c r="AO163" s="203"/>
      <c r="AP163" s="203"/>
      <c r="AQ163" s="203"/>
      <c r="AR163" s="203"/>
      <c r="AS163" s="203"/>
      <c r="AT163" s="203"/>
      <c r="AU163" s="203"/>
      <c r="AV163" s="203"/>
      <c r="AW163" s="203"/>
      <c r="AX163" s="203"/>
      <c r="AY163" s="203"/>
      <c r="AZ163" s="203"/>
      <c r="BA163" s="203"/>
      <c r="BB163" s="203"/>
      <c r="BC163" s="203"/>
      <c r="BD163" s="203"/>
      <c r="BE163" s="203"/>
      <c r="BF163" s="203"/>
      <c r="BG163" s="203"/>
      <c r="BH163" s="203"/>
      <c r="BI163" s="203"/>
      <c r="BJ163" s="203"/>
      <c r="BK163" s="203"/>
      <c r="BL163" s="203"/>
      <c r="BM163" s="203"/>
      <c r="BN163" s="203"/>
      <c r="BO163" s="203"/>
      <c r="BP163" s="203"/>
      <c r="BQ163" s="203"/>
      <c r="BR163" s="203"/>
      <c r="BS163" s="203"/>
      <c r="BT163" s="203"/>
      <c r="BU163" s="203"/>
      <c r="BV163" s="203"/>
      <c r="BW163" s="203"/>
      <c r="BX163" s="203"/>
    </row>
    <row r="164" spans="1:76" s="199" customFormat="1" ht="22.5" customHeight="1">
      <c r="A164" s="222">
        <v>159</v>
      </c>
      <c r="B164" s="222"/>
      <c r="C164" s="198"/>
      <c r="D164" s="193"/>
      <c r="E164" s="194"/>
      <c r="F164" s="222"/>
      <c r="G164" s="222"/>
      <c r="H164" s="193"/>
      <c r="I164" s="193"/>
      <c r="J164" s="193"/>
      <c r="K164" s="195"/>
      <c r="L164" s="196"/>
      <c r="M164" s="193"/>
      <c r="N164" s="197"/>
      <c r="O164" s="197"/>
      <c r="P164" s="197"/>
      <c r="Q164" s="197"/>
      <c r="R164" s="196"/>
      <c r="S164" s="195"/>
      <c r="T164" s="195"/>
      <c r="U164" s="197"/>
      <c r="V164" s="213"/>
      <c r="W164" s="198"/>
      <c r="X164" s="198"/>
      <c r="Y164" s="198"/>
      <c r="Z164" s="198"/>
      <c r="AA164" s="198"/>
      <c r="AB164" s="200"/>
      <c r="AC164" s="200"/>
      <c r="AD164" s="200"/>
      <c r="AE164" s="200"/>
      <c r="AF164" s="200"/>
      <c r="AG164" s="200"/>
      <c r="AH164" s="200"/>
      <c r="AI164" s="91"/>
      <c r="AJ164" s="91">
        <f t="shared" ca="1" si="5"/>
        <v>0</v>
      </c>
      <c r="AK164" s="91">
        <f t="shared" ca="1" si="6"/>
        <v>0</v>
      </c>
      <c r="AL164" s="203"/>
      <c r="AM164" s="203"/>
      <c r="AN164" s="203"/>
      <c r="AO164" s="203"/>
      <c r="AP164" s="203"/>
      <c r="AQ164" s="203"/>
      <c r="AR164" s="203"/>
      <c r="AS164" s="203"/>
      <c r="AT164" s="203"/>
      <c r="AU164" s="203"/>
      <c r="AV164" s="203"/>
      <c r="AW164" s="203"/>
      <c r="AX164" s="203"/>
      <c r="AY164" s="203"/>
      <c r="AZ164" s="203"/>
      <c r="BA164" s="203"/>
      <c r="BB164" s="203"/>
      <c r="BC164" s="203"/>
      <c r="BD164" s="203"/>
      <c r="BE164" s="203"/>
      <c r="BF164" s="203"/>
      <c r="BG164" s="203"/>
      <c r="BH164" s="203"/>
      <c r="BI164" s="203"/>
      <c r="BJ164" s="203"/>
      <c r="BK164" s="203"/>
      <c r="BL164" s="203"/>
      <c r="BM164" s="203"/>
      <c r="BN164" s="203"/>
      <c r="BO164" s="203"/>
      <c r="BP164" s="203"/>
      <c r="BQ164" s="203"/>
      <c r="BR164" s="203"/>
      <c r="BS164" s="203"/>
      <c r="BT164" s="203"/>
      <c r="BU164" s="203"/>
      <c r="BV164" s="203"/>
      <c r="BW164" s="203"/>
      <c r="BX164" s="203"/>
    </row>
    <row r="165" spans="1:76" s="199" customFormat="1" ht="22.5" customHeight="1">
      <c r="A165" s="222">
        <v>160</v>
      </c>
      <c r="B165" s="222"/>
      <c r="C165" s="198"/>
      <c r="D165" s="193"/>
      <c r="E165" s="194"/>
      <c r="F165" s="222"/>
      <c r="G165" s="222"/>
      <c r="H165" s="193"/>
      <c r="I165" s="193"/>
      <c r="J165" s="193"/>
      <c r="K165" s="195"/>
      <c r="L165" s="196"/>
      <c r="M165" s="193"/>
      <c r="N165" s="197"/>
      <c r="O165" s="197"/>
      <c r="P165" s="197"/>
      <c r="Q165" s="197"/>
      <c r="R165" s="196"/>
      <c r="S165" s="195"/>
      <c r="T165" s="195"/>
      <c r="U165" s="197"/>
      <c r="V165" s="213"/>
      <c r="W165" s="198"/>
      <c r="X165" s="198"/>
      <c r="Y165" s="198"/>
      <c r="Z165" s="198"/>
      <c r="AA165" s="198"/>
      <c r="AB165" s="200"/>
      <c r="AC165" s="200"/>
      <c r="AD165" s="200"/>
      <c r="AE165" s="200"/>
      <c r="AF165" s="200"/>
      <c r="AG165" s="200"/>
      <c r="AH165" s="200"/>
      <c r="AI165" s="91"/>
      <c r="AJ165" s="91">
        <f t="shared" ca="1" si="5"/>
        <v>0</v>
      </c>
      <c r="AK165" s="91">
        <f t="shared" ca="1" si="6"/>
        <v>0</v>
      </c>
      <c r="AL165" s="203"/>
      <c r="AM165" s="203"/>
      <c r="AN165" s="203"/>
      <c r="AO165" s="203"/>
      <c r="AP165" s="203"/>
      <c r="AQ165" s="203"/>
      <c r="AR165" s="203"/>
      <c r="AS165" s="203"/>
      <c r="AT165" s="203"/>
      <c r="AU165" s="203"/>
      <c r="AV165" s="203"/>
      <c r="AW165" s="203"/>
      <c r="AX165" s="203"/>
      <c r="AY165" s="203"/>
      <c r="AZ165" s="203"/>
      <c r="BA165" s="203"/>
      <c r="BB165" s="203"/>
      <c r="BC165" s="203"/>
      <c r="BD165" s="203"/>
      <c r="BE165" s="203"/>
      <c r="BF165" s="203"/>
      <c r="BG165" s="203"/>
      <c r="BH165" s="203"/>
      <c r="BI165" s="203"/>
      <c r="BJ165" s="203"/>
      <c r="BK165" s="203"/>
      <c r="BL165" s="203"/>
      <c r="BM165" s="203"/>
      <c r="BN165" s="203"/>
      <c r="BO165" s="203"/>
      <c r="BP165" s="203"/>
      <c r="BQ165" s="203"/>
      <c r="BR165" s="203"/>
      <c r="BS165" s="203"/>
      <c r="BT165" s="203"/>
      <c r="BU165" s="203"/>
      <c r="BV165" s="203"/>
      <c r="BW165" s="203"/>
      <c r="BX165" s="203"/>
    </row>
    <row r="166" spans="1:76" s="199" customFormat="1" ht="22.5" customHeight="1">
      <c r="A166" s="222">
        <v>161</v>
      </c>
      <c r="B166" s="222"/>
      <c r="C166" s="198"/>
      <c r="D166" s="193"/>
      <c r="E166" s="194"/>
      <c r="F166" s="222"/>
      <c r="G166" s="222"/>
      <c r="H166" s="193"/>
      <c r="I166" s="193"/>
      <c r="J166" s="193"/>
      <c r="K166" s="195"/>
      <c r="L166" s="196"/>
      <c r="M166" s="193"/>
      <c r="N166" s="197"/>
      <c r="O166" s="197"/>
      <c r="P166" s="197"/>
      <c r="Q166" s="197"/>
      <c r="R166" s="196"/>
      <c r="S166" s="195"/>
      <c r="T166" s="195"/>
      <c r="U166" s="197"/>
      <c r="V166" s="213"/>
      <c r="W166" s="198"/>
      <c r="X166" s="198"/>
      <c r="Y166" s="198"/>
      <c r="Z166" s="198"/>
      <c r="AA166" s="198"/>
      <c r="AB166" s="200"/>
      <c r="AC166" s="200"/>
      <c r="AD166" s="200"/>
      <c r="AE166" s="200"/>
      <c r="AF166" s="200"/>
      <c r="AG166" s="200"/>
      <c r="AH166" s="200"/>
      <c r="AI166" s="91"/>
      <c r="AJ166" s="91">
        <f t="shared" ca="1" si="5"/>
        <v>0</v>
      </c>
      <c r="AK166" s="91">
        <f t="shared" ca="1" si="6"/>
        <v>0</v>
      </c>
      <c r="AL166" s="203"/>
      <c r="AM166" s="203"/>
      <c r="AN166" s="203"/>
      <c r="AO166" s="203"/>
      <c r="AP166" s="203"/>
      <c r="AQ166" s="203"/>
      <c r="AR166" s="203"/>
      <c r="AS166" s="203"/>
      <c r="AT166" s="203"/>
      <c r="AU166" s="203"/>
      <c r="AV166" s="203"/>
      <c r="AW166" s="203"/>
      <c r="AX166" s="203"/>
      <c r="AY166" s="203"/>
      <c r="AZ166" s="203"/>
      <c r="BA166" s="203"/>
      <c r="BB166" s="203"/>
      <c r="BC166" s="203"/>
      <c r="BD166" s="203"/>
      <c r="BE166" s="203"/>
      <c r="BF166" s="203"/>
      <c r="BG166" s="203"/>
      <c r="BH166" s="203"/>
      <c r="BI166" s="203"/>
      <c r="BJ166" s="203"/>
      <c r="BK166" s="203"/>
      <c r="BL166" s="203"/>
      <c r="BM166" s="203"/>
      <c r="BN166" s="203"/>
      <c r="BO166" s="203"/>
      <c r="BP166" s="203"/>
      <c r="BQ166" s="203"/>
      <c r="BR166" s="203"/>
      <c r="BS166" s="203"/>
      <c r="BT166" s="203"/>
      <c r="BU166" s="203"/>
      <c r="BV166" s="203"/>
      <c r="BW166" s="203"/>
      <c r="BX166" s="203"/>
    </row>
    <row r="167" spans="1:76" s="199" customFormat="1" ht="22.5" customHeight="1">
      <c r="A167" s="222">
        <v>162</v>
      </c>
      <c r="B167" s="222"/>
      <c r="C167" s="198"/>
      <c r="D167" s="193"/>
      <c r="E167" s="194"/>
      <c r="F167" s="222"/>
      <c r="G167" s="222"/>
      <c r="H167" s="193"/>
      <c r="I167" s="193"/>
      <c r="J167" s="193"/>
      <c r="K167" s="195"/>
      <c r="L167" s="196"/>
      <c r="M167" s="193"/>
      <c r="N167" s="197"/>
      <c r="O167" s="197"/>
      <c r="P167" s="197"/>
      <c r="Q167" s="197"/>
      <c r="R167" s="196"/>
      <c r="S167" s="195"/>
      <c r="T167" s="195"/>
      <c r="U167" s="197"/>
      <c r="V167" s="213"/>
      <c r="W167" s="198"/>
      <c r="X167" s="198"/>
      <c r="Y167" s="198"/>
      <c r="Z167" s="198"/>
      <c r="AA167" s="198"/>
      <c r="AB167" s="200"/>
      <c r="AC167" s="200"/>
      <c r="AD167" s="200"/>
      <c r="AE167" s="200"/>
      <c r="AF167" s="200"/>
      <c r="AG167" s="200"/>
      <c r="AH167" s="200"/>
      <c r="AI167" s="91"/>
      <c r="AJ167" s="91">
        <f t="shared" ca="1" si="5"/>
        <v>0</v>
      </c>
      <c r="AK167" s="91">
        <f t="shared" ca="1" si="6"/>
        <v>0</v>
      </c>
      <c r="AL167" s="203"/>
      <c r="AM167" s="203"/>
      <c r="AN167" s="203"/>
      <c r="AO167" s="203"/>
      <c r="AP167" s="203"/>
      <c r="AQ167" s="203"/>
      <c r="AR167" s="203"/>
      <c r="AS167" s="203"/>
      <c r="AT167" s="203"/>
      <c r="AU167" s="203"/>
      <c r="AV167" s="203"/>
      <c r="AW167" s="203"/>
      <c r="AX167" s="203"/>
      <c r="AY167" s="203"/>
      <c r="AZ167" s="203"/>
      <c r="BA167" s="203"/>
      <c r="BB167" s="203"/>
      <c r="BC167" s="203"/>
      <c r="BD167" s="203"/>
      <c r="BE167" s="203"/>
      <c r="BF167" s="203"/>
      <c r="BG167" s="203"/>
      <c r="BH167" s="203"/>
      <c r="BI167" s="203"/>
      <c r="BJ167" s="203"/>
      <c r="BK167" s="203"/>
      <c r="BL167" s="203"/>
      <c r="BM167" s="203"/>
      <c r="BN167" s="203"/>
      <c r="BO167" s="203"/>
      <c r="BP167" s="203"/>
      <c r="BQ167" s="203"/>
      <c r="BR167" s="203"/>
      <c r="BS167" s="203"/>
      <c r="BT167" s="203"/>
      <c r="BU167" s="203"/>
      <c r="BV167" s="203"/>
      <c r="BW167" s="203"/>
      <c r="BX167" s="203"/>
    </row>
    <row r="168" spans="1:76" s="199" customFormat="1" ht="22.5" customHeight="1">
      <c r="A168" s="222">
        <v>163</v>
      </c>
      <c r="B168" s="222"/>
      <c r="C168" s="198"/>
      <c r="D168" s="193"/>
      <c r="E168" s="194"/>
      <c r="F168" s="222"/>
      <c r="G168" s="222"/>
      <c r="H168" s="193"/>
      <c r="I168" s="193"/>
      <c r="J168" s="193"/>
      <c r="K168" s="195"/>
      <c r="L168" s="196"/>
      <c r="M168" s="193"/>
      <c r="N168" s="197"/>
      <c r="O168" s="197"/>
      <c r="P168" s="197"/>
      <c r="Q168" s="197"/>
      <c r="R168" s="196"/>
      <c r="S168" s="195"/>
      <c r="T168" s="195"/>
      <c r="U168" s="197"/>
      <c r="V168" s="213"/>
      <c r="W168" s="198"/>
      <c r="X168" s="198"/>
      <c r="Y168" s="198"/>
      <c r="Z168" s="198"/>
      <c r="AA168" s="198"/>
      <c r="AB168" s="200"/>
      <c r="AC168" s="200"/>
      <c r="AD168" s="200"/>
      <c r="AE168" s="200"/>
      <c r="AF168" s="200"/>
      <c r="AG168" s="200"/>
      <c r="AH168" s="200"/>
      <c r="AI168" s="91"/>
      <c r="AJ168" s="91">
        <f t="shared" ca="1" si="5"/>
        <v>0</v>
      </c>
      <c r="AK168" s="91">
        <f t="shared" ca="1" si="6"/>
        <v>0</v>
      </c>
      <c r="AL168" s="203"/>
      <c r="AM168" s="203"/>
      <c r="AN168" s="203"/>
      <c r="AO168" s="203"/>
      <c r="AP168" s="203"/>
      <c r="AQ168" s="203"/>
      <c r="AR168" s="203"/>
      <c r="AS168" s="203"/>
      <c r="AT168" s="203"/>
      <c r="AU168" s="203"/>
      <c r="AV168" s="203"/>
      <c r="AW168" s="203"/>
      <c r="AX168" s="203"/>
      <c r="AY168" s="203"/>
      <c r="AZ168" s="203"/>
      <c r="BA168" s="203"/>
      <c r="BB168" s="203"/>
      <c r="BC168" s="203"/>
      <c r="BD168" s="203"/>
      <c r="BE168" s="203"/>
      <c r="BF168" s="203"/>
      <c r="BG168" s="203"/>
      <c r="BH168" s="203"/>
      <c r="BI168" s="203"/>
      <c r="BJ168" s="203"/>
      <c r="BK168" s="203"/>
      <c r="BL168" s="203"/>
      <c r="BM168" s="203"/>
      <c r="BN168" s="203"/>
      <c r="BO168" s="203"/>
      <c r="BP168" s="203"/>
      <c r="BQ168" s="203"/>
      <c r="BR168" s="203"/>
      <c r="BS168" s="203"/>
      <c r="BT168" s="203"/>
      <c r="BU168" s="203"/>
      <c r="BV168" s="203"/>
      <c r="BW168" s="203"/>
      <c r="BX168" s="203"/>
    </row>
    <row r="169" spans="1:76" s="199" customFormat="1" ht="22.5" customHeight="1">
      <c r="A169" s="222">
        <v>164</v>
      </c>
      <c r="B169" s="222"/>
      <c r="C169" s="198"/>
      <c r="D169" s="193"/>
      <c r="E169" s="194"/>
      <c r="F169" s="222"/>
      <c r="G169" s="222"/>
      <c r="H169" s="193"/>
      <c r="I169" s="193"/>
      <c r="J169" s="193"/>
      <c r="K169" s="195"/>
      <c r="L169" s="196"/>
      <c r="M169" s="193"/>
      <c r="N169" s="197"/>
      <c r="O169" s="197"/>
      <c r="P169" s="197"/>
      <c r="Q169" s="197"/>
      <c r="R169" s="196"/>
      <c r="S169" s="195"/>
      <c r="T169" s="195"/>
      <c r="U169" s="197"/>
      <c r="V169" s="213"/>
      <c r="W169" s="198"/>
      <c r="X169" s="198"/>
      <c r="Y169" s="198"/>
      <c r="Z169" s="198"/>
      <c r="AA169" s="198"/>
      <c r="AB169" s="200"/>
      <c r="AC169" s="200"/>
      <c r="AD169" s="200"/>
      <c r="AE169" s="200"/>
      <c r="AF169" s="200"/>
      <c r="AG169" s="200"/>
      <c r="AH169" s="200"/>
      <c r="AI169" s="91"/>
      <c r="AJ169" s="91">
        <f t="shared" ca="1" si="5"/>
        <v>0</v>
      </c>
      <c r="AK169" s="91">
        <f t="shared" ca="1" si="6"/>
        <v>0</v>
      </c>
      <c r="AL169" s="203"/>
      <c r="AM169" s="203"/>
      <c r="AN169" s="203"/>
      <c r="AO169" s="203"/>
      <c r="AP169" s="203"/>
      <c r="AQ169" s="203"/>
      <c r="AR169" s="203"/>
      <c r="AS169" s="203"/>
      <c r="AT169" s="203"/>
      <c r="AU169" s="203"/>
      <c r="AV169" s="203"/>
      <c r="AW169" s="203"/>
      <c r="AX169" s="203"/>
      <c r="AY169" s="203"/>
      <c r="AZ169" s="203"/>
      <c r="BA169" s="203"/>
      <c r="BB169" s="203"/>
      <c r="BC169" s="203"/>
      <c r="BD169" s="203"/>
      <c r="BE169" s="203"/>
      <c r="BF169" s="203"/>
      <c r="BG169" s="203"/>
      <c r="BH169" s="203"/>
      <c r="BI169" s="203"/>
      <c r="BJ169" s="203"/>
      <c r="BK169" s="203"/>
      <c r="BL169" s="203"/>
      <c r="BM169" s="203"/>
      <c r="BN169" s="203"/>
      <c r="BO169" s="203"/>
      <c r="BP169" s="203"/>
      <c r="BQ169" s="203"/>
      <c r="BR169" s="203"/>
      <c r="BS169" s="203"/>
      <c r="BT169" s="203"/>
      <c r="BU169" s="203"/>
      <c r="BV169" s="203"/>
      <c r="BW169" s="203"/>
      <c r="BX169" s="203"/>
    </row>
    <row r="170" spans="1:76" s="199" customFormat="1" ht="22.5" customHeight="1">
      <c r="A170" s="222">
        <v>165</v>
      </c>
      <c r="B170" s="222"/>
      <c r="C170" s="198"/>
      <c r="D170" s="193"/>
      <c r="E170" s="194"/>
      <c r="F170" s="222"/>
      <c r="G170" s="222"/>
      <c r="H170" s="193"/>
      <c r="I170" s="193"/>
      <c r="J170" s="193"/>
      <c r="K170" s="195"/>
      <c r="L170" s="196"/>
      <c r="M170" s="193"/>
      <c r="N170" s="197"/>
      <c r="O170" s="197"/>
      <c r="P170" s="197"/>
      <c r="Q170" s="197"/>
      <c r="R170" s="196"/>
      <c r="S170" s="195"/>
      <c r="T170" s="195"/>
      <c r="U170" s="197"/>
      <c r="V170" s="213"/>
      <c r="W170" s="198"/>
      <c r="X170" s="198"/>
      <c r="Y170" s="198"/>
      <c r="Z170" s="198"/>
      <c r="AA170" s="198"/>
      <c r="AB170" s="200"/>
      <c r="AC170" s="200"/>
      <c r="AD170" s="200"/>
      <c r="AE170" s="200"/>
      <c r="AF170" s="200"/>
      <c r="AG170" s="200"/>
      <c r="AH170" s="200"/>
      <c r="AI170" s="91"/>
      <c r="AJ170" s="91">
        <f t="shared" ca="1" si="5"/>
        <v>0</v>
      </c>
      <c r="AK170" s="91">
        <f t="shared" ca="1" si="6"/>
        <v>0</v>
      </c>
      <c r="AL170" s="203"/>
      <c r="AM170" s="203"/>
      <c r="AN170" s="203"/>
      <c r="AO170" s="203"/>
      <c r="AP170" s="203"/>
      <c r="AQ170" s="203"/>
      <c r="AR170" s="203"/>
      <c r="AS170" s="203"/>
      <c r="AT170" s="203"/>
      <c r="AU170" s="203"/>
      <c r="AV170" s="203"/>
      <c r="AW170" s="203"/>
      <c r="AX170" s="203"/>
      <c r="AY170" s="203"/>
      <c r="AZ170" s="203"/>
      <c r="BA170" s="203"/>
      <c r="BB170" s="203"/>
      <c r="BC170" s="203"/>
      <c r="BD170" s="203"/>
      <c r="BE170" s="203"/>
      <c r="BF170" s="203"/>
      <c r="BG170" s="203"/>
      <c r="BH170" s="203"/>
      <c r="BI170" s="203"/>
      <c r="BJ170" s="203"/>
      <c r="BK170" s="203"/>
      <c r="BL170" s="203"/>
      <c r="BM170" s="203"/>
      <c r="BN170" s="203"/>
      <c r="BO170" s="203"/>
      <c r="BP170" s="203"/>
      <c r="BQ170" s="203"/>
      <c r="BR170" s="203"/>
      <c r="BS170" s="203"/>
      <c r="BT170" s="203"/>
      <c r="BU170" s="203"/>
      <c r="BV170" s="203"/>
      <c r="BW170" s="203"/>
      <c r="BX170" s="203"/>
    </row>
    <row r="171" spans="1:76" s="199" customFormat="1" ht="22.5" customHeight="1">
      <c r="A171" s="222">
        <v>166</v>
      </c>
      <c r="B171" s="222"/>
      <c r="C171" s="198"/>
      <c r="D171" s="193"/>
      <c r="E171" s="194"/>
      <c r="F171" s="222"/>
      <c r="G171" s="222"/>
      <c r="H171" s="193"/>
      <c r="I171" s="193"/>
      <c r="J171" s="193"/>
      <c r="K171" s="195"/>
      <c r="L171" s="196"/>
      <c r="M171" s="193"/>
      <c r="N171" s="197"/>
      <c r="O171" s="197"/>
      <c r="P171" s="197"/>
      <c r="Q171" s="197"/>
      <c r="R171" s="196"/>
      <c r="S171" s="195"/>
      <c r="T171" s="195"/>
      <c r="U171" s="197"/>
      <c r="V171" s="213"/>
      <c r="W171" s="198"/>
      <c r="X171" s="198"/>
      <c r="Y171" s="198"/>
      <c r="Z171" s="198"/>
      <c r="AA171" s="198"/>
      <c r="AB171" s="200"/>
      <c r="AC171" s="200"/>
      <c r="AD171" s="200"/>
      <c r="AE171" s="200"/>
      <c r="AF171" s="200"/>
      <c r="AG171" s="200"/>
      <c r="AH171" s="200"/>
      <c r="AI171" s="91"/>
      <c r="AJ171" s="91">
        <f t="shared" ca="1" si="5"/>
        <v>0</v>
      </c>
      <c r="AK171" s="91">
        <f t="shared" ca="1" si="6"/>
        <v>0</v>
      </c>
      <c r="AL171" s="203"/>
      <c r="AM171" s="203"/>
      <c r="AN171" s="203"/>
      <c r="AO171" s="203"/>
      <c r="AP171" s="203"/>
      <c r="AQ171" s="203"/>
      <c r="AR171" s="203"/>
      <c r="AS171" s="203"/>
      <c r="AT171" s="203"/>
      <c r="AU171" s="203"/>
      <c r="AV171" s="203"/>
      <c r="AW171" s="203"/>
      <c r="AX171" s="203"/>
      <c r="AY171" s="203"/>
      <c r="AZ171" s="203"/>
      <c r="BA171" s="203"/>
      <c r="BB171" s="203"/>
      <c r="BC171" s="203"/>
      <c r="BD171" s="203"/>
      <c r="BE171" s="203"/>
      <c r="BF171" s="203"/>
      <c r="BG171" s="203"/>
      <c r="BH171" s="203"/>
      <c r="BI171" s="203"/>
      <c r="BJ171" s="203"/>
      <c r="BK171" s="203"/>
      <c r="BL171" s="203"/>
      <c r="BM171" s="203"/>
      <c r="BN171" s="203"/>
      <c r="BO171" s="203"/>
      <c r="BP171" s="203"/>
      <c r="BQ171" s="203"/>
      <c r="BR171" s="203"/>
      <c r="BS171" s="203"/>
      <c r="BT171" s="203"/>
      <c r="BU171" s="203"/>
      <c r="BV171" s="203"/>
      <c r="BW171" s="203"/>
      <c r="BX171" s="203"/>
    </row>
    <row r="172" spans="1:76" s="199" customFormat="1" ht="22.5" customHeight="1">
      <c r="A172" s="222">
        <v>167</v>
      </c>
      <c r="B172" s="222"/>
      <c r="C172" s="198"/>
      <c r="D172" s="193"/>
      <c r="E172" s="194"/>
      <c r="F172" s="222"/>
      <c r="G172" s="222"/>
      <c r="H172" s="193"/>
      <c r="I172" s="193"/>
      <c r="J172" s="193"/>
      <c r="K172" s="195"/>
      <c r="L172" s="196"/>
      <c r="M172" s="193"/>
      <c r="N172" s="197"/>
      <c r="O172" s="197"/>
      <c r="P172" s="197"/>
      <c r="Q172" s="197"/>
      <c r="R172" s="196"/>
      <c r="S172" s="195"/>
      <c r="T172" s="195"/>
      <c r="U172" s="197"/>
      <c r="V172" s="213"/>
      <c r="W172" s="198"/>
      <c r="X172" s="198"/>
      <c r="Y172" s="198"/>
      <c r="Z172" s="198"/>
      <c r="AA172" s="198"/>
      <c r="AB172" s="200"/>
      <c r="AC172" s="200"/>
      <c r="AD172" s="200"/>
      <c r="AE172" s="200"/>
      <c r="AF172" s="200"/>
      <c r="AG172" s="200"/>
      <c r="AH172" s="200"/>
      <c r="AI172" s="91"/>
      <c r="AJ172" s="91">
        <f t="shared" ca="1" si="5"/>
        <v>0</v>
      </c>
      <c r="AK172" s="91">
        <f t="shared" ca="1" si="6"/>
        <v>0</v>
      </c>
      <c r="AL172" s="203"/>
      <c r="AM172" s="203"/>
      <c r="AN172" s="203"/>
      <c r="AO172" s="203"/>
      <c r="AP172" s="203"/>
      <c r="AQ172" s="203"/>
      <c r="AR172" s="203"/>
      <c r="AS172" s="203"/>
      <c r="AT172" s="203"/>
      <c r="AU172" s="203"/>
      <c r="AV172" s="203"/>
      <c r="AW172" s="203"/>
      <c r="AX172" s="203"/>
      <c r="AY172" s="203"/>
      <c r="AZ172" s="203"/>
      <c r="BA172" s="203"/>
      <c r="BB172" s="203"/>
      <c r="BC172" s="203"/>
      <c r="BD172" s="203"/>
      <c r="BE172" s="203"/>
      <c r="BF172" s="203"/>
      <c r="BG172" s="203"/>
      <c r="BH172" s="203"/>
      <c r="BI172" s="203"/>
      <c r="BJ172" s="203"/>
      <c r="BK172" s="203"/>
      <c r="BL172" s="203"/>
      <c r="BM172" s="203"/>
      <c r="BN172" s="203"/>
      <c r="BO172" s="203"/>
      <c r="BP172" s="203"/>
      <c r="BQ172" s="203"/>
      <c r="BR172" s="203"/>
      <c r="BS172" s="203"/>
      <c r="BT172" s="203"/>
      <c r="BU172" s="203"/>
      <c r="BV172" s="203"/>
      <c r="BW172" s="203"/>
      <c r="BX172" s="203"/>
    </row>
    <row r="173" spans="1:76" s="199" customFormat="1" ht="22.5" customHeight="1">
      <c r="A173" s="222">
        <v>168</v>
      </c>
      <c r="B173" s="222"/>
      <c r="C173" s="198"/>
      <c r="D173" s="193"/>
      <c r="E173" s="194"/>
      <c r="F173" s="222"/>
      <c r="G173" s="222"/>
      <c r="H173" s="193"/>
      <c r="I173" s="193"/>
      <c r="J173" s="193"/>
      <c r="K173" s="195"/>
      <c r="L173" s="196"/>
      <c r="M173" s="193"/>
      <c r="N173" s="197"/>
      <c r="O173" s="197"/>
      <c r="P173" s="197"/>
      <c r="Q173" s="197"/>
      <c r="R173" s="196"/>
      <c r="S173" s="195"/>
      <c r="T173" s="195"/>
      <c r="U173" s="197"/>
      <c r="V173" s="213"/>
      <c r="W173" s="198"/>
      <c r="X173" s="198"/>
      <c r="Y173" s="198"/>
      <c r="Z173" s="198"/>
      <c r="AA173" s="198"/>
      <c r="AB173" s="200"/>
      <c r="AC173" s="200"/>
      <c r="AD173" s="200"/>
      <c r="AE173" s="200"/>
      <c r="AF173" s="200"/>
      <c r="AG173" s="200"/>
      <c r="AH173" s="200"/>
      <c r="AI173" s="91"/>
      <c r="AJ173" s="91">
        <f t="shared" ca="1" si="5"/>
        <v>0</v>
      </c>
      <c r="AK173" s="91">
        <f t="shared" ca="1" si="6"/>
        <v>0</v>
      </c>
      <c r="AL173" s="203"/>
      <c r="AM173" s="203"/>
      <c r="AN173" s="203"/>
      <c r="AO173" s="203"/>
      <c r="AP173" s="203"/>
      <c r="AQ173" s="203"/>
      <c r="AR173" s="203"/>
      <c r="AS173" s="203"/>
      <c r="AT173" s="203"/>
      <c r="AU173" s="203"/>
      <c r="AV173" s="203"/>
      <c r="AW173" s="203"/>
      <c r="AX173" s="203"/>
      <c r="AY173" s="203"/>
      <c r="AZ173" s="203"/>
      <c r="BA173" s="203"/>
      <c r="BB173" s="203"/>
      <c r="BC173" s="203"/>
      <c r="BD173" s="203"/>
      <c r="BE173" s="203"/>
      <c r="BF173" s="203"/>
      <c r="BG173" s="203"/>
      <c r="BH173" s="203"/>
      <c r="BI173" s="203"/>
      <c r="BJ173" s="203"/>
      <c r="BK173" s="203"/>
      <c r="BL173" s="203"/>
      <c r="BM173" s="203"/>
      <c r="BN173" s="203"/>
      <c r="BO173" s="203"/>
      <c r="BP173" s="203"/>
      <c r="BQ173" s="203"/>
      <c r="BR173" s="203"/>
      <c r="BS173" s="203"/>
      <c r="BT173" s="203"/>
      <c r="BU173" s="203"/>
      <c r="BV173" s="203"/>
      <c r="BW173" s="203"/>
      <c r="BX173" s="203"/>
    </row>
    <row r="174" spans="1:76" s="199" customFormat="1" ht="22.5" customHeight="1">
      <c r="A174" s="222">
        <v>169</v>
      </c>
      <c r="B174" s="222"/>
      <c r="C174" s="198"/>
      <c r="D174" s="193"/>
      <c r="E174" s="194"/>
      <c r="F174" s="222"/>
      <c r="G174" s="222"/>
      <c r="H174" s="193"/>
      <c r="I174" s="193"/>
      <c r="J174" s="193"/>
      <c r="K174" s="195"/>
      <c r="L174" s="196"/>
      <c r="M174" s="193"/>
      <c r="N174" s="197"/>
      <c r="O174" s="197"/>
      <c r="P174" s="197"/>
      <c r="Q174" s="197"/>
      <c r="R174" s="196"/>
      <c r="S174" s="195"/>
      <c r="T174" s="195"/>
      <c r="U174" s="197"/>
      <c r="V174" s="213"/>
      <c r="W174" s="198"/>
      <c r="X174" s="198"/>
      <c r="Y174" s="198"/>
      <c r="Z174" s="198"/>
      <c r="AA174" s="198"/>
      <c r="AB174" s="200"/>
      <c r="AC174" s="200"/>
      <c r="AD174" s="200"/>
      <c r="AE174" s="200"/>
      <c r="AF174" s="200"/>
      <c r="AG174" s="200"/>
      <c r="AH174" s="200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3"/>
      <c r="AM174" s="203"/>
      <c r="AN174" s="203"/>
      <c r="AO174" s="203"/>
      <c r="AP174" s="203"/>
      <c r="AQ174" s="203"/>
      <c r="AR174" s="203"/>
      <c r="AS174" s="203"/>
      <c r="AT174" s="203"/>
      <c r="AU174" s="203"/>
      <c r="AV174" s="203"/>
      <c r="AW174" s="203"/>
      <c r="AX174" s="203"/>
      <c r="AY174" s="203"/>
      <c r="AZ174" s="203"/>
      <c r="BA174" s="203"/>
      <c r="BB174" s="203"/>
      <c r="BC174" s="203"/>
      <c r="BD174" s="203"/>
      <c r="BE174" s="203"/>
      <c r="BF174" s="203"/>
      <c r="BG174" s="203"/>
      <c r="BH174" s="203"/>
      <c r="BI174" s="203"/>
      <c r="BJ174" s="203"/>
      <c r="BK174" s="203"/>
      <c r="BL174" s="203"/>
      <c r="BM174" s="203"/>
      <c r="BN174" s="203"/>
      <c r="BO174" s="203"/>
      <c r="BP174" s="203"/>
      <c r="BQ174" s="203"/>
      <c r="BR174" s="203"/>
      <c r="BS174" s="203"/>
      <c r="BT174" s="203"/>
      <c r="BU174" s="203"/>
      <c r="BV174" s="203"/>
      <c r="BW174" s="203"/>
      <c r="BX174" s="203"/>
    </row>
    <row r="175" spans="1:76" s="199" customFormat="1" ht="22.5" customHeight="1">
      <c r="A175" s="222">
        <v>170</v>
      </c>
      <c r="B175" s="222"/>
      <c r="C175" s="198"/>
      <c r="D175" s="193"/>
      <c r="E175" s="194"/>
      <c r="F175" s="222"/>
      <c r="G175" s="222"/>
      <c r="H175" s="193"/>
      <c r="I175" s="193"/>
      <c r="J175" s="193"/>
      <c r="K175" s="195"/>
      <c r="L175" s="196"/>
      <c r="M175" s="193"/>
      <c r="N175" s="197"/>
      <c r="O175" s="197"/>
      <c r="P175" s="197"/>
      <c r="Q175" s="197"/>
      <c r="R175" s="196"/>
      <c r="S175" s="195"/>
      <c r="T175" s="195"/>
      <c r="U175" s="197"/>
      <c r="V175" s="213"/>
      <c r="W175" s="198"/>
      <c r="X175" s="198"/>
      <c r="Y175" s="198"/>
      <c r="Z175" s="198"/>
      <c r="AA175" s="198"/>
      <c r="AB175" s="200"/>
      <c r="AC175" s="200"/>
      <c r="AD175" s="200"/>
      <c r="AE175" s="200"/>
      <c r="AF175" s="200"/>
      <c r="AG175" s="200"/>
      <c r="AH175" s="200"/>
      <c r="AI175" s="91"/>
      <c r="AJ175" s="91">
        <f t="shared" ca="1" si="7"/>
        <v>0</v>
      </c>
      <c r="AK175" s="91">
        <f t="shared" ca="1" si="8"/>
        <v>0</v>
      </c>
      <c r="AL175" s="203"/>
      <c r="AM175" s="203"/>
      <c r="AN175" s="203"/>
      <c r="AO175" s="203"/>
      <c r="AP175" s="203"/>
      <c r="AQ175" s="203"/>
      <c r="AR175" s="203"/>
      <c r="AS175" s="203"/>
      <c r="AT175" s="203"/>
      <c r="AU175" s="203"/>
      <c r="AV175" s="203"/>
      <c r="AW175" s="203"/>
      <c r="AX175" s="203"/>
      <c r="AY175" s="203"/>
      <c r="AZ175" s="203"/>
      <c r="BA175" s="203"/>
      <c r="BB175" s="203"/>
      <c r="BC175" s="203"/>
      <c r="BD175" s="203"/>
      <c r="BE175" s="203"/>
      <c r="BF175" s="203"/>
      <c r="BG175" s="203"/>
      <c r="BH175" s="203"/>
      <c r="BI175" s="203"/>
      <c r="BJ175" s="203"/>
      <c r="BK175" s="203"/>
      <c r="BL175" s="203"/>
      <c r="BM175" s="203"/>
      <c r="BN175" s="203"/>
      <c r="BO175" s="203"/>
      <c r="BP175" s="203"/>
      <c r="BQ175" s="203"/>
      <c r="BR175" s="203"/>
      <c r="BS175" s="203"/>
      <c r="BT175" s="203"/>
      <c r="BU175" s="203"/>
      <c r="BV175" s="203"/>
      <c r="BW175" s="203"/>
      <c r="BX175" s="203"/>
    </row>
    <row r="176" spans="1:76" s="199" customFormat="1" ht="22.5" customHeight="1">
      <c r="A176" s="222">
        <v>171</v>
      </c>
      <c r="B176" s="222"/>
      <c r="C176" s="198"/>
      <c r="D176" s="193"/>
      <c r="E176" s="194"/>
      <c r="F176" s="222"/>
      <c r="G176" s="222"/>
      <c r="H176" s="193"/>
      <c r="I176" s="193"/>
      <c r="J176" s="193"/>
      <c r="K176" s="195"/>
      <c r="L176" s="196"/>
      <c r="M176" s="193"/>
      <c r="N176" s="197"/>
      <c r="O176" s="197"/>
      <c r="P176" s="197"/>
      <c r="Q176" s="197"/>
      <c r="R176" s="196"/>
      <c r="S176" s="195"/>
      <c r="T176" s="195"/>
      <c r="U176" s="197"/>
      <c r="V176" s="213"/>
      <c r="W176" s="198"/>
      <c r="X176" s="198"/>
      <c r="Y176" s="198"/>
      <c r="Z176" s="198"/>
      <c r="AA176" s="198"/>
      <c r="AB176" s="200"/>
      <c r="AC176" s="200"/>
      <c r="AD176" s="200"/>
      <c r="AE176" s="200"/>
      <c r="AF176" s="200"/>
      <c r="AG176" s="200"/>
      <c r="AH176" s="200"/>
      <c r="AI176" s="91"/>
      <c r="AJ176" s="91">
        <f t="shared" ca="1" si="7"/>
        <v>0</v>
      </c>
      <c r="AK176" s="91">
        <f t="shared" ca="1" si="8"/>
        <v>0</v>
      </c>
      <c r="AL176" s="203"/>
      <c r="AM176" s="203"/>
      <c r="AN176" s="203"/>
      <c r="AO176" s="203"/>
      <c r="AP176" s="203"/>
      <c r="AQ176" s="203"/>
      <c r="AR176" s="203"/>
      <c r="AS176" s="203"/>
      <c r="AT176" s="203"/>
      <c r="AU176" s="203"/>
      <c r="AV176" s="203"/>
      <c r="AW176" s="203"/>
      <c r="AX176" s="203"/>
      <c r="AY176" s="203"/>
      <c r="AZ176" s="203"/>
      <c r="BA176" s="203"/>
      <c r="BB176" s="203"/>
      <c r="BC176" s="203"/>
      <c r="BD176" s="203"/>
      <c r="BE176" s="203"/>
      <c r="BF176" s="203"/>
      <c r="BG176" s="203"/>
      <c r="BH176" s="203"/>
      <c r="BI176" s="203"/>
      <c r="BJ176" s="203"/>
      <c r="BK176" s="203"/>
      <c r="BL176" s="203"/>
      <c r="BM176" s="203"/>
      <c r="BN176" s="203"/>
      <c r="BO176" s="203"/>
      <c r="BP176" s="203"/>
      <c r="BQ176" s="203"/>
      <c r="BR176" s="203"/>
      <c r="BS176" s="203"/>
      <c r="BT176" s="203"/>
      <c r="BU176" s="203"/>
      <c r="BV176" s="203"/>
      <c r="BW176" s="203"/>
      <c r="BX176" s="203"/>
    </row>
    <row r="177" spans="1:76" s="199" customFormat="1" ht="22.5" customHeight="1">
      <c r="A177" s="222">
        <v>172</v>
      </c>
      <c r="B177" s="222"/>
      <c r="C177" s="198"/>
      <c r="D177" s="193"/>
      <c r="E177" s="194"/>
      <c r="F177" s="222"/>
      <c r="G177" s="222"/>
      <c r="H177" s="193"/>
      <c r="I177" s="193"/>
      <c r="J177" s="193"/>
      <c r="K177" s="195"/>
      <c r="L177" s="196"/>
      <c r="M177" s="193"/>
      <c r="N177" s="197"/>
      <c r="O177" s="197"/>
      <c r="P177" s="197"/>
      <c r="Q177" s="197"/>
      <c r="R177" s="196"/>
      <c r="S177" s="195"/>
      <c r="T177" s="195"/>
      <c r="U177" s="197"/>
      <c r="V177" s="213"/>
      <c r="W177" s="198"/>
      <c r="X177" s="198"/>
      <c r="Y177" s="198"/>
      <c r="Z177" s="198"/>
      <c r="AA177" s="198"/>
      <c r="AB177" s="200"/>
      <c r="AC177" s="200"/>
      <c r="AD177" s="200"/>
      <c r="AE177" s="200"/>
      <c r="AF177" s="200"/>
      <c r="AG177" s="200"/>
      <c r="AH177" s="200"/>
      <c r="AI177" s="91"/>
      <c r="AJ177" s="91">
        <f t="shared" ca="1" si="7"/>
        <v>0</v>
      </c>
      <c r="AK177" s="91">
        <f t="shared" ca="1" si="8"/>
        <v>0</v>
      </c>
      <c r="AL177" s="203"/>
      <c r="AM177" s="203"/>
      <c r="AN177" s="203"/>
      <c r="AO177" s="203"/>
      <c r="AP177" s="203"/>
      <c r="AQ177" s="203"/>
      <c r="AR177" s="203"/>
      <c r="AS177" s="203"/>
      <c r="AT177" s="203"/>
      <c r="AU177" s="203"/>
      <c r="AV177" s="203"/>
      <c r="AW177" s="203"/>
      <c r="AX177" s="203"/>
      <c r="AY177" s="203"/>
      <c r="AZ177" s="203"/>
      <c r="BA177" s="203"/>
      <c r="BB177" s="203"/>
      <c r="BC177" s="203"/>
      <c r="BD177" s="203"/>
      <c r="BE177" s="203"/>
      <c r="BF177" s="203"/>
      <c r="BG177" s="203"/>
      <c r="BH177" s="203"/>
      <c r="BI177" s="203"/>
      <c r="BJ177" s="203"/>
      <c r="BK177" s="203"/>
      <c r="BL177" s="203"/>
      <c r="BM177" s="203"/>
      <c r="BN177" s="203"/>
      <c r="BO177" s="203"/>
      <c r="BP177" s="203"/>
      <c r="BQ177" s="203"/>
      <c r="BR177" s="203"/>
      <c r="BS177" s="203"/>
      <c r="BT177" s="203"/>
      <c r="BU177" s="203"/>
      <c r="BV177" s="203"/>
      <c r="BW177" s="203"/>
      <c r="BX177" s="203"/>
    </row>
    <row r="178" spans="1:76" s="199" customFormat="1" ht="22.5" customHeight="1">
      <c r="A178" s="222">
        <v>173</v>
      </c>
      <c r="B178" s="222"/>
      <c r="C178" s="198"/>
      <c r="D178" s="193"/>
      <c r="E178" s="194"/>
      <c r="F178" s="222"/>
      <c r="G178" s="222"/>
      <c r="H178" s="193"/>
      <c r="I178" s="193"/>
      <c r="J178" s="193"/>
      <c r="K178" s="195"/>
      <c r="L178" s="196"/>
      <c r="M178" s="193"/>
      <c r="N178" s="197"/>
      <c r="O178" s="197"/>
      <c r="P178" s="197"/>
      <c r="Q178" s="197"/>
      <c r="R178" s="196"/>
      <c r="S178" s="195"/>
      <c r="T178" s="195"/>
      <c r="U178" s="197"/>
      <c r="V178" s="213"/>
      <c r="W178" s="198"/>
      <c r="X178" s="198"/>
      <c r="Y178" s="198"/>
      <c r="Z178" s="198"/>
      <c r="AA178" s="198"/>
      <c r="AB178" s="200"/>
      <c r="AC178" s="200"/>
      <c r="AD178" s="200"/>
      <c r="AE178" s="200"/>
      <c r="AF178" s="200"/>
      <c r="AG178" s="200"/>
      <c r="AH178" s="200"/>
      <c r="AI178" s="91"/>
      <c r="AJ178" s="91">
        <f t="shared" ca="1" si="7"/>
        <v>0</v>
      </c>
      <c r="AK178" s="91">
        <f t="shared" ca="1" si="8"/>
        <v>0</v>
      </c>
      <c r="AL178" s="203"/>
      <c r="AM178" s="203"/>
      <c r="AN178" s="203"/>
      <c r="AO178" s="203"/>
      <c r="AP178" s="203"/>
      <c r="AQ178" s="203"/>
      <c r="AR178" s="203"/>
      <c r="AS178" s="203"/>
      <c r="AT178" s="203"/>
      <c r="AU178" s="203"/>
      <c r="AV178" s="203"/>
      <c r="AW178" s="203"/>
      <c r="AX178" s="203"/>
      <c r="AY178" s="203"/>
      <c r="AZ178" s="203"/>
      <c r="BA178" s="203"/>
      <c r="BB178" s="203"/>
      <c r="BC178" s="203"/>
      <c r="BD178" s="203"/>
      <c r="BE178" s="203"/>
      <c r="BF178" s="203"/>
      <c r="BG178" s="203"/>
      <c r="BH178" s="203"/>
      <c r="BI178" s="203"/>
      <c r="BJ178" s="203"/>
      <c r="BK178" s="203"/>
      <c r="BL178" s="203"/>
      <c r="BM178" s="203"/>
      <c r="BN178" s="203"/>
      <c r="BO178" s="203"/>
      <c r="BP178" s="203"/>
      <c r="BQ178" s="203"/>
      <c r="BR178" s="203"/>
      <c r="BS178" s="203"/>
      <c r="BT178" s="203"/>
      <c r="BU178" s="203"/>
      <c r="BV178" s="203"/>
      <c r="BW178" s="203"/>
      <c r="BX178" s="203"/>
    </row>
    <row r="179" spans="1:76" s="199" customFormat="1" ht="22.5" customHeight="1">
      <c r="A179" s="222">
        <v>174</v>
      </c>
      <c r="B179" s="222"/>
      <c r="C179" s="198"/>
      <c r="D179" s="193"/>
      <c r="E179" s="194"/>
      <c r="F179" s="222"/>
      <c r="G179" s="222"/>
      <c r="H179" s="193"/>
      <c r="I179" s="193"/>
      <c r="J179" s="193"/>
      <c r="K179" s="195"/>
      <c r="L179" s="196"/>
      <c r="M179" s="193"/>
      <c r="N179" s="197"/>
      <c r="O179" s="197"/>
      <c r="P179" s="197"/>
      <c r="Q179" s="197"/>
      <c r="R179" s="196"/>
      <c r="S179" s="195"/>
      <c r="T179" s="195"/>
      <c r="U179" s="197"/>
      <c r="V179" s="213"/>
      <c r="W179" s="198"/>
      <c r="X179" s="198"/>
      <c r="Y179" s="198"/>
      <c r="Z179" s="198"/>
      <c r="AA179" s="198"/>
      <c r="AB179" s="200"/>
      <c r="AC179" s="200"/>
      <c r="AD179" s="200"/>
      <c r="AE179" s="200"/>
      <c r="AF179" s="200"/>
      <c r="AG179" s="200"/>
      <c r="AH179" s="200"/>
      <c r="AI179" s="91"/>
      <c r="AJ179" s="91">
        <f t="shared" ca="1" si="7"/>
        <v>0</v>
      </c>
      <c r="AK179" s="91">
        <f t="shared" ca="1" si="8"/>
        <v>0</v>
      </c>
      <c r="AL179" s="203"/>
      <c r="AM179" s="203"/>
      <c r="AN179" s="203"/>
      <c r="AO179" s="203"/>
      <c r="AP179" s="203"/>
      <c r="AQ179" s="203"/>
      <c r="AR179" s="203"/>
      <c r="AS179" s="203"/>
      <c r="AT179" s="203"/>
      <c r="AU179" s="203"/>
      <c r="AV179" s="203"/>
      <c r="AW179" s="203"/>
      <c r="AX179" s="203"/>
      <c r="AY179" s="203"/>
      <c r="AZ179" s="203"/>
      <c r="BA179" s="203"/>
      <c r="BB179" s="203"/>
      <c r="BC179" s="203"/>
      <c r="BD179" s="203"/>
      <c r="BE179" s="203"/>
      <c r="BF179" s="203"/>
      <c r="BG179" s="203"/>
      <c r="BH179" s="203"/>
      <c r="BI179" s="203"/>
      <c r="BJ179" s="203"/>
      <c r="BK179" s="203"/>
      <c r="BL179" s="203"/>
      <c r="BM179" s="203"/>
      <c r="BN179" s="203"/>
      <c r="BO179" s="203"/>
      <c r="BP179" s="203"/>
      <c r="BQ179" s="203"/>
      <c r="BR179" s="203"/>
      <c r="BS179" s="203"/>
      <c r="BT179" s="203"/>
      <c r="BU179" s="203"/>
      <c r="BV179" s="203"/>
      <c r="BW179" s="203"/>
      <c r="BX179" s="203"/>
    </row>
    <row r="180" spans="1:76" s="199" customFormat="1" ht="22.5" customHeight="1">
      <c r="A180" s="222">
        <v>175</v>
      </c>
      <c r="B180" s="222"/>
      <c r="C180" s="198"/>
      <c r="D180" s="193"/>
      <c r="E180" s="194"/>
      <c r="F180" s="222"/>
      <c r="G180" s="222"/>
      <c r="H180" s="193"/>
      <c r="I180" s="193"/>
      <c r="J180" s="193"/>
      <c r="K180" s="195"/>
      <c r="L180" s="196"/>
      <c r="M180" s="193"/>
      <c r="N180" s="197"/>
      <c r="O180" s="197"/>
      <c r="P180" s="197"/>
      <c r="Q180" s="197"/>
      <c r="R180" s="196"/>
      <c r="S180" s="195"/>
      <c r="T180" s="195"/>
      <c r="U180" s="197"/>
      <c r="V180" s="213"/>
      <c r="W180" s="198"/>
      <c r="X180" s="198"/>
      <c r="Y180" s="198"/>
      <c r="Z180" s="198"/>
      <c r="AA180" s="198"/>
      <c r="AB180" s="200"/>
      <c r="AC180" s="200"/>
      <c r="AD180" s="200"/>
      <c r="AE180" s="200"/>
      <c r="AF180" s="200"/>
      <c r="AG180" s="200"/>
      <c r="AH180" s="200"/>
      <c r="AI180" s="91"/>
      <c r="AJ180" s="91">
        <f t="shared" ca="1" si="7"/>
        <v>0</v>
      </c>
      <c r="AK180" s="91">
        <f t="shared" ca="1" si="8"/>
        <v>0</v>
      </c>
      <c r="AL180" s="203"/>
      <c r="AM180" s="203"/>
      <c r="AN180" s="203"/>
      <c r="AO180" s="203"/>
      <c r="AP180" s="203"/>
      <c r="AQ180" s="203"/>
      <c r="AR180" s="203"/>
      <c r="AS180" s="203"/>
      <c r="AT180" s="203"/>
      <c r="AU180" s="203"/>
      <c r="AV180" s="203"/>
      <c r="AW180" s="203"/>
      <c r="AX180" s="203"/>
      <c r="AY180" s="203"/>
      <c r="AZ180" s="203"/>
      <c r="BA180" s="203"/>
      <c r="BB180" s="203"/>
      <c r="BC180" s="203"/>
      <c r="BD180" s="203"/>
      <c r="BE180" s="203"/>
      <c r="BF180" s="203"/>
      <c r="BG180" s="203"/>
      <c r="BH180" s="203"/>
      <c r="BI180" s="203"/>
      <c r="BJ180" s="203"/>
      <c r="BK180" s="203"/>
      <c r="BL180" s="203"/>
      <c r="BM180" s="203"/>
      <c r="BN180" s="203"/>
      <c r="BO180" s="203"/>
      <c r="BP180" s="203"/>
      <c r="BQ180" s="203"/>
      <c r="BR180" s="203"/>
      <c r="BS180" s="203"/>
      <c r="BT180" s="203"/>
      <c r="BU180" s="203"/>
      <c r="BV180" s="203"/>
      <c r="BW180" s="203"/>
      <c r="BX180" s="203"/>
    </row>
    <row r="181" spans="1:76" s="199" customFormat="1" ht="22.5" customHeight="1">
      <c r="A181" s="222">
        <v>176</v>
      </c>
      <c r="B181" s="222"/>
      <c r="C181" s="198"/>
      <c r="D181" s="193"/>
      <c r="E181" s="194"/>
      <c r="F181" s="222"/>
      <c r="G181" s="222"/>
      <c r="H181" s="193"/>
      <c r="I181" s="193"/>
      <c r="J181" s="193"/>
      <c r="K181" s="195"/>
      <c r="L181" s="196"/>
      <c r="M181" s="193"/>
      <c r="N181" s="197"/>
      <c r="O181" s="197"/>
      <c r="P181" s="197"/>
      <c r="Q181" s="197"/>
      <c r="R181" s="196"/>
      <c r="S181" s="195"/>
      <c r="T181" s="195"/>
      <c r="U181" s="197"/>
      <c r="V181" s="213"/>
      <c r="W181" s="198"/>
      <c r="X181" s="198"/>
      <c r="Y181" s="198"/>
      <c r="Z181" s="198"/>
      <c r="AA181" s="198"/>
      <c r="AB181" s="200"/>
      <c r="AC181" s="200"/>
      <c r="AD181" s="200"/>
      <c r="AE181" s="200"/>
      <c r="AF181" s="200"/>
      <c r="AG181" s="200"/>
      <c r="AH181" s="200"/>
      <c r="AI181" s="91"/>
      <c r="AJ181" s="91">
        <f t="shared" ca="1" si="7"/>
        <v>0</v>
      </c>
      <c r="AK181" s="91">
        <f t="shared" ca="1" si="8"/>
        <v>0</v>
      </c>
      <c r="AL181" s="203"/>
      <c r="AM181" s="203"/>
      <c r="AN181" s="203"/>
      <c r="AO181" s="203"/>
      <c r="AP181" s="203"/>
      <c r="AQ181" s="203"/>
      <c r="AR181" s="203"/>
      <c r="AS181" s="203"/>
      <c r="AT181" s="203"/>
      <c r="AU181" s="203"/>
      <c r="AV181" s="203"/>
      <c r="AW181" s="203"/>
      <c r="AX181" s="203"/>
      <c r="AY181" s="203"/>
      <c r="AZ181" s="203"/>
      <c r="BA181" s="203"/>
      <c r="BB181" s="203"/>
      <c r="BC181" s="203"/>
      <c r="BD181" s="203"/>
      <c r="BE181" s="203"/>
      <c r="BF181" s="203"/>
      <c r="BG181" s="203"/>
      <c r="BH181" s="203"/>
      <c r="BI181" s="203"/>
      <c r="BJ181" s="203"/>
      <c r="BK181" s="203"/>
      <c r="BL181" s="203"/>
      <c r="BM181" s="203"/>
      <c r="BN181" s="203"/>
      <c r="BO181" s="203"/>
      <c r="BP181" s="203"/>
      <c r="BQ181" s="203"/>
      <c r="BR181" s="203"/>
      <c r="BS181" s="203"/>
      <c r="BT181" s="203"/>
      <c r="BU181" s="203"/>
      <c r="BV181" s="203"/>
      <c r="BW181" s="203"/>
      <c r="BX181" s="203"/>
    </row>
    <row r="182" spans="1:76" s="199" customFormat="1" ht="22.5" customHeight="1">
      <c r="A182" s="222">
        <v>177</v>
      </c>
      <c r="B182" s="222"/>
      <c r="C182" s="198"/>
      <c r="D182" s="193"/>
      <c r="E182" s="194"/>
      <c r="F182" s="222"/>
      <c r="G182" s="222"/>
      <c r="H182" s="193"/>
      <c r="I182" s="193"/>
      <c r="J182" s="193"/>
      <c r="K182" s="195"/>
      <c r="L182" s="196"/>
      <c r="M182" s="193"/>
      <c r="N182" s="197"/>
      <c r="O182" s="197"/>
      <c r="P182" s="197"/>
      <c r="Q182" s="197"/>
      <c r="R182" s="196"/>
      <c r="S182" s="195"/>
      <c r="T182" s="195"/>
      <c r="U182" s="197"/>
      <c r="V182" s="213"/>
      <c r="W182" s="198"/>
      <c r="X182" s="198"/>
      <c r="Y182" s="198"/>
      <c r="Z182" s="198"/>
      <c r="AA182" s="198"/>
      <c r="AB182" s="200"/>
      <c r="AC182" s="200"/>
      <c r="AD182" s="200"/>
      <c r="AE182" s="200"/>
      <c r="AF182" s="200"/>
      <c r="AG182" s="200"/>
      <c r="AH182" s="200"/>
      <c r="AI182" s="91"/>
      <c r="AJ182" s="91">
        <f t="shared" ca="1" si="7"/>
        <v>0</v>
      </c>
      <c r="AK182" s="91">
        <f t="shared" ca="1" si="8"/>
        <v>0</v>
      </c>
      <c r="AL182" s="203"/>
      <c r="AM182" s="203"/>
      <c r="AN182" s="203"/>
      <c r="AO182" s="203"/>
      <c r="AP182" s="203"/>
      <c r="AQ182" s="203"/>
      <c r="AR182" s="203"/>
      <c r="AS182" s="203"/>
      <c r="AT182" s="203"/>
      <c r="AU182" s="203"/>
      <c r="AV182" s="203"/>
      <c r="AW182" s="203"/>
      <c r="AX182" s="203"/>
      <c r="AY182" s="203"/>
      <c r="AZ182" s="203"/>
      <c r="BA182" s="203"/>
      <c r="BB182" s="203"/>
      <c r="BC182" s="203"/>
      <c r="BD182" s="203"/>
      <c r="BE182" s="203"/>
      <c r="BF182" s="203"/>
      <c r="BG182" s="203"/>
      <c r="BH182" s="203"/>
      <c r="BI182" s="203"/>
      <c r="BJ182" s="203"/>
      <c r="BK182" s="203"/>
      <c r="BL182" s="203"/>
      <c r="BM182" s="203"/>
      <c r="BN182" s="203"/>
      <c r="BO182" s="203"/>
      <c r="BP182" s="203"/>
      <c r="BQ182" s="203"/>
      <c r="BR182" s="203"/>
      <c r="BS182" s="203"/>
      <c r="BT182" s="203"/>
      <c r="BU182" s="203"/>
      <c r="BV182" s="203"/>
      <c r="BW182" s="203"/>
      <c r="BX182" s="203"/>
    </row>
    <row r="183" spans="1:76" s="199" customFormat="1" ht="22.5" customHeight="1">
      <c r="A183" s="222">
        <v>178</v>
      </c>
      <c r="B183" s="222"/>
      <c r="C183" s="198"/>
      <c r="D183" s="193"/>
      <c r="E183" s="194"/>
      <c r="F183" s="222"/>
      <c r="G183" s="222"/>
      <c r="H183" s="193"/>
      <c r="I183" s="193"/>
      <c r="J183" s="193"/>
      <c r="K183" s="195"/>
      <c r="L183" s="196"/>
      <c r="M183" s="193"/>
      <c r="N183" s="197"/>
      <c r="O183" s="197"/>
      <c r="P183" s="197"/>
      <c r="Q183" s="197"/>
      <c r="R183" s="196"/>
      <c r="S183" s="195"/>
      <c r="T183" s="195"/>
      <c r="U183" s="197"/>
      <c r="V183" s="213"/>
      <c r="W183" s="198"/>
      <c r="X183" s="198"/>
      <c r="Y183" s="198"/>
      <c r="Z183" s="198"/>
      <c r="AA183" s="198"/>
      <c r="AB183" s="200"/>
      <c r="AC183" s="200"/>
      <c r="AD183" s="200"/>
      <c r="AE183" s="200"/>
      <c r="AF183" s="200"/>
      <c r="AG183" s="200"/>
      <c r="AH183" s="200"/>
      <c r="AI183" s="91"/>
      <c r="AJ183" s="91">
        <f t="shared" ca="1" si="7"/>
        <v>0</v>
      </c>
      <c r="AK183" s="91">
        <f t="shared" ca="1" si="8"/>
        <v>0</v>
      </c>
      <c r="AL183" s="203"/>
      <c r="AM183" s="203"/>
      <c r="AN183" s="203"/>
      <c r="AO183" s="203"/>
      <c r="AP183" s="203"/>
      <c r="AQ183" s="203"/>
      <c r="AR183" s="203"/>
      <c r="AS183" s="203"/>
      <c r="AT183" s="203"/>
      <c r="AU183" s="203"/>
      <c r="AV183" s="203"/>
      <c r="AW183" s="203"/>
      <c r="AX183" s="203"/>
      <c r="AY183" s="203"/>
      <c r="AZ183" s="203"/>
      <c r="BA183" s="203"/>
      <c r="BB183" s="203"/>
      <c r="BC183" s="203"/>
      <c r="BD183" s="203"/>
      <c r="BE183" s="203"/>
      <c r="BF183" s="203"/>
      <c r="BG183" s="203"/>
      <c r="BH183" s="203"/>
      <c r="BI183" s="203"/>
      <c r="BJ183" s="203"/>
      <c r="BK183" s="203"/>
      <c r="BL183" s="203"/>
      <c r="BM183" s="203"/>
      <c r="BN183" s="203"/>
      <c r="BO183" s="203"/>
      <c r="BP183" s="203"/>
      <c r="BQ183" s="203"/>
      <c r="BR183" s="203"/>
      <c r="BS183" s="203"/>
      <c r="BT183" s="203"/>
      <c r="BU183" s="203"/>
      <c r="BV183" s="203"/>
      <c r="BW183" s="203"/>
      <c r="BX183" s="203"/>
    </row>
    <row r="184" spans="1:76" s="199" customFormat="1" ht="22.5" customHeight="1">
      <c r="A184" s="222">
        <v>179</v>
      </c>
      <c r="B184" s="222"/>
      <c r="C184" s="198"/>
      <c r="D184" s="193"/>
      <c r="E184" s="194"/>
      <c r="F184" s="222"/>
      <c r="G184" s="222"/>
      <c r="H184" s="193"/>
      <c r="I184" s="193"/>
      <c r="J184" s="193"/>
      <c r="K184" s="195"/>
      <c r="L184" s="196"/>
      <c r="M184" s="193"/>
      <c r="N184" s="197"/>
      <c r="O184" s="197"/>
      <c r="P184" s="197"/>
      <c r="Q184" s="197"/>
      <c r="R184" s="196"/>
      <c r="S184" s="195"/>
      <c r="T184" s="195"/>
      <c r="U184" s="197"/>
      <c r="V184" s="213"/>
      <c r="W184" s="198"/>
      <c r="X184" s="198"/>
      <c r="Y184" s="198"/>
      <c r="Z184" s="198"/>
      <c r="AA184" s="198"/>
      <c r="AB184" s="200"/>
      <c r="AC184" s="200"/>
      <c r="AD184" s="200"/>
      <c r="AE184" s="200"/>
      <c r="AF184" s="200"/>
      <c r="AG184" s="200"/>
      <c r="AH184" s="200"/>
      <c r="AI184" s="91"/>
      <c r="AJ184" s="91">
        <f t="shared" ca="1" si="7"/>
        <v>0</v>
      </c>
      <c r="AK184" s="91">
        <f t="shared" ca="1" si="8"/>
        <v>0</v>
      </c>
      <c r="AL184" s="203"/>
      <c r="AM184" s="203"/>
      <c r="AN184" s="203"/>
      <c r="AO184" s="203"/>
      <c r="AP184" s="203"/>
      <c r="AQ184" s="203"/>
      <c r="AR184" s="203"/>
      <c r="AS184" s="203"/>
      <c r="AT184" s="203"/>
      <c r="AU184" s="203"/>
      <c r="AV184" s="203"/>
      <c r="AW184" s="203"/>
      <c r="AX184" s="203"/>
      <c r="AY184" s="203"/>
      <c r="AZ184" s="203"/>
      <c r="BA184" s="203"/>
      <c r="BB184" s="203"/>
      <c r="BC184" s="203"/>
      <c r="BD184" s="203"/>
      <c r="BE184" s="203"/>
      <c r="BF184" s="203"/>
      <c r="BG184" s="203"/>
      <c r="BH184" s="203"/>
      <c r="BI184" s="203"/>
      <c r="BJ184" s="203"/>
      <c r="BK184" s="203"/>
      <c r="BL184" s="203"/>
      <c r="BM184" s="203"/>
      <c r="BN184" s="203"/>
      <c r="BO184" s="203"/>
      <c r="BP184" s="203"/>
      <c r="BQ184" s="203"/>
      <c r="BR184" s="203"/>
      <c r="BS184" s="203"/>
      <c r="BT184" s="203"/>
      <c r="BU184" s="203"/>
      <c r="BV184" s="203"/>
      <c r="BW184" s="203"/>
      <c r="BX184" s="203"/>
    </row>
    <row r="185" spans="1:76" s="199" customFormat="1" ht="22.5" customHeight="1">
      <c r="A185" s="222">
        <v>180</v>
      </c>
      <c r="B185" s="222"/>
      <c r="C185" s="198"/>
      <c r="D185" s="193"/>
      <c r="E185" s="194"/>
      <c r="F185" s="222"/>
      <c r="G185" s="222"/>
      <c r="H185" s="193"/>
      <c r="I185" s="193"/>
      <c r="J185" s="193"/>
      <c r="K185" s="195"/>
      <c r="L185" s="196"/>
      <c r="M185" s="193"/>
      <c r="N185" s="197"/>
      <c r="O185" s="197"/>
      <c r="P185" s="197"/>
      <c r="Q185" s="197"/>
      <c r="R185" s="196"/>
      <c r="S185" s="195"/>
      <c r="T185" s="195"/>
      <c r="U185" s="197"/>
      <c r="V185" s="213"/>
      <c r="W185" s="198"/>
      <c r="X185" s="198"/>
      <c r="Y185" s="198"/>
      <c r="Z185" s="198"/>
      <c r="AA185" s="198"/>
      <c r="AB185" s="200"/>
      <c r="AC185" s="200"/>
      <c r="AD185" s="200"/>
      <c r="AE185" s="200"/>
      <c r="AF185" s="200"/>
      <c r="AG185" s="200"/>
      <c r="AH185" s="200"/>
      <c r="AI185" s="91"/>
      <c r="AJ185" s="91">
        <f t="shared" ca="1" si="7"/>
        <v>0</v>
      </c>
      <c r="AK185" s="91">
        <f t="shared" ca="1" si="8"/>
        <v>0</v>
      </c>
      <c r="AL185" s="203"/>
      <c r="AM185" s="203"/>
      <c r="AN185" s="203"/>
      <c r="AO185" s="203"/>
      <c r="AP185" s="203"/>
      <c r="AQ185" s="203"/>
      <c r="AR185" s="203"/>
      <c r="AS185" s="203"/>
      <c r="AT185" s="203"/>
      <c r="AU185" s="203"/>
      <c r="AV185" s="203"/>
      <c r="AW185" s="203"/>
      <c r="AX185" s="203"/>
      <c r="AY185" s="203"/>
      <c r="AZ185" s="203"/>
      <c r="BA185" s="203"/>
      <c r="BB185" s="203"/>
      <c r="BC185" s="203"/>
      <c r="BD185" s="203"/>
      <c r="BE185" s="203"/>
      <c r="BF185" s="203"/>
      <c r="BG185" s="203"/>
      <c r="BH185" s="203"/>
      <c r="BI185" s="203"/>
      <c r="BJ185" s="203"/>
      <c r="BK185" s="203"/>
      <c r="BL185" s="203"/>
      <c r="BM185" s="203"/>
      <c r="BN185" s="203"/>
      <c r="BO185" s="203"/>
      <c r="BP185" s="203"/>
      <c r="BQ185" s="203"/>
      <c r="BR185" s="203"/>
      <c r="BS185" s="203"/>
      <c r="BT185" s="203"/>
      <c r="BU185" s="203"/>
      <c r="BV185" s="203"/>
      <c r="BW185" s="203"/>
      <c r="BX185" s="203"/>
    </row>
    <row r="186" spans="1:76" s="199" customFormat="1" ht="22.5" customHeight="1">
      <c r="A186" s="222">
        <v>181</v>
      </c>
      <c r="B186" s="222"/>
      <c r="C186" s="198"/>
      <c r="D186" s="193"/>
      <c r="E186" s="194"/>
      <c r="F186" s="222"/>
      <c r="G186" s="222"/>
      <c r="H186" s="193"/>
      <c r="I186" s="193"/>
      <c r="J186" s="193"/>
      <c r="K186" s="195"/>
      <c r="L186" s="196"/>
      <c r="M186" s="193"/>
      <c r="N186" s="197"/>
      <c r="O186" s="197"/>
      <c r="P186" s="197"/>
      <c r="Q186" s="197"/>
      <c r="R186" s="196"/>
      <c r="S186" s="195"/>
      <c r="T186" s="195"/>
      <c r="U186" s="197"/>
      <c r="V186" s="213"/>
      <c r="W186" s="198"/>
      <c r="X186" s="198"/>
      <c r="Y186" s="198"/>
      <c r="Z186" s="198"/>
      <c r="AA186" s="198"/>
      <c r="AB186" s="200"/>
      <c r="AC186" s="200"/>
      <c r="AD186" s="200"/>
      <c r="AE186" s="200"/>
      <c r="AF186" s="200"/>
      <c r="AG186" s="200"/>
      <c r="AH186" s="200"/>
      <c r="AI186" s="91"/>
      <c r="AJ186" s="91">
        <f t="shared" ca="1" si="7"/>
        <v>0</v>
      </c>
      <c r="AK186" s="91">
        <f t="shared" ca="1" si="8"/>
        <v>0</v>
      </c>
      <c r="AL186" s="203"/>
      <c r="AM186" s="203"/>
      <c r="AN186" s="203"/>
      <c r="AO186" s="203"/>
      <c r="AP186" s="203"/>
      <c r="AQ186" s="203"/>
      <c r="AR186" s="203"/>
      <c r="AS186" s="203"/>
      <c r="AT186" s="203"/>
      <c r="AU186" s="203"/>
      <c r="AV186" s="203"/>
      <c r="AW186" s="203"/>
      <c r="AX186" s="203"/>
      <c r="AY186" s="203"/>
      <c r="AZ186" s="203"/>
      <c r="BA186" s="203"/>
      <c r="BB186" s="203"/>
      <c r="BC186" s="203"/>
      <c r="BD186" s="203"/>
      <c r="BE186" s="203"/>
      <c r="BF186" s="203"/>
      <c r="BG186" s="203"/>
      <c r="BH186" s="203"/>
      <c r="BI186" s="203"/>
      <c r="BJ186" s="203"/>
      <c r="BK186" s="203"/>
      <c r="BL186" s="203"/>
      <c r="BM186" s="203"/>
      <c r="BN186" s="203"/>
      <c r="BO186" s="203"/>
      <c r="BP186" s="203"/>
      <c r="BQ186" s="203"/>
      <c r="BR186" s="203"/>
      <c r="BS186" s="203"/>
      <c r="BT186" s="203"/>
      <c r="BU186" s="203"/>
      <c r="BV186" s="203"/>
      <c r="BW186" s="203"/>
      <c r="BX186" s="203"/>
    </row>
    <row r="187" spans="1:76" s="199" customFormat="1" ht="22.5" customHeight="1">
      <c r="A187" s="222">
        <v>182</v>
      </c>
      <c r="B187" s="222"/>
      <c r="C187" s="198"/>
      <c r="D187" s="193"/>
      <c r="E187" s="194"/>
      <c r="F187" s="222"/>
      <c r="G187" s="222"/>
      <c r="H187" s="193"/>
      <c r="I187" s="193"/>
      <c r="J187" s="193"/>
      <c r="K187" s="195"/>
      <c r="L187" s="196"/>
      <c r="M187" s="193"/>
      <c r="N187" s="197"/>
      <c r="O187" s="197"/>
      <c r="P187" s="197"/>
      <c r="Q187" s="197"/>
      <c r="R187" s="196"/>
      <c r="S187" s="195"/>
      <c r="T187" s="195"/>
      <c r="U187" s="197"/>
      <c r="V187" s="213"/>
      <c r="W187" s="198"/>
      <c r="X187" s="198"/>
      <c r="Y187" s="198"/>
      <c r="Z187" s="198"/>
      <c r="AA187" s="198"/>
      <c r="AB187" s="200"/>
      <c r="AC187" s="200"/>
      <c r="AD187" s="200"/>
      <c r="AE187" s="200"/>
      <c r="AF187" s="200"/>
      <c r="AG187" s="200"/>
      <c r="AH187" s="200"/>
      <c r="AI187" s="91"/>
      <c r="AJ187" s="91">
        <f t="shared" ca="1" si="7"/>
        <v>0</v>
      </c>
      <c r="AK187" s="91">
        <f t="shared" ca="1" si="8"/>
        <v>0</v>
      </c>
      <c r="AL187" s="203"/>
      <c r="AM187" s="203"/>
      <c r="AN187" s="203"/>
      <c r="AO187" s="203"/>
      <c r="AP187" s="203"/>
      <c r="AQ187" s="203"/>
      <c r="AR187" s="203"/>
      <c r="AS187" s="203"/>
      <c r="AT187" s="203"/>
      <c r="AU187" s="203"/>
      <c r="AV187" s="203"/>
      <c r="AW187" s="203"/>
      <c r="AX187" s="203"/>
      <c r="AY187" s="203"/>
      <c r="AZ187" s="203"/>
      <c r="BA187" s="203"/>
      <c r="BB187" s="203"/>
      <c r="BC187" s="203"/>
      <c r="BD187" s="203"/>
      <c r="BE187" s="203"/>
      <c r="BF187" s="203"/>
      <c r="BG187" s="203"/>
      <c r="BH187" s="203"/>
      <c r="BI187" s="203"/>
      <c r="BJ187" s="203"/>
      <c r="BK187" s="203"/>
      <c r="BL187" s="203"/>
      <c r="BM187" s="203"/>
      <c r="BN187" s="203"/>
      <c r="BO187" s="203"/>
      <c r="BP187" s="203"/>
      <c r="BQ187" s="203"/>
      <c r="BR187" s="203"/>
      <c r="BS187" s="203"/>
      <c r="BT187" s="203"/>
      <c r="BU187" s="203"/>
      <c r="BV187" s="203"/>
      <c r="BW187" s="203"/>
      <c r="BX187" s="203"/>
    </row>
    <row r="188" spans="1:76" s="199" customFormat="1" ht="22.5" customHeight="1">
      <c r="A188" s="222">
        <v>183</v>
      </c>
      <c r="B188" s="222"/>
      <c r="C188" s="198"/>
      <c r="D188" s="193"/>
      <c r="E188" s="194"/>
      <c r="F188" s="222"/>
      <c r="G188" s="222"/>
      <c r="H188" s="193"/>
      <c r="I188" s="193"/>
      <c r="J188" s="193"/>
      <c r="K188" s="195"/>
      <c r="L188" s="196"/>
      <c r="M188" s="193"/>
      <c r="N188" s="197"/>
      <c r="O188" s="197"/>
      <c r="P188" s="197"/>
      <c r="Q188" s="197"/>
      <c r="R188" s="196"/>
      <c r="S188" s="195"/>
      <c r="T188" s="195"/>
      <c r="U188" s="197"/>
      <c r="V188" s="213"/>
      <c r="W188" s="198"/>
      <c r="X188" s="198"/>
      <c r="Y188" s="198"/>
      <c r="Z188" s="198"/>
      <c r="AA188" s="198"/>
      <c r="AB188" s="200"/>
      <c r="AC188" s="200"/>
      <c r="AD188" s="200"/>
      <c r="AE188" s="200"/>
      <c r="AF188" s="200"/>
      <c r="AG188" s="200"/>
      <c r="AH188" s="200"/>
      <c r="AI188" s="91"/>
      <c r="AJ188" s="91">
        <f t="shared" ca="1" si="7"/>
        <v>0</v>
      </c>
      <c r="AK188" s="91">
        <f t="shared" ca="1" si="8"/>
        <v>0</v>
      </c>
      <c r="AL188" s="203"/>
      <c r="AM188" s="203"/>
      <c r="AN188" s="203"/>
      <c r="AO188" s="203"/>
      <c r="AP188" s="203"/>
      <c r="AQ188" s="203"/>
      <c r="AR188" s="203"/>
      <c r="AS188" s="203"/>
      <c r="AT188" s="203"/>
      <c r="AU188" s="203"/>
      <c r="AV188" s="203"/>
      <c r="AW188" s="203"/>
      <c r="AX188" s="203"/>
      <c r="AY188" s="203"/>
      <c r="AZ188" s="203"/>
      <c r="BA188" s="203"/>
      <c r="BB188" s="203"/>
      <c r="BC188" s="203"/>
      <c r="BD188" s="203"/>
      <c r="BE188" s="203"/>
      <c r="BF188" s="203"/>
      <c r="BG188" s="203"/>
      <c r="BH188" s="203"/>
      <c r="BI188" s="203"/>
      <c r="BJ188" s="203"/>
      <c r="BK188" s="203"/>
      <c r="BL188" s="203"/>
      <c r="BM188" s="203"/>
      <c r="BN188" s="203"/>
      <c r="BO188" s="203"/>
      <c r="BP188" s="203"/>
      <c r="BQ188" s="203"/>
      <c r="BR188" s="203"/>
      <c r="BS188" s="203"/>
      <c r="BT188" s="203"/>
      <c r="BU188" s="203"/>
      <c r="BV188" s="203"/>
      <c r="BW188" s="203"/>
      <c r="BX188" s="203"/>
    </row>
    <row r="189" spans="1:76" s="199" customFormat="1" ht="22.5" customHeight="1">
      <c r="A189" s="222">
        <v>184</v>
      </c>
      <c r="B189" s="222"/>
      <c r="C189" s="198"/>
      <c r="D189" s="193"/>
      <c r="E189" s="194"/>
      <c r="F189" s="222"/>
      <c r="G189" s="222"/>
      <c r="H189" s="193"/>
      <c r="I189" s="193"/>
      <c r="J189" s="193"/>
      <c r="K189" s="195"/>
      <c r="L189" s="196"/>
      <c r="M189" s="193"/>
      <c r="N189" s="197"/>
      <c r="O189" s="197"/>
      <c r="P189" s="197"/>
      <c r="Q189" s="197"/>
      <c r="R189" s="196"/>
      <c r="S189" s="195"/>
      <c r="T189" s="195"/>
      <c r="U189" s="197"/>
      <c r="V189" s="213"/>
      <c r="W189" s="198"/>
      <c r="X189" s="198"/>
      <c r="Y189" s="198"/>
      <c r="Z189" s="198"/>
      <c r="AA189" s="198"/>
      <c r="AB189" s="200"/>
      <c r="AC189" s="200"/>
      <c r="AD189" s="200"/>
      <c r="AE189" s="200"/>
      <c r="AF189" s="200"/>
      <c r="AG189" s="200"/>
      <c r="AH189" s="200"/>
      <c r="AI189" s="91"/>
      <c r="AJ189" s="91">
        <f t="shared" ca="1" si="7"/>
        <v>0</v>
      </c>
      <c r="AK189" s="91">
        <f t="shared" ca="1" si="8"/>
        <v>0</v>
      </c>
      <c r="AL189" s="203"/>
      <c r="AM189" s="203"/>
      <c r="AN189" s="203"/>
      <c r="AO189" s="203"/>
      <c r="AP189" s="203"/>
      <c r="AQ189" s="203"/>
      <c r="AR189" s="203"/>
      <c r="AS189" s="203"/>
      <c r="AT189" s="203"/>
      <c r="AU189" s="203"/>
      <c r="AV189" s="203"/>
      <c r="AW189" s="203"/>
      <c r="AX189" s="203"/>
      <c r="AY189" s="203"/>
      <c r="AZ189" s="203"/>
      <c r="BA189" s="203"/>
      <c r="BB189" s="203"/>
      <c r="BC189" s="203"/>
      <c r="BD189" s="203"/>
      <c r="BE189" s="203"/>
      <c r="BF189" s="203"/>
      <c r="BG189" s="203"/>
      <c r="BH189" s="203"/>
      <c r="BI189" s="203"/>
      <c r="BJ189" s="203"/>
      <c r="BK189" s="203"/>
      <c r="BL189" s="203"/>
      <c r="BM189" s="203"/>
      <c r="BN189" s="203"/>
      <c r="BO189" s="203"/>
      <c r="BP189" s="203"/>
      <c r="BQ189" s="203"/>
      <c r="BR189" s="203"/>
      <c r="BS189" s="203"/>
      <c r="BT189" s="203"/>
      <c r="BU189" s="203"/>
      <c r="BV189" s="203"/>
      <c r="BW189" s="203"/>
      <c r="BX189" s="203"/>
    </row>
    <row r="190" spans="1:76" s="199" customFormat="1" ht="22.5" customHeight="1">
      <c r="A190" s="222">
        <v>185</v>
      </c>
      <c r="B190" s="222"/>
      <c r="C190" s="198"/>
      <c r="D190" s="193"/>
      <c r="E190" s="194"/>
      <c r="F190" s="222"/>
      <c r="G190" s="222"/>
      <c r="H190" s="193"/>
      <c r="I190" s="193"/>
      <c r="J190" s="193"/>
      <c r="K190" s="195"/>
      <c r="L190" s="196"/>
      <c r="M190" s="193"/>
      <c r="N190" s="197"/>
      <c r="O190" s="197"/>
      <c r="P190" s="197"/>
      <c r="Q190" s="197"/>
      <c r="R190" s="196"/>
      <c r="S190" s="195"/>
      <c r="T190" s="195"/>
      <c r="U190" s="197"/>
      <c r="V190" s="213"/>
      <c r="W190" s="198"/>
      <c r="X190" s="198"/>
      <c r="Y190" s="198"/>
      <c r="Z190" s="198"/>
      <c r="AA190" s="198"/>
      <c r="AB190" s="200"/>
      <c r="AC190" s="200"/>
      <c r="AD190" s="200"/>
      <c r="AE190" s="200"/>
      <c r="AF190" s="200"/>
      <c r="AG190" s="200"/>
      <c r="AH190" s="200"/>
      <c r="AI190" s="91"/>
      <c r="AJ190" s="91">
        <f t="shared" ca="1" si="7"/>
        <v>0</v>
      </c>
      <c r="AK190" s="91">
        <f t="shared" ca="1" si="8"/>
        <v>0</v>
      </c>
      <c r="AL190" s="203"/>
      <c r="AM190" s="203"/>
      <c r="AN190" s="203"/>
      <c r="AO190" s="203"/>
      <c r="AP190" s="203"/>
      <c r="AQ190" s="203"/>
      <c r="AR190" s="203"/>
      <c r="AS190" s="203"/>
      <c r="AT190" s="203"/>
      <c r="AU190" s="203"/>
      <c r="AV190" s="203"/>
      <c r="AW190" s="203"/>
      <c r="AX190" s="203"/>
      <c r="AY190" s="203"/>
      <c r="AZ190" s="203"/>
      <c r="BA190" s="203"/>
      <c r="BB190" s="203"/>
      <c r="BC190" s="203"/>
      <c r="BD190" s="203"/>
      <c r="BE190" s="203"/>
      <c r="BF190" s="203"/>
      <c r="BG190" s="203"/>
      <c r="BH190" s="203"/>
      <c r="BI190" s="203"/>
      <c r="BJ190" s="203"/>
      <c r="BK190" s="203"/>
      <c r="BL190" s="203"/>
      <c r="BM190" s="203"/>
      <c r="BN190" s="203"/>
      <c r="BO190" s="203"/>
      <c r="BP190" s="203"/>
      <c r="BQ190" s="203"/>
      <c r="BR190" s="203"/>
      <c r="BS190" s="203"/>
      <c r="BT190" s="203"/>
      <c r="BU190" s="203"/>
      <c r="BV190" s="203"/>
      <c r="BW190" s="203"/>
      <c r="BX190" s="203"/>
    </row>
    <row r="191" spans="1:76" s="199" customFormat="1" ht="22.5" customHeight="1">
      <c r="A191" s="222">
        <v>186</v>
      </c>
      <c r="B191" s="222"/>
      <c r="C191" s="198"/>
      <c r="D191" s="193"/>
      <c r="E191" s="194"/>
      <c r="F191" s="222"/>
      <c r="G191" s="222"/>
      <c r="H191" s="193"/>
      <c r="I191" s="193"/>
      <c r="J191" s="193"/>
      <c r="K191" s="195"/>
      <c r="L191" s="196"/>
      <c r="M191" s="193"/>
      <c r="N191" s="197"/>
      <c r="O191" s="197"/>
      <c r="P191" s="197"/>
      <c r="Q191" s="197"/>
      <c r="R191" s="196"/>
      <c r="S191" s="195"/>
      <c r="T191" s="195"/>
      <c r="U191" s="197"/>
      <c r="V191" s="213"/>
      <c r="W191" s="198"/>
      <c r="X191" s="198"/>
      <c r="Y191" s="198"/>
      <c r="Z191" s="198"/>
      <c r="AA191" s="198"/>
      <c r="AB191" s="200"/>
      <c r="AC191" s="200"/>
      <c r="AD191" s="200"/>
      <c r="AE191" s="200"/>
      <c r="AF191" s="200"/>
      <c r="AG191" s="200"/>
      <c r="AH191" s="200"/>
      <c r="AI191" s="91"/>
      <c r="AJ191" s="91">
        <f t="shared" ca="1" si="7"/>
        <v>0</v>
      </c>
      <c r="AK191" s="91">
        <f t="shared" ca="1" si="8"/>
        <v>0</v>
      </c>
      <c r="AL191" s="203"/>
      <c r="AM191" s="203"/>
      <c r="AN191" s="203"/>
      <c r="AO191" s="203"/>
      <c r="AP191" s="203"/>
      <c r="AQ191" s="203"/>
      <c r="AR191" s="203"/>
      <c r="AS191" s="203"/>
      <c r="AT191" s="203"/>
      <c r="AU191" s="203"/>
      <c r="AV191" s="203"/>
      <c r="AW191" s="203"/>
      <c r="AX191" s="203"/>
      <c r="AY191" s="203"/>
      <c r="AZ191" s="203"/>
      <c r="BA191" s="203"/>
      <c r="BB191" s="203"/>
      <c r="BC191" s="203"/>
      <c r="BD191" s="203"/>
      <c r="BE191" s="203"/>
      <c r="BF191" s="203"/>
      <c r="BG191" s="203"/>
      <c r="BH191" s="203"/>
      <c r="BI191" s="203"/>
      <c r="BJ191" s="203"/>
      <c r="BK191" s="203"/>
      <c r="BL191" s="203"/>
      <c r="BM191" s="203"/>
      <c r="BN191" s="203"/>
      <c r="BO191" s="203"/>
      <c r="BP191" s="203"/>
      <c r="BQ191" s="203"/>
      <c r="BR191" s="203"/>
      <c r="BS191" s="203"/>
      <c r="BT191" s="203"/>
      <c r="BU191" s="203"/>
      <c r="BV191" s="203"/>
      <c r="BW191" s="203"/>
      <c r="BX191" s="203"/>
    </row>
    <row r="192" spans="1:76" s="199" customFormat="1" ht="22.5" customHeight="1">
      <c r="A192" s="222">
        <v>187</v>
      </c>
      <c r="B192" s="222"/>
      <c r="C192" s="198"/>
      <c r="D192" s="193"/>
      <c r="E192" s="194"/>
      <c r="F192" s="222"/>
      <c r="G192" s="222"/>
      <c r="H192" s="193"/>
      <c r="I192" s="193"/>
      <c r="J192" s="193"/>
      <c r="K192" s="195"/>
      <c r="L192" s="196"/>
      <c r="M192" s="193"/>
      <c r="N192" s="197"/>
      <c r="O192" s="197"/>
      <c r="P192" s="197"/>
      <c r="Q192" s="197"/>
      <c r="R192" s="196"/>
      <c r="S192" s="195"/>
      <c r="T192" s="195"/>
      <c r="U192" s="197"/>
      <c r="V192" s="213"/>
      <c r="W192" s="198"/>
      <c r="X192" s="198"/>
      <c r="Y192" s="198"/>
      <c r="Z192" s="198"/>
      <c r="AA192" s="198"/>
      <c r="AB192" s="200"/>
      <c r="AC192" s="200"/>
      <c r="AD192" s="200"/>
      <c r="AE192" s="200"/>
      <c r="AF192" s="200"/>
      <c r="AG192" s="200"/>
      <c r="AH192" s="200"/>
      <c r="AI192" s="91"/>
      <c r="AJ192" s="91">
        <f t="shared" ca="1" si="7"/>
        <v>0</v>
      </c>
      <c r="AK192" s="91">
        <f t="shared" ca="1" si="8"/>
        <v>0</v>
      </c>
      <c r="AL192" s="203"/>
      <c r="AM192" s="203"/>
      <c r="AN192" s="203"/>
      <c r="AO192" s="203"/>
      <c r="AP192" s="203"/>
      <c r="AQ192" s="203"/>
      <c r="AR192" s="203"/>
      <c r="AS192" s="203"/>
      <c r="AT192" s="203"/>
      <c r="AU192" s="203"/>
      <c r="AV192" s="203"/>
      <c r="AW192" s="203"/>
      <c r="AX192" s="203"/>
      <c r="AY192" s="203"/>
      <c r="AZ192" s="203"/>
      <c r="BA192" s="203"/>
      <c r="BB192" s="203"/>
      <c r="BC192" s="203"/>
      <c r="BD192" s="203"/>
      <c r="BE192" s="203"/>
      <c r="BF192" s="203"/>
      <c r="BG192" s="203"/>
      <c r="BH192" s="203"/>
      <c r="BI192" s="203"/>
      <c r="BJ192" s="203"/>
      <c r="BK192" s="203"/>
      <c r="BL192" s="203"/>
      <c r="BM192" s="203"/>
      <c r="BN192" s="203"/>
      <c r="BO192" s="203"/>
      <c r="BP192" s="203"/>
      <c r="BQ192" s="203"/>
      <c r="BR192" s="203"/>
      <c r="BS192" s="203"/>
      <c r="BT192" s="203"/>
      <c r="BU192" s="203"/>
      <c r="BV192" s="203"/>
      <c r="BW192" s="203"/>
      <c r="BX192" s="203"/>
    </row>
    <row r="193" spans="1:76" s="199" customFormat="1" ht="22.5" customHeight="1">
      <c r="A193" s="222">
        <v>188</v>
      </c>
      <c r="B193" s="222"/>
      <c r="C193" s="198"/>
      <c r="D193" s="193"/>
      <c r="E193" s="194"/>
      <c r="F193" s="222"/>
      <c r="G193" s="222"/>
      <c r="H193" s="193"/>
      <c r="I193" s="193"/>
      <c r="J193" s="193"/>
      <c r="K193" s="195"/>
      <c r="L193" s="196"/>
      <c r="M193" s="193"/>
      <c r="N193" s="197"/>
      <c r="O193" s="197"/>
      <c r="P193" s="197"/>
      <c r="Q193" s="197"/>
      <c r="R193" s="196"/>
      <c r="S193" s="195"/>
      <c r="T193" s="195"/>
      <c r="U193" s="197"/>
      <c r="V193" s="213"/>
      <c r="W193" s="198"/>
      <c r="X193" s="198"/>
      <c r="Y193" s="198"/>
      <c r="Z193" s="198"/>
      <c r="AA193" s="198"/>
      <c r="AB193" s="200"/>
      <c r="AC193" s="200"/>
      <c r="AD193" s="200"/>
      <c r="AE193" s="200"/>
      <c r="AF193" s="200"/>
      <c r="AG193" s="200"/>
      <c r="AH193" s="200"/>
      <c r="AI193" s="91"/>
      <c r="AJ193" s="91">
        <f t="shared" ca="1" si="7"/>
        <v>0</v>
      </c>
      <c r="AK193" s="91">
        <f t="shared" ca="1" si="8"/>
        <v>0</v>
      </c>
      <c r="AL193" s="203"/>
      <c r="AM193" s="203"/>
      <c r="AN193" s="203"/>
      <c r="AO193" s="203"/>
      <c r="AP193" s="203"/>
      <c r="AQ193" s="203"/>
      <c r="AR193" s="203"/>
      <c r="AS193" s="203"/>
      <c r="AT193" s="203"/>
      <c r="AU193" s="203"/>
      <c r="AV193" s="203"/>
      <c r="AW193" s="203"/>
      <c r="AX193" s="203"/>
      <c r="AY193" s="203"/>
      <c r="AZ193" s="203"/>
      <c r="BA193" s="203"/>
      <c r="BB193" s="203"/>
      <c r="BC193" s="203"/>
      <c r="BD193" s="203"/>
      <c r="BE193" s="203"/>
      <c r="BF193" s="203"/>
      <c r="BG193" s="203"/>
      <c r="BH193" s="203"/>
      <c r="BI193" s="203"/>
      <c r="BJ193" s="203"/>
      <c r="BK193" s="203"/>
      <c r="BL193" s="203"/>
      <c r="BM193" s="203"/>
      <c r="BN193" s="203"/>
      <c r="BO193" s="203"/>
      <c r="BP193" s="203"/>
      <c r="BQ193" s="203"/>
      <c r="BR193" s="203"/>
      <c r="BS193" s="203"/>
      <c r="BT193" s="203"/>
      <c r="BU193" s="203"/>
      <c r="BV193" s="203"/>
      <c r="BW193" s="203"/>
      <c r="BX193" s="203"/>
    </row>
    <row r="194" spans="1:76" s="199" customFormat="1" ht="22.5" customHeight="1">
      <c r="A194" s="222">
        <v>189</v>
      </c>
      <c r="B194" s="222"/>
      <c r="C194" s="198"/>
      <c r="D194" s="193"/>
      <c r="E194" s="194"/>
      <c r="F194" s="222"/>
      <c r="G194" s="222"/>
      <c r="H194" s="193"/>
      <c r="I194" s="193"/>
      <c r="J194" s="193"/>
      <c r="K194" s="195"/>
      <c r="L194" s="196"/>
      <c r="M194" s="193"/>
      <c r="N194" s="197"/>
      <c r="O194" s="197"/>
      <c r="P194" s="197"/>
      <c r="Q194" s="197"/>
      <c r="R194" s="196"/>
      <c r="S194" s="195"/>
      <c r="T194" s="195"/>
      <c r="U194" s="197"/>
      <c r="V194" s="213"/>
      <c r="W194" s="198"/>
      <c r="X194" s="198"/>
      <c r="Y194" s="198"/>
      <c r="Z194" s="198"/>
      <c r="AA194" s="198"/>
      <c r="AB194" s="200"/>
      <c r="AC194" s="200"/>
      <c r="AD194" s="200"/>
      <c r="AE194" s="200"/>
      <c r="AF194" s="200"/>
      <c r="AG194" s="200"/>
      <c r="AH194" s="200"/>
      <c r="AI194" s="91"/>
      <c r="AJ194" s="91">
        <f t="shared" ca="1" si="7"/>
        <v>0</v>
      </c>
      <c r="AK194" s="91">
        <f t="shared" ca="1" si="8"/>
        <v>0</v>
      </c>
      <c r="AL194" s="203"/>
      <c r="AM194" s="203"/>
      <c r="AN194" s="203"/>
      <c r="AO194" s="203"/>
      <c r="AP194" s="203"/>
      <c r="AQ194" s="203"/>
      <c r="AR194" s="203"/>
      <c r="AS194" s="203"/>
      <c r="AT194" s="203"/>
      <c r="AU194" s="203"/>
      <c r="AV194" s="203"/>
      <c r="AW194" s="203"/>
      <c r="AX194" s="203"/>
      <c r="AY194" s="203"/>
      <c r="AZ194" s="203"/>
      <c r="BA194" s="203"/>
      <c r="BB194" s="203"/>
      <c r="BC194" s="203"/>
      <c r="BD194" s="203"/>
      <c r="BE194" s="203"/>
      <c r="BF194" s="203"/>
      <c r="BG194" s="203"/>
      <c r="BH194" s="203"/>
      <c r="BI194" s="203"/>
      <c r="BJ194" s="203"/>
      <c r="BK194" s="203"/>
      <c r="BL194" s="203"/>
      <c r="BM194" s="203"/>
      <c r="BN194" s="203"/>
      <c r="BO194" s="203"/>
      <c r="BP194" s="203"/>
      <c r="BQ194" s="203"/>
      <c r="BR194" s="203"/>
      <c r="BS194" s="203"/>
      <c r="BT194" s="203"/>
      <c r="BU194" s="203"/>
      <c r="BV194" s="203"/>
      <c r="BW194" s="203"/>
      <c r="BX194" s="203"/>
    </row>
    <row r="195" spans="1:76" s="199" customFormat="1" ht="22.5" customHeight="1">
      <c r="A195" s="222">
        <v>190</v>
      </c>
      <c r="B195" s="222"/>
      <c r="C195" s="198"/>
      <c r="D195" s="193"/>
      <c r="E195" s="194"/>
      <c r="F195" s="222"/>
      <c r="G195" s="222"/>
      <c r="H195" s="193"/>
      <c r="I195" s="193"/>
      <c r="J195" s="193"/>
      <c r="K195" s="195"/>
      <c r="L195" s="196"/>
      <c r="M195" s="193"/>
      <c r="N195" s="197"/>
      <c r="O195" s="197"/>
      <c r="P195" s="197"/>
      <c r="Q195" s="197"/>
      <c r="R195" s="196"/>
      <c r="S195" s="195"/>
      <c r="T195" s="195"/>
      <c r="U195" s="197"/>
      <c r="V195" s="213"/>
      <c r="W195" s="198"/>
      <c r="X195" s="198"/>
      <c r="Y195" s="198"/>
      <c r="Z195" s="198"/>
      <c r="AA195" s="198"/>
      <c r="AB195" s="200"/>
      <c r="AC195" s="200"/>
      <c r="AD195" s="200"/>
      <c r="AE195" s="200"/>
      <c r="AF195" s="200"/>
      <c r="AG195" s="200"/>
      <c r="AH195" s="200"/>
      <c r="AI195" s="91"/>
      <c r="AJ195" s="91">
        <f t="shared" ca="1" si="7"/>
        <v>0</v>
      </c>
      <c r="AK195" s="91">
        <f t="shared" ca="1" si="8"/>
        <v>0</v>
      </c>
      <c r="AL195" s="203"/>
      <c r="AM195" s="203"/>
      <c r="AN195" s="203"/>
      <c r="AO195" s="203"/>
      <c r="AP195" s="203"/>
      <c r="AQ195" s="203"/>
      <c r="AR195" s="203"/>
      <c r="AS195" s="203"/>
      <c r="AT195" s="203"/>
      <c r="AU195" s="203"/>
      <c r="AV195" s="203"/>
      <c r="AW195" s="203"/>
      <c r="AX195" s="203"/>
      <c r="AY195" s="203"/>
      <c r="AZ195" s="203"/>
      <c r="BA195" s="203"/>
      <c r="BB195" s="203"/>
      <c r="BC195" s="203"/>
      <c r="BD195" s="203"/>
      <c r="BE195" s="203"/>
      <c r="BF195" s="203"/>
      <c r="BG195" s="203"/>
      <c r="BH195" s="203"/>
      <c r="BI195" s="203"/>
      <c r="BJ195" s="203"/>
      <c r="BK195" s="203"/>
      <c r="BL195" s="203"/>
      <c r="BM195" s="203"/>
      <c r="BN195" s="203"/>
      <c r="BO195" s="203"/>
      <c r="BP195" s="203"/>
      <c r="BQ195" s="203"/>
      <c r="BR195" s="203"/>
      <c r="BS195" s="203"/>
      <c r="BT195" s="203"/>
      <c r="BU195" s="203"/>
      <c r="BV195" s="203"/>
      <c r="BW195" s="203"/>
      <c r="BX195" s="203"/>
    </row>
    <row r="196" spans="1:76" s="199" customFormat="1" ht="22.5" customHeight="1">
      <c r="A196" s="222">
        <v>191</v>
      </c>
      <c r="B196" s="222"/>
      <c r="C196" s="198"/>
      <c r="D196" s="193"/>
      <c r="E196" s="194"/>
      <c r="F196" s="222"/>
      <c r="G196" s="222"/>
      <c r="H196" s="193"/>
      <c r="I196" s="193"/>
      <c r="J196" s="193"/>
      <c r="K196" s="195"/>
      <c r="L196" s="196"/>
      <c r="M196" s="193"/>
      <c r="N196" s="197"/>
      <c r="O196" s="197"/>
      <c r="P196" s="197"/>
      <c r="Q196" s="197"/>
      <c r="R196" s="196"/>
      <c r="S196" s="195"/>
      <c r="T196" s="195"/>
      <c r="U196" s="197"/>
      <c r="V196" s="213"/>
      <c r="W196" s="198"/>
      <c r="X196" s="198"/>
      <c r="Y196" s="198"/>
      <c r="Z196" s="198"/>
      <c r="AA196" s="198"/>
      <c r="AB196" s="200"/>
      <c r="AC196" s="200"/>
      <c r="AD196" s="200"/>
      <c r="AE196" s="200"/>
      <c r="AF196" s="200"/>
      <c r="AG196" s="200"/>
      <c r="AH196" s="200"/>
      <c r="AI196" s="91"/>
      <c r="AJ196" s="91">
        <f t="shared" ca="1" si="7"/>
        <v>0</v>
      </c>
      <c r="AK196" s="91">
        <f t="shared" ca="1" si="8"/>
        <v>0</v>
      </c>
      <c r="AL196" s="203"/>
      <c r="AM196" s="203"/>
      <c r="AN196" s="203"/>
      <c r="AO196" s="203"/>
      <c r="AP196" s="203"/>
      <c r="AQ196" s="203"/>
      <c r="AR196" s="203"/>
      <c r="AS196" s="203"/>
      <c r="AT196" s="203"/>
      <c r="AU196" s="203"/>
      <c r="AV196" s="203"/>
      <c r="AW196" s="203"/>
      <c r="AX196" s="203"/>
      <c r="AY196" s="203"/>
      <c r="AZ196" s="203"/>
      <c r="BA196" s="203"/>
      <c r="BB196" s="203"/>
      <c r="BC196" s="203"/>
      <c r="BD196" s="203"/>
      <c r="BE196" s="203"/>
      <c r="BF196" s="203"/>
      <c r="BG196" s="203"/>
      <c r="BH196" s="203"/>
      <c r="BI196" s="203"/>
      <c r="BJ196" s="203"/>
      <c r="BK196" s="203"/>
      <c r="BL196" s="203"/>
      <c r="BM196" s="203"/>
      <c r="BN196" s="203"/>
      <c r="BO196" s="203"/>
      <c r="BP196" s="203"/>
      <c r="BQ196" s="203"/>
      <c r="BR196" s="203"/>
      <c r="BS196" s="203"/>
      <c r="BT196" s="203"/>
      <c r="BU196" s="203"/>
      <c r="BV196" s="203"/>
      <c r="BW196" s="203"/>
      <c r="BX196" s="203"/>
    </row>
    <row r="197" spans="1:76" s="199" customFormat="1" ht="22.5" customHeight="1">
      <c r="A197" s="222">
        <v>192</v>
      </c>
      <c r="B197" s="222"/>
      <c r="C197" s="198"/>
      <c r="D197" s="193"/>
      <c r="E197" s="194"/>
      <c r="F197" s="222"/>
      <c r="G197" s="222"/>
      <c r="H197" s="193"/>
      <c r="I197" s="193"/>
      <c r="J197" s="193"/>
      <c r="K197" s="195"/>
      <c r="L197" s="196"/>
      <c r="M197" s="193"/>
      <c r="N197" s="197"/>
      <c r="O197" s="197"/>
      <c r="P197" s="197"/>
      <c r="Q197" s="197"/>
      <c r="R197" s="196"/>
      <c r="S197" s="195"/>
      <c r="T197" s="195"/>
      <c r="U197" s="197"/>
      <c r="V197" s="213"/>
      <c r="W197" s="198"/>
      <c r="X197" s="198"/>
      <c r="Y197" s="198"/>
      <c r="Z197" s="198"/>
      <c r="AA197" s="198"/>
      <c r="AB197" s="200"/>
      <c r="AC197" s="200"/>
      <c r="AD197" s="200"/>
      <c r="AE197" s="200"/>
      <c r="AF197" s="200"/>
      <c r="AG197" s="200"/>
      <c r="AH197" s="200"/>
      <c r="AI197" s="91"/>
      <c r="AJ197" s="91">
        <f t="shared" ca="1" si="7"/>
        <v>0</v>
      </c>
      <c r="AK197" s="91">
        <f t="shared" ca="1" si="8"/>
        <v>0</v>
      </c>
      <c r="AL197" s="203"/>
      <c r="AM197" s="203"/>
      <c r="AN197" s="203"/>
      <c r="AO197" s="203"/>
      <c r="AP197" s="203"/>
      <c r="AQ197" s="203"/>
      <c r="AR197" s="203"/>
      <c r="AS197" s="203"/>
      <c r="AT197" s="203"/>
      <c r="AU197" s="203"/>
      <c r="AV197" s="203"/>
      <c r="AW197" s="203"/>
      <c r="AX197" s="203"/>
      <c r="AY197" s="203"/>
      <c r="AZ197" s="203"/>
      <c r="BA197" s="203"/>
      <c r="BB197" s="203"/>
      <c r="BC197" s="203"/>
      <c r="BD197" s="203"/>
      <c r="BE197" s="203"/>
      <c r="BF197" s="203"/>
      <c r="BG197" s="203"/>
      <c r="BH197" s="203"/>
      <c r="BI197" s="203"/>
      <c r="BJ197" s="203"/>
      <c r="BK197" s="203"/>
      <c r="BL197" s="203"/>
      <c r="BM197" s="203"/>
      <c r="BN197" s="203"/>
      <c r="BO197" s="203"/>
      <c r="BP197" s="203"/>
      <c r="BQ197" s="203"/>
      <c r="BR197" s="203"/>
      <c r="BS197" s="203"/>
      <c r="BT197" s="203"/>
      <c r="BU197" s="203"/>
      <c r="BV197" s="203"/>
      <c r="BW197" s="203"/>
      <c r="BX197" s="203"/>
    </row>
    <row r="198" spans="1:76" s="199" customFormat="1" ht="22.5" customHeight="1">
      <c r="A198" s="222">
        <v>193</v>
      </c>
      <c r="B198" s="222"/>
      <c r="C198" s="198"/>
      <c r="D198" s="193"/>
      <c r="E198" s="194"/>
      <c r="F198" s="222"/>
      <c r="G198" s="222"/>
      <c r="H198" s="193"/>
      <c r="I198" s="193"/>
      <c r="J198" s="193"/>
      <c r="K198" s="195"/>
      <c r="L198" s="196"/>
      <c r="M198" s="193"/>
      <c r="N198" s="197"/>
      <c r="O198" s="197"/>
      <c r="P198" s="197"/>
      <c r="Q198" s="197"/>
      <c r="R198" s="196"/>
      <c r="S198" s="195"/>
      <c r="T198" s="195"/>
      <c r="U198" s="197"/>
      <c r="V198" s="213"/>
      <c r="W198" s="198"/>
      <c r="X198" s="198"/>
      <c r="Y198" s="198"/>
      <c r="Z198" s="198"/>
      <c r="AA198" s="198"/>
      <c r="AB198" s="200"/>
      <c r="AC198" s="200"/>
      <c r="AD198" s="200"/>
      <c r="AE198" s="200"/>
      <c r="AF198" s="200"/>
      <c r="AG198" s="200"/>
      <c r="AH198" s="200"/>
      <c r="AI198" s="91"/>
      <c r="AJ198" s="91">
        <f t="shared" ca="1" si="7"/>
        <v>0</v>
      </c>
      <c r="AK198" s="91">
        <f t="shared" ca="1" si="8"/>
        <v>0</v>
      </c>
      <c r="AL198" s="203"/>
      <c r="AM198" s="203"/>
      <c r="AN198" s="203"/>
      <c r="AO198" s="203"/>
      <c r="AP198" s="203"/>
      <c r="AQ198" s="203"/>
      <c r="AR198" s="203"/>
      <c r="AS198" s="203"/>
      <c r="AT198" s="203"/>
      <c r="AU198" s="203"/>
      <c r="AV198" s="203"/>
      <c r="AW198" s="203"/>
      <c r="AX198" s="203"/>
      <c r="AY198" s="203"/>
      <c r="AZ198" s="203"/>
      <c r="BA198" s="203"/>
      <c r="BB198" s="203"/>
      <c r="BC198" s="203"/>
      <c r="BD198" s="203"/>
      <c r="BE198" s="203"/>
      <c r="BF198" s="203"/>
      <c r="BG198" s="203"/>
      <c r="BH198" s="203"/>
      <c r="BI198" s="203"/>
      <c r="BJ198" s="203"/>
      <c r="BK198" s="203"/>
      <c r="BL198" s="203"/>
      <c r="BM198" s="203"/>
      <c r="BN198" s="203"/>
      <c r="BO198" s="203"/>
      <c r="BP198" s="203"/>
      <c r="BQ198" s="203"/>
      <c r="BR198" s="203"/>
      <c r="BS198" s="203"/>
      <c r="BT198" s="203"/>
      <c r="BU198" s="203"/>
      <c r="BV198" s="203"/>
      <c r="BW198" s="203"/>
      <c r="BX198" s="203"/>
    </row>
    <row r="199" spans="1:76" s="199" customFormat="1" ht="22.5" customHeight="1">
      <c r="A199" s="222">
        <v>194</v>
      </c>
      <c r="B199" s="222"/>
      <c r="C199" s="198"/>
      <c r="D199" s="193"/>
      <c r="E199" s="194"/>
      <c r="F199" s="222"/>
      <c r="G199" s="222"/>
      <c r="H199" s="193"/>
      <c r="I199" s="193"/>
      <c r="J199" s="193"/>
      <c r="K199" s="195"/>
      <c r="L199" s="196"/>
      <c r="M199" s="193"/>
      <c r="N199" s="197"/>
      <c r="O199" s="197"/>
      <c r="P199" s="197"/>
      <c r="Q199" s="197"/>
      <c r="R199" s="196"/>
      <c r="S199" s="195"/>
      <c r="T199" s="195"/>
      <c r="U199" s="197"/>
      <c r="V199" s="213"/>
      <c r="W199" s="198"/>
      <c r="X199" s="198"/>
      <c r="Y199" s="198"/>
      <c r="Z199" s="198"/>
      <c r="AA199" s="198"/>
      <c r="AB199" s="200"/>
      <c r="AC199" s="200"/>
      <c r="AD199" s="200"/>
      <c r="AE199" s="200"/>
      <c r="AF199" s="200"/>
      <c r="AG199" s="200"/>
      <c r="AH199" s="200"/>
      <c r="AI199" s="91"/>
      <c r="AJ199" s="91">
        <f t="shared" ca="1" si="7"/>
        <v>0</v>
      </c>
      <c r="AK199" s="91">
        <f t="shared" ca="1" si="8"/>
        <v>0</v>
      </c>
      <c r="AL199" s="203"/>
      <c r="AM199" s="203"/>
      <c r="AN199" s="203"/>
      <c r="AO199" s="203"/>
      <c r="AP199" s="203"/>
      <c r="AQ199" s="203"/>
      <c r="AR199" s="203"/>
      <c r="AS199" s="203"/>
      <c r="AT199" s="203"/>
      <c r="AU199" s="203"/>
      <c r="AV199" s="203"/>
      <c r="AW199" s="203"/>
      <c r="AX199" s="203"/>
      <c r="AY199" s="203"/>
      <c r="AZ199" s="203"/>
      <c r="BA199" s="203"/>
      <c r="BB199" s="203"/>
      <c r="BC199" s="203"/>
      <c r="BD199" s="203"/>
      <c r="BE199" s="203"/>
      <c r="BF199" s="203"/>
      <c r="BG199" s="203"/>
      <c r="BH199" s="203"/>
      <c r="BI199" s="203"/>
      <c r="BJ199" s="203"/>
      <c r="BK199" s="203"/>
      <c r="BL199" s="203"/>
      <c r="BM199" s="203"/>
      <c r="BN199" s="203"/>
      <c r="BO199" s="203"/>
      <c r="BP199" s="203"/>
      <c r="BQ199" s="203"/>
      <c r="BR199" s="203"/>
      <c r="BS199" s="203"/>
      <c r="BT199" s="203"/>
      <c r="BU199" s="203"/>
      <c r="BV199" s="203"/>
      <c r="BW199" s="203"/>
      <c r="BX199" s="203"/>
    </row>
    <row r="200" spans="1:76" s="199" customFormat="1" ht="22.5" customHeight="1">
      <c r="A200" s="222">
        <v>195</v>
      </c>
      <c r="B200" s="222"/>
      <c r="C200" s="198"/>
      <c r="D200" s="193"/>
      <c r="E200" s="194"/>
      <c r="F200" s="222"/>
      <c r="G200" s="222"/>
      <c r="H200" s="193"/>
      <c r="I200" s="193"/>
      <c r="J200" s="193"/>
      <c r="K200" s="195"/>
      <c r="L200" s="196"/>
      <c r="M200" s="193"/>
      <c r="N200" s="197"/>
      <c r="O200" s="197"/>
      <c r="P200" s="197"/>
      <c r="Q200" s="197"/>
      <c r="R200" s="196"/>
      <c r="S200" s="195"/>
      <c r="T200" s="195"/>
      <c r="U200" s="197"/>
      <c r="V200" s="213"/>
      <c r="W200" s="198"/>
      <c r="X200" s="198"/>
      <c r="Y200" s="198"/>
      <c r="Z200" s="198"/>
      <c r="AA200" s="198"/>
      <c r="AB200" s="200"/>
      <c r="AC200" s="200"/>
      <c r="AD200" s="200"/>
      <c r="AE200" s="200"/>
      <c r="AF200" s="200"/>
      <c r="AG200" s="200"/>
      <c r="AH200" s="200"/>
      <c r="AI200" s="91"/>
      <c r="AJ200" s="91">
        <f t="shared" ca="1" si="7"/>
        <v>0</v>
      </c>
      <c r="AK200" s="91">
        <f t="shared" ca="1" si="8"/>
        <v>0</v>
      </c>
      <c r="AL200" s="203"/>
      <c r="AM200" s="203"/>
      <c r="AN200" s="203"/>
      <c r="AO200" s="203"/>
      <c r="AP200" s="203"/>
      <c r="AQ200" s="203"/>
      <c r="AR200" s="203"/>
      <c r="AS200" s="203"/>
      <c r="AT200" s="203"/>
      <c r="AU200" s="203"/>
      <c r="AV200" s="203"/>
      <c r="AW200" s="203"/>
      <c r="AX200" s="203"/>
      <c r="AY200" s="203"/>
      <c r="AZ200" s="203"/>
      <c r="BA200" s="203"/>
      <c r="BB200" s="203"/>
      <c r="BC200" s="203"/>
      <c r="BD200" s="203"/>
      <c r="BE200" s="203"/>
      <c r="BF200" s="203"/>
      <c r="BG200" s="203"/>
      <c r="BH200" s="203"/>
      <c r="BI200" s="203"/>
      <c r="BJ200" s="203"/>
      <c r="BK200" s="203"/>
      <c r="BL200" s="203"/>
      <c r="BM200" s="203"/>
      <c r="BN200" s="203"/>
      <c r="BO200" s="203"/>
      <c r="BP200" s="203"/>
      <c r="BQ200" s="203"/>
      <c r="BR200" s="203"/>
      <c r="BS200" s="203"/>
      <c r="BT200" s="203"/>
      <c r="BU200" s="203"/>
      <c r="BV200" s="203"/>
      <c r="BW200" s="203"/>
      <c r="BX200" s="203"/>
    </row>
    <row r="201" spans="1:76" s="199" customFormat="1" ht="22.5" customHeight="1">
      <c r="A201" s="222">
        <v>196</v>
      </c>
      <c r="B201" s="222"/>
      <c r="C201" s="198"/>
      <c r="D201" s="193"/>
      <c r="E201" s="194"/>
      <c r="F201" s="222"/>
      <c r="G201" s="222"/>
      <c r="H201" s="193"/>
      <c r="I201" s="193"/>
      <c r="J201" s="193"/>
      <c r="K201" s="195"/>
      <c r="L201" s="196"/>
      <c r="M201" s="193"/>
      <c r="N201" s="197"/>
      <c r="O201" s="197"/>
      <c r="P201" s="197"/>
      <c r="Q201" s="197"/>
      <c r="R201" s="196"/>
      <c r="S201" s="195"/>
      <c r="T201" s="195"/>
      <c r="U201" s="197"/>
      <c r="V201" s="213"/>
      <c r="W201" s="198"/>
      <c r="X201" s="198"/>
      <c r="Y201" s="198"/>
      <c r="Z201" s="198"/>
      <c r="AA201" s="198"/>
      <c r="AB201" s="200"/>
      <c r="AC201" s="200"/>
      <c r="AD201" s="200"/>
      <c r="AE201" s="200"/>
      <c r="AF201" s="200"/>
      <c r="AG201" s="200"/>
      <c r="AH201" s="200"/>
      <c r="AI201" s="91"/>
      <c r="AJ201" s="91">
        <f t="shared" ca="1" si="7"/>
        <v>0</v>
      </c>
      <c r="AK201" s="91">
        <f t="shared" ca="1" si="8"/>
        <v>0</v>
      </c>
      <c r="AL201" s="203"/>
      <c r="AM201" s="203"/>
      <c r="AN201" s="203"/>
      <c r="AO201" s="203"/>
      <c r="AP201" s="203"/>
      <c r="AQ201" s="203"/>
      <c r="AR201" s="203"/>
      <c r="AS201" s="203"/>
      <c r="AT201" s="203"/>
      <c r="AU201" s="203"/>
      <c r="AV201" s="203"/>
      <c r="AW201" s="203"/>
      <c r="AX201" s="203"/>
      <c r="AY201" s="203"/>
      <c r="AZ201" s="203"/>
      <c r="BA201" s="203"/>
      <c r="BB201" s="203"/>
      <c r="BC201" s="203"/>
      <c r="BD201" s="203"/>
      <c r="BE201" s="203"/>
      <c r="BF201" s="203"/>
      <c r="BG201" s="203"/>
      <c r="BH201" s="203"/>
      <c r="BI201" s="203"/>
      <c r="BJ201" s="203"/>
      <c r="BK201" s="203"/>
      <c r="BL201" s="203"/>
      <c r="BM201" s="203"/>
      <c r="BN201" s="203"/>
      <c r="BO201" s="203"/>
      <c r="BP201" s="203"/>
      <c r="BQ201" s="203"/>
      <c r="BR201" s="203"/>
      <c r="BS201" s="203"/>
      <c r="BT201" s="203"/>
      <c r="BU201" s="203"/>
      <c r="BV201" s="203"/>
      <c r="BW201" s="203"/>
      <c r="BX201" s="203"/>
    </row>
    <row r="202" spans="1:76" s="199" customFormat="1" ht="22.5" customHeight="1">
      <c r="A202" s="222">
        <v>197</v>
      </c>
      <c r="B202" s="222"/>
      <c r="C202" s="198"/>
      <c r="D202" s="193"/>
      <c r="E202" s="194"/>
      <c r="F202" s="222"/>
      <c r="G202" s="222"/>
      <c r="H202" s="193"/>
      <c r="I202" s="193"/>
      <c r="J202" s="193"/>
      <c r="K202" s="195"/>
      <c r="L202" s="196"/>
      <c r="M202" s="193"/>
      <c r="N202" s="197"/>
      <c r="O202" s="197"/>
      <c r="P202" s="197"/>
      <c r="Q202" s="197"/>
      <c r="R202" s="196"/>
      <c r="S202" s="195"/>
      <c r="T202" s="195"/>
      <c r="U202" s="197"/>
      <c r="V202" s="213"/>
      <c r="W202" s="198"/>
      <c r="X202" s="198"/>
      <c r="Y202" s="198"/>
      <c r="Z202" s="198"/>
      <c r="AA202" s="198"/>
      <c r="AB202" s="200"/>
      <c r="AC202" s="200"/>
      <c r="AD202" s="200"/>
      <c r="AE202" s="200"/>
      <c r="AF202" s="200"/>
      <c r="AG202" s="200"/>
      <c r="AH202" s="200"/>
      <c r="AI202" s="91"/>
      <c r="AJ202" s="91">
        <f t="shared" ca="1" si="7"/>
        <v>0</v>
      </c>
      <c r="AK202" s="91">
        <f t="shared" ca="1" si="8"/>
        <v>0</v>
      </c>
      <c r="AL202" s="203"/>
      <c r="AM202" s="203"/>
      <c r="AN202" s="203"/>
      <c r="AO202" s="203"/>
      <c r="AP202" s="203"/>
      <c r="AQ202" s="203"/>
      <c r="AR202" s="203"/>
      <c r="AS202" s="203"/>
      <c r="AT202" s="203"/>
      <c r="AU202" s="203"/>
      <c r="AV202" s="203"/>
      <c r="AW202" s="203"/>
      <c r="AX202" s="203"/>
      <c r="AY202" s="203"/>
      <c r="AZ202" s="203"/>
      <c r="BA202" s="203"/>
      <c r="BB202" s="203"/>
      <c r="BC202" s="203"/>
      <c r="BD202" s="203"/>
      <c r="BE202" s="203"/>
      <c r="BF202" s="203"/>
      <c r="BG202" s="203"/>
      <c r="BH202" s="203"/>
      <c r="BI202" s="203"/>
      <c r="BJ202" s="203"/>
      <c r="BK202" s="203"/>
      <c r="BL202" s="203"/>
      <c r="BM202" s="203"/>
      <c r="BN202" s="203"/>
      <c r="BO202" s="203"/>
      <c r="BP202" s="203"/>
      <c r="BQ202" s="203"/>
      <c r="BR202" s="203"/>
      <c r="BS202" s="203"/>
      <c r="BT202" s="203"/>
      <c r="BU202" s="203"/>
      <c r="BV202" s="203"/>
      <c r="BW202" s="203"/>
      <c r="BX202" s="203"/>
    </row>
    <row r="203" spans="1:76" s="199" customFormat="1" ht="22.5" customHeight="1">
      <c r="A203" s="222">
        <v>198</v>
      </c>
      <c r="B203" s="222"/>
      <c r="C203" s="198"/>
      <c r="D203" s="193"/>
      <c r="E203" s="194"/>
      <c r="F203" s="222"/>
      <c r="G203" s="222"/>
      <c r="H203" s="193"/>
      <c r="I203" s="193"/>
      <c r="J203" s="193"/>
      <c r="K203" s="195"/>
      <c r="L203" s="196"/>
      <c r="M203" s="193"/>
      <c r="N203" s="197"/>
      <c r="O203" s="197"/>
      <c r="P203" s="197"/>
      <c r="Q203" s="197"/>
      <c r="R203" s="196"/>
      <c r="S203" s="195"/>
      <c r="T203" s="195"/>
      <c r="U203" s="197"/>
      <c r="V203" s="213"/>
      <c r="W203" s="198"/>
      <c r="X203" s="198"/>
      <c r="Y203" s="198"/>
      <c r="Z203" s="198"/>
      <c r="AA203" s="198"/>
      <c r="AB203" s="200"/>
      <c r="AC203" s="200"/>
      <c r="AD203" s="200"/>
      <c r="AE203" s="200"/>
      <c r="AF203" s="200"/>
      <c r="AG203" s="200"/>
      <c r="AH203" s="200"/>
      <c r="AI203" s="91"/>
      <c r="AJ203" s="91">
        <f t="shared" ca="1" si="7"/>
        <v>0</v>
      </c>
      <c r="AK203" s="91">
        <f t="shared" ca="1" si="8"/>
        <v>0</v>
      </c>
      <c r="AL203" s="203"/>
      <c r="AM203" s="203"/>
      <c r="AN203" s="203"/>
      <c r="AO203" s="203"/>
      <c r="AP203" s="203"/>
      <c r="AQ203" s="203"/>
      <c r="AR203" s="203"/>
      <c r="AS203" s="203"/>
      <c r="AT203" s="203"/>
      <c r="AU203" s="203"/>
      <c r="AV203" s="203"/>
      <c r="AW203" s="203"/>
      <c r="AX203" s="203"/>
      <c r="AY203" s="203"/>
      <c r="AZ203" s="203"/>
      <c r="BA203" s="203"/>
      <c r="BB203" s="203"/>
      <c r="BC203" s="203"/>
      <c r="BD203" s="203"/>
      <c r="BE203" s="203"/>
      <c r="BF203" s="203"/>
      <c r="BG203" s="203"/>
      <c r="BH203" s="203"/>
      <c r="BI203" s="203"/>
      <c r="BJ203" s="203"/>
      <c r="BK203" s="203"/>
      <c r="BL203" s="203"/>
      <c r="BM203" s="203"/>
      <c r="BN203" s="203"/>
      <c r="BO203" s="203"/>
      <c r="BP203" s="203"/>
      <c r="BQ203" s="203"/>
      <c r="BR203" s="203"/>
      <c r="BS203" s="203"/>
      <c r="BT203" s="203"/>
      <c r="BU203" s="203"/>
      <c r="BV203" s="203"/>
      <c r="BW203" s="203"/>
      <c r="BX203" s="203"/>
    </row>
    <row r="204" spans="1:76" s="199" customFormat="1" ht="22.5" customHeight="1">
      <c r="A204" s="222">
        <v>199</v>
      </c>
      <c r="B204" s="222"/>
      <c r="C204" s="198"/>
      <c r="D204" s="193"/>
      <c r="E204" s="194"/>
      <c r="F204" s="222"/>
      <c r="G204" s="222"/>
      <c r="H204" s="193"/>
      <c r="I204" s="193"/>
      <c r="J204" s="193"/>
      <c r="K204" s="195"/>
      <c r="L204" s="196"/>
      <c r="M204" s="193"/>
      <c r="N204" s="197"/>
      <c r="O204" s="197"/>
      <c r="P204" s="197"/>
      <c r="Q204" s="197"/>
      <c r="R204" s="196"/>
      <c r="S204" s="195"/>
      <c r="T204" s="195"/>
      <c r="U204" s="197"/>
      <c r="V204" s="213"/>
      <c r="W204" s="198"/>
      <c r="X204" s="198"/>
      <c r="Y204" s="198"/>
      <c r="Z204" s="198"/>
      <c r="AA204" s="198"/>
      <c r="AB204" s="200"/>
      <c r="AC204" s="200"/>
      <c r="AD204" s="200"/>
      <c r="AE204" s="200"/>
      <c r="AF204" s="200"/>
      <c r="AG204" s="200"/>
      <c r="AH204" s="200"/>
      <c r="AI204" s="91"/>
      <c r="AJ204" s="91">
        <f t="shared" ca="1" si="7"/>
        <v>0</v>
      </c>
      <c r="AK204" s="91">
        <f t="shared" ca="1" si="8"/>
        <v>0</v>
      </c>
      <c r="AL204" s="203"/>
      <c r="AM204" s="203"/>
      <c r="AN204" s="203"/>
      <c r="AO204" s="203"/>
      <c r="AP204" s="203"/>
      <c r="AQ204" s="203"/>
      <c r="AR204" s="203"/>
      <c r="AS204" s="203"/>
      <c r="AT204" s="203"/>
      <c r="AU204" s="203"/>
      <c r="AV204" s="203"/>
      <c r="AW204" s="203"/>
      <c r="AX204" s="203"/>
      <c r="AY204" s="203"/>
      <c r="AZ204" s="203"/>
      <c r="BA204" s="203"/>
      <c r="BB204" s="203"/>
      <c r="BC204" s="203"/>
      <c r="BD204" s="203"/>
      <c r="BE204" s="203"/>
      <c r="BF204" s="203"/>
      <c r="BG204" s="203"/>
      <c r="BH204" s="203"/>
      <c r="BI204" s="203"/>
      <c r="BJ204" s="203"/>
      <c r="BK204" s="203"/>
      <c r="BL204" s="203"/>
      <c r="BM204" s="203"/>
      <c r="BN204" s="203"/>
      <c r="BO204" s="203"/>
      <c r="BP204" s="203"/>
      <c r="BQ204" s="203"/>
      <c r="BR204" s="203"/>
      <c r="BS204" s="203"/>
      <c r="BT204" s="203"/>
      <c r="BU204" s="203"/>
      <c r="BV204" s="203"/>
      <c r="BW204" s="203"/>
      <c r="BX204" s="203"/>
    </row>
    <row r="205" spans="1:76" s="199" customFormat="1" ht="22.5" customHeight="1">
      <c r="A205" s="222">
        <v>200</v>
      </c>
      <c r="B205" s="222"/>
      <c r="C205" s="198"/>
      <c r="D205" s="193"/>
      <c r="E205" s="194"/>
      <c r="F205" s="222"/>
      <c r="G205" s="222"/>
      <c r="H205" s="193"/>
      <c r="I205" s="193"/>
      <c r="J205" s="193"/>
      <c r="K205" s="195"/>
      <c r="L205" s="196"/>
      <c r="M205" s="193"/>
      <c r="N205" s="197"/>
      <c r="O205" s="197"/>
      <c r="P205" s="197"/>
      <c r="Q205" s="197"/>
      <c r="R205" s="196"/>
      <c r="S205" s="195"/>
      <c r="T205" s="195"/>
      <c r="U205" s="197"/>
      <c r="V205" s="213"/>
      <c r="W205" s="198"/>
      <c r="X205" s="198"/>
      <c r="Y205" s="198"/>
      <c r="Z205" s="198"/>
      <c r="AA205" s="198"/>
      <c r="AB205" s="200"/>
      <c r="AC205" s="200"/>
      <c r="AD205" s="200"/>
      <c r="AE205" s="200"/>
      <c r="AF205" s="200"/>
      <c r="AG205" s="200"/>
      <c r="AH205" s="200"/>
      <c r="AI205" s="91"/>
      <c r="AJ205" s="91">
        <f t="shared" ca="1" si="7"/>
        <v>0</v>
      </c>
      <c r="AK205" s="91">
        <f t="shared" ca="1" si="8"/>
        <v>0</v>
      </c>
      <c r="AL205" s="203"/>
      <c r="AM205" s="203"/>
      <c r="AN205" s="203"/>
      <c r="AO205" s="203"/>
      <c r="AP205" s="203"/>
      <c r="AQ205" s="203"/>
      <c r="AR205" s="203"/>
      <c r="AS205" s="203"/>
      <c r="AT205" s="203"/>
      <c r="AU205" s="203"/>
      <c r="AV205" s="203"/>
      <c r="AW205" s="203"/>
      <c r="AX205" s="203"/>
      <c r="AY205" s="203"/>
      <c r="AZ205" s="203"/>
      <c r="BA205" s="203"/>
      <c r="BB205" s="203"/>
      <c r="BC205" s="203"/>
      <c r="BD205" s="203"/>
      <c r="BE205" s="203"/>
      <c r="BF205" s="203"/>
      <c r="BG205" s="203"/>
      <c r="BH205" s="203"/>
      <c r="BI205" s="203"/>
      <c r="BJ205" s="203"/>
      <c r="BK205" s="203"/>
      <c r="BL205" s="203"/>
      <c r="BM205" s="203"/>
      <c r="BN205" s="203"/>
      <c r="BO205" s="203"/>
      <c r="BP205" s="203"/>
      <c r="BQ205" s="203"/>
      <c r="BR205" s="203"/>
      <c r="BS205" s="203"/>
      <c r="BT205" s="203"/>
      <c r="BU205" s="203"/>
      <c r="BV205" s="203"/>
      <c r="BW205" s="203"/>
      <c r="BX205" s="203"/>
    </row>
    <row r="206" spans="1:76" s="199" customFormat="1" ht="22.5" customHeight="1">
      <c r="A206" s="222">
        <v>201</v>
      </c>
      <c r="B206" s="222"/>
      <c r="C206" s="198"/>
      <c r="D206" s="193"/>
      <c r="E206" s="194"/>
      <c r="F206" s="222"/>
      <c r="G206" s="222"/>
      <c r="H206" s="193"/>
      <c r="I206" s="193"/>
      <c r="J206" s="193"/>
      <c r="K206" s="195"/>
      <c r="L206" s="196"/>
      <c r="M206" s="193"/>
      <c r="N206" s="197"/>
      <c r="O206" s="197"/>
      <c r="P206" s="197"/>
      <c r="Q206" s="197"/>
      <c r="R206" s="196"/>
      <c r="S206" s="195"/>
      <c r="T206" s="195"/>
      <c r="U206" s="197"/>
      <c r="V206" s="213"/>
      <c r="W206" s="198"/>
      <c r="X206" s="198"/>
      <c r="Y206" s="198"/>
      <c r="Z206" s="198"/>
      <c r="AA206" s="198"/>
      <c r="AB206" s="200"/>
      <c r="AC206" s="200"/>
      <c r="AD206" s="200"/>
      <c r="AE206" s="200"/>
      <c r="AF206" s="200"/>
      <c r="AG206" s="200"/>
      <c r="AH206" s="200"/>
      <c r="AI206" s="91"/>
      <c r="AJ206" s="91">
        <f t="shared" ca="1" si="7"/>
        <v>0</v>
      </c>
      <c r="AK206" s="91">
        <f t="shared" ca="1" si="8"/>
        <v>0</v>
      </c>
      <c r="AL206" s="203"/>
      <c r="AM206" s="203"/>
      <c r="AN206" s="203"/>
      <c r="AO206" s="203"/>
      <c r="AP206" s="203"/>
      <c r="AQ206" s="203"/>
      <c r="AR206" s="203"/>
      <c r="AS206" s="203"/>
      <c r="AT206" s="203"/>
      <c r="AU206" s="203"/>
      <c r="AV206" s="203"/>
      <c r="AW206" s="203"/>
      <c r="AX206" s="203"/>
      <c r="AY206" s="203"/>
      <c r="AZ206" s="203"/>
      <c r="BA206" s="203"/>
      <c r="BB206" s="203"/>
      <c r="BC206" s="203"/>
      <c r="BD206" s="203"/>
      <c r="BE206" s="203"/>
      <c r="BF206" s="203"/>
      <c r="BG206" s="203"/>
      <c r="BH206" s="203"/>
      <c r="BI206" s="203"/>
      <c r="BJ206" s="203"/>
      <c r="BK206" s="203"/>
      <c r="BL206" s="203"/>
      <c r="BM206" s="203"/>
      <c r="BN206" s="203"/>
      <c r="BO206" s="203"/>
      <c r="BP206" s="203"/>
      <c r="BQ206" s="203"/>
      <c r="BR206" s="203"/>
      <c r="BS206" s="203"/>
      <c r="BT206" s="203"/>
      <c r="BU206" s="203"/>
      <c r="BV206" s="203"/>
      <c r="BW206" s="203"/>
      <c r="BX206" s="203"/>
    </row>
    <row r="207" spans="1:76" s="199" customFormat="1" ht="22.5" customHeight="1">
      <c r="A207" s="222">
        <v>202</v>
      </c>
      <c r="B207" s="222"/>
      <c r="C207" s="198"/>
      <c r="D207" s="193"/>
      <c r="E207" s="194"/>
      <c r="F207" s="222"/>
      <c r="G207" s="222"/>
      <c r="H207" s="193"/>
      <c r="I207" s="193"/>
      <c r="J207" s="193"/>
      <c r="K207" s="195"/>
      <c r="L207" s="196"/>
      <c r="M207" s="193"/>
      <c r="N207" s="197"/>
      <c r="O207" s="197"/>
      <c r="P207" s="197"/>
      <c r="Q207" s="197"/>
      <c r="R207" s="196"/>
      <c r="S207" s="195"/>
      <c r="T207" s="195"/>
      <c r="U207" s="197"/>
      <c r="V207" s="213"/>
      <c r="W207" s="198"/>
      <c r="X207" s="198"/>
      <c r="Y207" s="198"/>
      <c r="Z207" s="198"/>
      <c r="AA207" s="198"/>
      <c r="AB207" s="200"/>
      <c r="AC207" s="200"/>
      <c r="AD207" s="200"/>
      <c r="AE207" s="200"/>
      <c r="AF207" s="200"/>
      <c r="AG207" s="200"/>
      <c r="AH207" s="200"/>
      <c r="AI207" s="91"/>
      <c r="AJ207" s="91">
        <f t="shared" ca="1" si="7"/>
        <v>0</v>
      </c>
      <c r="AK207" s="91">
        <f t="shared" ca="1" si="8"/>
        <v>0</v>
      </c>
      <c r="AL207" s="203"/>
      <c r="AM207" s="203"/>
      <c r="AN207" s="203"/>
      <c r="AO207" s="203"/>
      <c r="AP207" s="203"/>
      <c r="AQ207" s="203"/>
      <c r="AR207" s="203"/>
      <c r="AS207" s="203"/>
      <c r="AT207" s="203"/>
      <c r="AU207" s="203"/>
      <c r="AV207" s="203"/>
      <c r="AW207" s="203"/>
      <c r="AX207" s="203"/>
      <c r="AY207" s="203"/>
      <c r="AZ207" s="203"/>
      <c r="BA207" s="203"/>
      <c r="BB207" s="203"/>
      <c r="BC207" s="203"/>
      <c r="BD207" s="203"/>
      <c r="BE207" s="203"/>
      <c r="BF207" s="203"/>
      <c r="BG207" s="203"/>
      <c r="BH207" s="203"/>
      <c r="BI207" s="203"/>
      <c r="BJ207" s="203"/>
      <c r="BK207" s="203"/>
      <c r="BL207" s="203"/>
      <c r="BM207" s="203"/>
      <c r="BN207" s="203"/>
      <c r="BO207" s="203"/>
      <c r="BP207" s="203"/>
      <c r="BQ207" s="203"/>
      <c r="BR207" s="203"/>
      <c r="BS207" s="203"/>
      <c r="BT207" s="203"/>
      <c r="BU207" s="203"/>
      <c r="BV207" s="203"/>
      <c r="BW207" s="203"/>
      <c r="BX207" s="203"/>
    </row>
    <row r="208" spans="1:76" s="199" customFormat="1" ht="22.5" customHeight="1">
      <c r="A208" s="222">
        <v>203</v>
      </c>
      <c r="B208" s="222"/>
      <c r="C208" s="198"/>
      <c r="D208" s="193"/>
      <c r="E208" s="194"/>
      <c r="F208" s="222"/>
      <c r="G208" s="222"/>
      <c r="H208" s="193"/>
      <c r="I208" s="193"/>
      <c r="J208" s="193"/>
      <c r="K208" s="195"/>
      <c r="L208" s="196"/>
      <c r="M208" s="193"/>
      <c r="N208" s="197"/>
      <c r="O208" s="197"/>
      <c r="P208" s="197"/>
      <c r="Q208" s="197"/>
      <c r="R208" s="196"/>
      <c r="S208" s="195"/>
      <c r="T208" s="195"/>
      <c r="U208" s="197"/>
      <c r="V208" s="213"/>
      <c r="W208" s="198"/>
      <c r="X208" s="198"/>
      <c r="Y208" s="198"/>
      <c r="Z208" s="198"/>
      <c r="AA208" s="198"/>
      <c r="AB208" s="200"/>
      <c r="AC208" s="200"/>
      <c r="AD208" s="200"/>
      <c r="AE208" s="200"/>
      <c r="AF208" s="200"/>
      <c r="AG208" s="200"/>
      <c r="AH208" s="200"/>
      <c r="AI208" s="91"/>
      <c r="AJ208" s="91">
        <f t="shared" ca="1" si="7"/>
        <v>0</v>
      </c>
      <c r="AK208" s="91">
        <f t="shared" ca="1" si="8"/>
        <v>0</v>
      </c>
      <c r="AL208" s="203"/>
      <c r="AM208" s="203"/>
      <c r="AN208" s="203"/>
      <c r="AO208" s="203"/>
      <c r="AP208" s="203"/>
      <c r="AQ208" s="203"/>
      <c r="AR208" s="203"/>
      <c r="AS208" s="203"/>
      <c r="AT208" s="203"/>
      <c r="AU208" s="203"/>
      <c r="AV208" s="203"/>
      <c r="AW208" s="203"/>
      <c r="AX208" s="203"/>
      <c r="AY208" s="203"/>
      <c r="AZ208" s="203"/>
      <c r="BA208" s="203"/>
      <c r="BB208" s="203"/>
      <c r="BC208" s="203"/>
      <c r="BD208" s="203"/>
      <c r="BE208" s="203"/>
      <c r="BF208" s="203"/>
      <c r="BG208" s="203"/>
      <c r="BH208" s="203"/>
      <c r="BI208" s="203"/>
      <c r="BJ208" s="203"/>
      <c r="BK208" s="203"/>
      <c r="BL208" s="203"/>
      <c r="BM208" s="203"/>
      <c r="BN208" s="203"/>
      <c r="BO208" s="203"/>
      <c r="BP208" s="203"/>
      <c r="BQ208" s="203"/>
      <c r="BR208" s="203"/>
      <c r="BS208" s="203"/>
      <c r="BT208" s="203"/>
      <c r="BU208" s="203"/>
      <c r="BV208" s="203"/>
      <c r="BW208" s="203"/>
      <c r="BX208" s="203"/>
    </row>
    <row r="209" spans="1:76" s="199" customFormat="1" ht="22.5" customHeight="1">
      <c r="A209" s="222">
        <v>204</v>
      </c>
      <c r="B209" s="222"/>
      <c r="C209" s="198"/>
      <c r="D209" s="193"/>
      <c r="E209" s="194"/>
      <c r="F209" s="222"/>
      <c r="G209" s="222"/>
      <c r="H209" s="193"/>
      <c r="I209" s="193"/>
      <c r="J209" s="193"/>
      <c r="K209" s="195"/>
      <c r="L209" s="196"/>
      <c r="M209" s="193"/>
      <c r="N209" s="197"/>
      <c r="O209" s="197"/>
      <c r="P209" s="197"/>
      <c r="Q209" s="197"/>
      <c r="R209" s="196"/>
      <c r="S209" s="195"/>
      <c r="T209" s="195"/>
      <c r="U209" s="197"/>
      <c r="V209" s="213"/>
      <c r="W209" s="198"/>
      <c r="X209" s="198"/>
      <c r="Y209" s="198"/>
      <c r="Z209" s="198"/>
      <c r="AA209" s="198"/>
      <c r="AB209" s="200"/>
      <c r="AC209" s="200"/>
      <c r="AD209" s="200"/>
      <c r="AE209" s="200"/>
      <c r="AF209" s="200"/>
      <c r="AG209" s="200"/>
      <c r="AH209" s="200"/>
      <c r="AI209" s="91"/>
      <c r="AJ209" s="91">
        <f t="shared" ca="1" si="7"/>
        <v>0</v>
      </c>
      <c r="AK209" s="91">
        <f t="shared" ca="1" si="8"/>
        <v>0</v>
      </c>
      <c r="AL209" s="203"/>
      <c r="AM209" s="203"/>
      <c r="AN209" s="203"/>
      <c r="AO209" s="203"/>
      <c r="AP209" s="203"/>
      <c r="AQ209" s="203"/>
      <c r="AR209" s="203"/>
      <c r="AS209" s="203"/>
      <c r="AT209" s="203"/>
      <c r="AU209" s="203"/>
      <c r="AV209" s="203"/>
      <c r="AW209" s="203"/>
      <c r="AX209" s="203"/>
      <c r="AY209" s="203"/>
      <c r="AZ209" s="203"/>
      <c r="BA209" s="203"/>
      <c r="BB209" s="203"/>
      <c r="BC209" s="203"/>
      <c r="BD209" s="203"/>
      <c r="BE209" s="203"/>
      <c r="BF209" s="203"/>
      <c r="BG209" s="203"/>
      <c r="BH209" s="203"/>
      <c r="BI209" s="203"/>
      <c r="BJ209" s="203"/>
      <c r="BK209" s="203"/>
      <c r="BL209" s="203"/>
      <c r="BM209" s="203"/>
      <c r="BN209" s="203"/>
      <c r="BO209" s="203"/>
      <c r="BP209" s="203"/>
      <c r="BQ209" s="203"/>
      <c r="BR209" s="203"/>
      <c r="BS209" s="203"/>
      <c r="BT209" s="203"/>
      <c r="BU209" s="203"/>
      <c r="BV209" s="203"/>
      <c r="BW209" s="203"/>
      <c r="BX209" s="203"/>
    </row>
    <row r="210" spans="1:76" s="199" customFormat="1" ht="22.5" customHeight="1">
      <c r="A210" s="222">
        <v>205</v>
      </c>
      <c r="B210" s="222"/>
      <c r="C210" s="198"/>
      <c r="D210" s="193"/>
      <c r="E210" s="194"/>
      <c r="F210" s="222"/>
      <c r="G210" s="222"/>
      <c r="H210" s="193"/>
      <c r="I210" s="193"/>
      <c r="J210" s="193"/>
      <c r="K210" s="195"/>
      <c r="L210" s="196"/>
      <c r="M210" s="193"/>
      <c r="N210" s="197"/>
      <c r="O210" s="197"/>
      <c r="P210" s="197"/>
      <c r="Q210" s="197"/>
      <c r="R210" s="196"/>
      <c r="S210" s="195"/>
      <c r="T210" s="195"/>
      <c r="U210" s="197"/>
      <c r="V210" s="213"/>
      <c r="W210" s="198"/>
      <c r="X210" s="198"/>
      <c r="Y210" s="198"/>
      <c r="Z210" s="198"/>
      <c r="AA210" s="198"/>
      <c r="AB210" s="200"/>
      <c r="AC210" s="200"/>
      <c r="AD210" s="200"/>
      <c r="AE210" s="200"/>
      <c r="AF210" s="200"/>
      <c r="AG210" s="200"/>
      <c r="AH210" s="200"/>
      <c r="AI210" s="91"/>
      <c r="AJ210" s="91">
        <f t="shared" ca="1" si="7"/>
        <v>0</v>
      </c>
      <c r="AK210" s="91">
        <f t="shared" ca="1" si="8"/>
        <v>0</v>
      </c>
      <c r="AL210" s="203"/>
      <c r="AM210" s="203"/>
      <c r="AN210" s="203"/>
      <c r="AO210" s="203"/>
      <c r="AP210" s="203"/>
      <c r="AQ210" s="203"/>
      <c r="AR210" s="203"/>
      <c r="AS210" s="203"/>
      <c r="AT210" s="203"/>
      <c r="AU210" s="203"/>
      <c r="AV210" s="203"/>
      <c r="AW210" s="203"/>
      <c r="AX210" s="203"/>
      <c r="AY210" s="203"/>
      <c r="AZ210" s="203"/>
      <c r="BA210" s="203"/>
      <c r="BB210" s="203"/>
      <c r="BC210" s="203"/>
      <c r="BD210" s="203"/>
      <c r="BE210" s="203"/>
      <c r="BF210" s="203"/>
      <c r="BG210" s="203"/>
      <c r="BH210" s="203"/>
      <c r="BI210" s="203"/>
      <c r="BJ210" s="203"/>
      <c r="BK210" s="203"/>
      <c r="BL210" s="203"/>
      <c r="BM210" s="203"/>
      <c r="BN210" s="203"/>
      <c r="BO210" s="203"/>
      <c r="BP210" s="203"/>
      <c r="BQ210" s="203"/>
      <c r="BR210" s="203"/>
      <c r="BS210" s="203"/>
      <c r="BT210" s="203"/>
      <c r="BU210" s="203"/>
      <c r="BV210" s="203"/>
      <c r="BW210" s="203"/>
      <c r="BX210" s="203"/>
    </row>
    <row r="211" spans="1:76" s="199" customFormat="1" ht="22.5" customHeight="1">
      <c r="A211" s="222">
        <v>206</v>
      </c>
      <c r="B211" s="222"/>
      <c r="C211" s="198"/>
      <c r="D211" s="193"/>
      <c r="E211" s="194"/>
      <c r="F211" s="222"/>
      <c r="G211" s="222"/>
      <c r="H211" s="193"/>
      <c r="I211" s="193"/>
      <c r="J211" s="193"/>
      <c r="K211" s="195"/>
      <c r="L211" s="196"/>
      <c r="M211" s="193"/>
      <c r="N211" s="197"/>
      <c r="O211" s="197"/>
      <c r="P211" s="197"/>
      <c r="Q211" s="197"/>
      <c r="R211" s="196"/>
      <c r="S211" s="195"/>
      <c r="T211" s="195"/>
      <c r="U211" s="197"/>
      <c r="V211" s="213"/>
      <c r="W211" s="198"/>
      <c r="X211" s="198"/>
      <c r="Y211" s="198"/>
      <c r="Z211" s="198"/>
      <c r="AA211" s="198"/>
      <c r="AB211" s="200"/>
      <c r="AC211" s="200"/>
      <c r="AD211" s="200"/>
      <c r="AE211" s="200"/>
      <c r="AF211" s="200"/>
      <c r="AG211" s="200"/>
      <c r="AH211" s="200"/>
      <c r="AI211" s="91"/>
      <c r="AJ211" s="91">
        <f t="shared" ca="1" si="7"/>
        <v>0</v>
      </c>
      <c r="AK211" s="91">
        <f t="shared" ca="1" si="8"/>
        <v>0</v>
      </c>
      <c r="AL211" s="203"/>
      <c r="AM211" s="203"/>
      <c r="AN211" s="203"/>
      <c r="AO211" s="203"/>
      <c r="AP211" s="203"/>
      <c r="AQ211" s="203"/>
      <c r="AR211" s="203"/>
      <c r="AS211" s="203"/>
      <c r="AT211" s="203"/>
      <c r="AU211" s="203"/>
      <c r="AV211" s="203"/>
      <c r="AW211" s="203"/>
      <c r="AX211" s="203"/>
      <c r="AY211" s="203"/>
      <c r="AZ211" s="203"/>
      <c r="BA211" s="203"/>
      <c r="BB211" s="203"/>
      <c r="BC211" s="203"/>
      <c r="BD211" s="203"/>
      <c r="BE211" s="203"/>
      <c r="BF211" s="203"/>
      <c r="BG211" s="203"/>
      <c r="BH211" s="203"/>
      <c r="BI211" s="203"/>
      <c r="BJ211" s="203"/>
      <c r="BK211" s="203"/>
      <c r="BL211" s="203"/>
      <c r="BM211" s="203"/>
      <c r="BN211" s="203"/>
      <c r="BO211" s="203"/>
      <c r="BP211" s="203"/>
      <c r="BQ211" s="203"/>
      <c r="BR211" s="203"/>
      <c r="BS211" s="203"/>
      <c r="BT211" s="203"/>
      <c r="BU211" s="203"/>
      <c r="BV211" s="203"/>
      <c r="BW211" s="203"/>
      <c r="BX211" s="203"/>
    </row>
    <row r="212" spans="1:76" s="199" customFormat="1" ht="22.5" customHeight="1">
      <c r="A212" s="222">
        <v>207</v>
      </c>
      <c r="B212" s="222"/>
      <c r="C212" s="198"/>
      <c r="D212" s="193"/>
      <c r="E212" s="194"/>
      <c r="F212" s="222"/>
      <c r="G212" s="222"/>
      <c r="H212" s="193"/>
      <c r="I212" s="193"/>
      <c r="J212" s="193"/>
      <c r="K212" s="195"/>
      <c r="L212" s="196"/>
      <c r="M212" s="193"/>
      <c r="N212" s="197"/>
      <c r="O212" s="197"/>
      <c r="P212" s="197"/>
      <c r="Q212" s="197"/>
      <c r="R212" s="196"/>
      <c r="S212" s="195"/>
      <c r="T212" s="195"/>
      <c r="U212" s="197"/>
      <c r="V212" s="213"/>
      <c r="W212" s="198"/>
      <c r="X212" s="198"/>
      <c r="Y212" s="198"/>
      <c r="Z212" s="198"/>
      <c r="AA212" s="198"/>
      <c r="AB212" s="200"/>
      <c r="AC212" s="200"/>
      <c r="AD212" s="200"/>
      <c r="AE212" s="200"/>
      <c r="AF212" s="200"/>
      <c r="AG212" s="200"/>
      <c r="AH212" s="200"/>
      <c r="AI212" s="91"/>
      <c r="AJ212" s="91">
        <f t="shared" ca="1" si="7"/>
        <v>0</v>
      </c>
      <c r="AK212" s="91">
        <f t="shared" ca="1" si="8"/>
        <v>0</v>
      </c>
      <c r="AL212" s="203"/>
      <c r="AM212" s="203"/>
      <c r="AN212" s="203"/>
      <c r="AO212" s="203"/>
      <c r="AP212" s="203"/>
      <c r="AQ212" s="203"/>
      <c r="AR212" s="203"/>
      <c r="AS212" s="203"/>
      <c r="AT212" s="203"/>
      <c r="AU212" s="203"/>
      <c r="AV212" s="203"/>
      <c r="AW212" s="203"/>
      <c r="AX212" s="203"/>
      <c r="AY212" s="203"/>
      <c r="AZ212" s="203"/>
      <c r="BA212" s="203"/>
      <c r="BB212" s="203"/>
      <c r="BC212" s="203"/>
      <c r="BD212" s="203"/>
      <c r="BE212" s="203"/>
      <c r="BF212" s="203"/>
      <c r="BG212" s="203"/>
      <c r="BH212" s="203"/>
      <c r="BI212" s="203"/>
      <c r="BJ212" s="203"/>
      <c r="BK212" s="203"/>
      <c r="BL212" s="203"/>
      <c r="BM212" s="203"/>
      <c r="BN212" s="203"/>
      <c r="BO212" s="203"/>
      <c r="BP212" s="203"/>
      <c r="BQ212" s="203"/>
      <c r="BR212" s="203"/>
      <c r="BS212" s="203"/>
      <c r="BT212" s="203"/>
      <c r="BU212" s="203"/>
      <c r="BV212" s="203"/>
      <c r="BW212" s="203"/>
      <c r="BX212" s="203"/>
    </row>
    <row r="213" spans="1:76" s="199" customFormat="1" ht="22.5" customHeight="1">
      <c r="A213" s="222">
        <v>208</v>
      </c>
      <c r="B213" s="222"/>
      <c r="C213" s="198"/>
      <c r="D213" s="193"/>
      <c r="E213" s="194"/>
      <c r="F213" s="222"/>
      <c r="G213" s="222"/>
      <c r="H213" s="193"/>
      <c r="I213" s="193"/>
      <c r="J213" s="193"/>
      <c r="K213" s="195"/>
      <c r="L213" s="196"/>
      <c r="M213" s="193"/>
      <c r="N213" s="197"/>
      <c r="O213" s="197"/>
      <c r="P213" s="197"/>
      <c r="Q213" s="197"/>
      <c r="R213" s="196"/>
      <c r="S213" s="195"/>
      <c r="T213" s="195"/>
      <c r="U213" s="197"/>
      <c r="V213" s="213"/>
      <c r="W213" s="198"/>
      <c r="X213" s="198"/>
      <c r="Y213" s="198"/>
      <c r="Z213" s="198"/>
      <c r="AA213" s="198"/>
      <c r="AB213" s="200"/>
      <c r="AC213" s="200"/>
      <c r="AD213" s="200"/>
      <c r="AE213" s="200"/>
      <c r="AF213" s="200"/>
      <c r="AG213" s="200"/>
      <c r="AH213" s="200"/>
      <c r="AI213" s="91"/>
      <c r="AJ213" s="91">
        <f t="shared" ca="1" si="7"/>
        <v>0</v>
      </c>
      <c r="AK213" s="91">
        <f t="shared" ca="1" si="8"/>
        <v>0</v>
      </c>
      <c r="AL213" s="203"/>
      <c r="AM213" s="203"/>
      <c r="AN213" s="203"/>
      <c r="AO213" s="203"/>
      <c r="AP213" s="203"/>
      <c r="AQ213" s="203"/>
      <c r="AR213" s="203"/>
      <c r="AS213" s="203"/>
      <c r="AT213" s="203"/>
      <c r="AU213" s="203"/>
      <c r="AV213" s="203"/>
      <c r="AW213" s="203"/>
      <c r="AX213" s="203"/>
      <c r="AY213" s="203"/>
      <c r="AZ213" s="203"/>
      <c r="BA213" s="203"/>
      <c r="BB213" s="203"/>
      <c r="BC213" s="203"/>
      <c r="BD213" s="203"/>
      <c r="BE213" s="203"/>
      <c r="BF213" s="203"/>
      <c r="BG213" s="203"/>
      <c r="BH213" s="203"/>
      <c r="BI213" s="203"/>
      <c r="BJ213" s="203"/>
      <c r="BK213" s="203"/>
      <c r="BL213" s="203"/>
      <c r="BM213" s="203"/>
      <c r="BN213" s="203"/>
      <c r="BO213" s="203"/>
      <c r="BP213" s="203"/>
      <c r="BQ213" s="203"/>
      <c r="BR213" s="203"/>
      <c r="BS213" s="203"/>
      <c r="BT213" s="203"/>
      <c r="BU213" s="203"/>
      <c r="BV213" s="203"/>
      <c r="BW213" s="203"/>
      <c r="BX213" s="203"/>
    </row>
    <row r="214" spans="1:76" s="199" customFormat="1" ht="22.5" customHeight="1">
      <c r="A214" s="222">
        <v>209</v>
      </c>
      <c r="B214" s="222"/>
      <c r="C214" s="198"/>
      <c r="D214" s="193"/>
      <c r="E214" s="194"/>
      <c r="F214" s="222"/>
      <c r="G214" s="222"/>
      <c r="H214" s="193"/>
      <c r="I214" s="193"/>
      <c r="J214" s="193"/>
      <c r="K214" s="195"/>
      <c r="L214" s="196"/>
      <c r="M214" s="193"/>
      <c r="N214" s="197"/>
      <c r="O214" s="197"/>
      <c r="P214" s="197"/>
      <c r="Q214" s="197"/>
      <c r="R214" s="196"/>
      <c r="S214" s="195"/>
      <c r="T214" s="195"/>
      <c r="U214" s="197"/>
      <c r="V214" s="213"/>
      <c r="W214" s="198"/>
      <c r="X214" s="198"/>
      <c r="Y214" s="198"/>
      <c r="Z214" s="198"/>
      <c r="AA214" s="198"/>
      <c r="AB214" s="200"/>
      <c r="AC214" s="200"/>
      <c r="AD214" s="200"/>
      <c r="AE214" s="200"/>
      <c r="AF214" s="200"/>
      <c r="AG214" s="200"/>
      <c r="AH214" s="200"/>
      <c r="AI214" s="91"/>
      <c r="AJ214" s="91">
        <f t="shared" ca="1" si="7"/>
        <v>0</v>
      </c>
      <c r="AK214" s="91">
        <f t="shared" ca="1" si="8"/>
        <v>0</v>
      </c>
      <c r="AL214" s="203"/>
      <c r="AM214" s="203"/>
      <c r="AN214" s="203"/>
      <c r="AO214" s="203"/>
      <c r="AP214" s="203"/>
      <c r="AQ214" s="203"/>
      <c r="AR214" s="203"/>
      <c r="AS214" s="203"/>
      <c r="AT214" s="203"/>
      <c r="AU214" s="203"/>
      <c r="AV214" s="203"/>
      <c r="AW214" s="203"/>
      <c r="AX214" s="203"/>
      <c r="AY214" s="203"/>
      <c r="AZ214" s="203"/>
      <c r="BA214" s="203"/>
      <c r="BB214" s="203"/>
      <c r="BC214" s="203"/>
      <c r="BD214" s="203"/>
      <c r="BE214" s="203"/>
      <c r="BF214" s="203"/>
      <c r="BG214" s="203"/>
      <c r="BH214" s="203"/>
      <c r="BI214" s="203"/>
      <c r="BJ214" s="203"/>
      <c r="BK214" s="203"/>
      <c r="BL214" s="203"/>
      <c r="BM214" s="203"/>
      <c r="BN214" s="203"/>
      <c r="BO214" s="203"/>
      <c r="BP214" s="203"/>
      <c r="BQ214" s="203"/>
      <c r="BR214" s="203"/>
      <c r="BS214" s="203"/>
      <c r="BT214" s="203"/>
      <c r="BU214" s="203"/>
      <c r="BV214" s="203"/>
      <c r="BW214" s="203"/>
      <c r="BX214" s="203"/>
    </row>
    <row r="215" spans="1:76" s="199" customFormat="1" ht="22.5" customHeight="1">
      <c r="A215" s="222">
        <v>210</v>
      </c>
      <c r="B215" s="222"/>
      <c r="C215" s="198"/>
      <c r="D215" s="193"/>
      <c r="E215" s="194"/>
      <c r="F215" s="222"/>
      <c r="G215" s="222"/>
      <c r="H215" s="193"/>
      <c r="I215" s="193"/>
      <c r="J215" s="193"/>
      <c r="K215" s="195"/>
      <c r="L215" s="196"/>
      <c r="M215" s="193"/>
      <c r="N215" s="197"/>
      <c r="O215" s="197"/>
      <c r="P215" s="197"/>
      <c r="Q215" s="197"/>
      <c r="R215" s="196"/>
      <c r="S215" s="195"/>
      <c r="T215" s="195"/>
      <c r="U215" s="197"/>
      <c r="V215" s="213"/>
      <c r="W215" s="198"/>
      <c r="X215" s="198"/>
      <c r="Y215" s="198"/>
      <c r="Z215" s="198"/>
      <c r="AA215" s="198"/>
      <c r="AB215" s="200"/>
      <c r="AC215" s="200"/>
      <c r="AD215" s="200"/>
      <c r="AE215" s="200"/>
      <c r="AF215" s="200"/>
      <c r="AG215" s="200"/>
      <c r="AH215" s="200"/>
      <c r="AI215" s="91"/>
      <c r="AJ215" s="91">
        <f t="shared" ca="1" si="7"/>
        <v>0</v>
      </c>
      <c r="AK215" s="91">
        <f t="shared" ca="1" si="8"/>
        <v>0</v>
      </c>
      <c r="AL215" s="203"/>
      <c r="AM215" s="203"/>
      <c r="AN215" s="203"/>
      <c r="AO215" s="203"/>
      <c r="AP215" s="203"/>
      <c r="AQ215" s="203"/>
      <c r="AR215" s="203"/>
      <c r="AS215" s="203"/>
      <c r="AT215" s="203"/>
      <c r="AU215" s="203"/>
      <c r="AV215" s="203"/>
      <c r="AW215" s="203"/>
      <c r="AX215" s="203"/>
      <c r="AY215" s="203"/>
      <c r="AZ215" s="203"/>
      <c r="BA215" s="203"/>
      <c r="BB215" s="203"/>
      <c r="BC215" s="203"/>
      <c r="BD215" s="203"/>
      <c r="BE215" s="203"/>
      <c r="BF215" s="203"/>
      <c r="BG215" s="203"/>
      <c r="BH215" s="203"/>
      <c r="BI215" s="203"/>
      <c r="BJ215" s="203"/>
      <c r="BK215" s="203"/>
      <c r="BL215" s="203"/>
      <c r="BM215" s="203"/>
      <c r="BN215" s="203"/>
      <c r="BO215" s="203"/>
      <c r="BP215" s="203"/>
      <c r="BQ215" s="203"/>
      <c r="BR215" s="203"/>
      <c r="BS215" s="203"/>
      <c r="BT215" s="203"/>
      <c r="BU215" s="203"/>
      <c r="BV215" s="203"/>
      <c r="BW215" s="203"/>
      <c r="BX215" s="203"/>
    </row>
    <row r="216" spans="1:76" ht="22.5" customHeight="1">
      <c r="A216" s="222">
        <v>211</v>
      </c>
      <c r="B216" s="223"/>
      <c r="C216" s="192"/>
      <c r="D216" s="205"/>
      <c r="E216" s="188"/>
      <c r="F216" s="223"/>
      <c r="G216" s="223"/>
      <c r="H216" s="187"/>
      <c r="I216" s="187"/>
      <c r="J216" s="187"/>
      <c r="K216" s="189"/>
      <c r="L216" s="190"/>
      <c r="M216" s="187"/>
      <c r="N216" s="191"/>
      <c r="O216" s="191"/>
      <c r="P216" s="191"/>
      <c r="Q216" s="191"/>
      <c r="R216" s="190"/>
      <c r="S216" s="189"/>
      <c r="T216" s="189"/>
      <c r="U216" s="191"/>
      <c r="V216" s="214"/>
      <c r="W216" s="192"/>
      <c r="X216" s="192"/>
      <c r="Y216" s="192"/>
      <c r="Z216" s="192"/>
      <c r="AA216" s="192"/>
      <c r="AB216" s="221"/>
      <c r="AC216" s="221"/>
      <c r="AD216" s="221"/>
      <c r="AE216" s="221"/>
      <c r="AF216" s="221"/>
      <c r="AG216" s="188"/>
      <c r="AH216" s="188"/>
      <c r="AI216" s="91"/>
      <c r="AJ216" s="91">
        <f t="shared" ca="1" si="7"/>
        <v>0</v>
      </c>
      <c r="AK216" s="91">
        <f t="shared" ca="1" si="8"/>
        <v>0</v>
      </c>
      <c r="AL216" s="203"/>
      <c r="AM216" s="203"/>
      <c r="AN216" s="203"/>
      <c r="AO216" s="203"/>
      <c r="AP216" s="203"/>
      <c r="AQ216" s="203"/>
      <c r="AR216" s="203"/>
      <c r="AS216" s="203"/>
      <c r="AT216" s="203"/>
      <c r="AU216" s="203"/>
      <c r="AV216" s="203"/>
      <c r="AW216" s="203"/>
      <c r="AX216" s="203"/>
      <c r="AY216" s="203"/>
      <c r="AZ216" s="203"/>
      <c r="BA216" s="203"/>
      <c r="BB216" s="203"/>
      <c r="BC216" s="203"/>
      <c r="BD216" s="203"/>
      <c r="BE216" s="203"/>
      <c r="BF216" s="203"/>
      <c r="BG216" s="203"/>
      <c r="BH216" s="203"/>
      <c r="BI216" s="203"/>
      <c r="BJ216" s="203"/>
      <c r="BK216" s="203"/>
      <c r="BL216" s="203"/>
      <c r="BM216" s="203"/>
      <c r="BN216" s="203"/>
      <c r="BO216" s="203"/>
      <c r="BP216" s="203"/>
      <c r="BQ216" s="203"/>
      <c r="BR216" s="203"/>
      <c r="BS216" s="203"/>
      <c r="BT216" s="203"/>
      <c r="BU216" s="203"/>
      <c r="BV216" s="203"/>
      <c r="BW216" s="203"/>
      <c r="BX216" s="203"/>
    </row>
    <row r="217" spans="1:76">
      <c r="A217" s="222">
        <v>212</v>
      </c>
      <c r="B217" s="223"/>
      <c r="C217" s="192"/>
      <c r="D217" s="205"/>
      <c r="E217" s="188"/>
      <c r="F217" s="223"/>
      <c r="G217" s="223"/>
      <c r="H217" s="187"/>
      <c r="I217" s="187"/>
      <c r="J217" s="187"/>
      <c r="K217" s="189"/>
      <c r="L217" s="190"/>
      <c r="M217" s="187"/>
      <c r="N217" s="191"/>
      <c r="O217" s="191"/>
      <c r="P217" s="191"/>
      <c r="Q217" s="191"/>
      <c r="R217" s="190"/>
      <c r="S217" s="189"/>
      <c r="T217" s="189"/>
      <c r="U217" s="191"/>
      <c r="V217" s="214"/>
      <c r="W217" s="192"/>
      <c r="X217" s="192"/>
      <c r="Y217" s="192"/>
      <c r="Z217" s="192"/>
      <c r="AA217" s="192"/>
      <c r="AB217" s="221"/>
      <c r="AC217" s="221"/>
      <c r="AD217" s="221"/>
      <c r="AE217" s="221"/>
      <c r="AF217" s="221"/>
      <c r="AG217" s="188"/>
      <c r="AH217" s="188"/>
      <c r="AI217" s="91"/>
      <c r="AJ217" s="91"/>
      <c r="AK217" s="91"/>
      <c r="AL217" s="203"/>
      <c r="AM217" s="203"/>
      <c r="AN217" s="203"/>
      <c r="AO217" s="203"/>
      <c r="AP217" s="203"/>
      <c r="AQ217" s="203"/>
      <c r="AR217" s="203"/>
      <c r="AS217" s="203"/>
      <c r="AT217" s="203"/>
      <c r="AU217" s="203"/>
      <c r="AV217" s="203"/>
      <c r="AW217" s="203"/>
      <c r="AX217" s="203"/>
      <c r="AY217" s="203"/>
      <c r="AZ217" s="203"/>
      <c r="BA217" s="203"/>
      <c r="BB217" s="203"/>
      <c r="BC217" s="203"/>
      <c r="BD217" s="203"/>
      <c r="BE217" s="203"/>
      <c r="BF217" s="203"/>
      <c r="BG217" s="203"/>
      <c r="BH217" s="203"/>
      <c r="BI217" s="203"/>
      <c r="BJ217" s="203"/>
      <c r="BK217" s="203"/>
      <c r="BL217" s="203"/>
      <c r="BM217" s="203"/>
      <c r="BN217" s="203"/>
      <c r="BO217" s="203"/>
      <c r="BP217" s="203"/>
      <c r="BQ217" s="203"/>
      <c r="BR217" s="203"/>
      <c r="BS217" s="203"/>
      <c r="BT217" s="203"/>
      <c r="BU217" s="203"/>
      <c r="BV217" s="203"/>
      <c r="BW217" s="203"/>
      <c r="BX217" s="203"/>
    </row>
    <row r="218" spans="1:76">
      <c r="A218" s="222">
        <v>213</v>
      </c>
      <c r="B218" s="223"/>
      <c r="C218" s="192"/>
      <c r="D218" s="205"/>
      <c r="E218" s="188"/>
      <c r="F218" s="223"/>
      <c r="G218" s="223"/>
      <c r="H218" s="187"/>
      <c r="I218" s="187"/>
      <c r="J218" s="187"/>
      <c r="K218" s="189"/>
      <c r="L218" s="190"/>
      <c r="M218" s="187"/>
      <c r="N218" s="191"/>
      <c r="O218" s="191"/>
      <c r="P218" s="191"/>
      <c r="Q218" s="191"/>
      <c r="R218" s="190"/>
      <c r="S218" s="189"/>
      <c r="T218" s="189"/>
      <c r="U218" s="191"/>
      <c r="V218" s="214"/>
      <c r="W218" s="192"/>
      <c r="X218" s="192"/>
      <c r="Y218" s="192"/>
      <c r="Z218" s="192"/>
      <c r="AA218" s="192"/>
      <c r="AB218" s="221"/>
      <c r="AC218" s="221"/>
      <c r="AD218" s="221"/>
      <c r="AE218" s="221"/>
      <c r="AF218" s="221"/>
      <c r="AG218" s="188"/>
      <c r="AH218" s="188"/>
      <c r="AI218" s="91"/>
      <c r="AJ218" s="91"/>
      <c r="AK218" s="91"/>
      <c r="AL218" s="203"/>
      <c r="AM218" s="203"/>
      <c r="AN218" s="203"/>
      <c r="AO218" s="203"/>
      <c r="AP218" s="203"/>
      <c r="AQ218" s="203"/>
      <c r="AR218" s="203"/>
      <c r="AS218" s="203"/>
      <c r="AT218" s="203"/>
      <c r="AU218" s="203"/>
      <c r="AV218" s="203"/>
      <c r="AW218" s="203"/>
      <c r="AX218" s="203"/>
      <c r="AY218" s="203"/>
      <c r="AZ218" s="203"/>
      <c r="BA218" s="203"/>
      <c r="BB218" s="203"/>
      <c r="BC218" s="203"/>
      <c r="BD218" s="203"/>
      <c r="BE218" s="203"/>
      <c r="BF218" s="203"/>
      <c r="BG218" s="203"/>
      <c r="BH218" s="203"/>
      <c r="BI218" s="203"/>
      <c r="BJ218" s="203"/>
      <c r="BK218" s="203"/>
      <c r="BL218" s="203"/>
      <c r="BM218" s="203"/>
      <c r="BN218" s="203"/>
      <c r="BO218" s="203"/>
      <c r="BP218" s="203"/>
      <c r="BQ218" s="203"/>
      <c r="BR218" s="203"/>
      <c r="BS218" s="203"/>
      <c r="BT218" s="203"/>
      <c r="BU218" s="203"/>
      <c r="BV218" s="203"/>
      <c r="BW218" s="203"/>
      <c r="BX218" s="203"/>
    </row>
    <row r="219" spans="1:76">
      <c r="A219" s="222">
        <v>214</v>
      </c>
      <c r="B219" s="223"/>
      <c r="C219" s="192"/>
      <c r="D219" s="205"/>
      <c r="E219" s="188"/>
      <c r="F219" s="223"/>
      <c r="G219" s="223"/>
      <c r="H219" s="187"/>
      <c r="I219" s="187"/>
      <c r="J219" s="187"/>
      <c r="K219" s="189"/>
      <c r="L219" s="190"/>
      <c r="M219" s="187"/>
      <c r="N219" s="191"/>
      <c r="O219" s="191"/>
      <c r="P219" s="191"/>
      <c r="Q219" s="191"/>
      <c r="R219" s="190"/>
      <c r="S219" s="189"/>
      <c r="T219" s="189"/>
      <c r="U219" s="191"/>
      <c r="V219" s="214"/>
      <c r="W219" s="192"/>
      <c r="X219" s="192"/>
      <c r="Y219" s="192"/>
      <c r="Z219" s="192"/>
      <c r="AA219" s="192"/>
      <c r="AB219" s="221"/>
      <c r="AC219" s="221"/>
      <c r="AD219" s="221"/>
      <c r="AE219" s="221"/>
      <c r="AF219" s="221"/>
      <c r="AG219" s="188"/>
      <c r="AH219" s="188"/>
      <c r="AI219" s="91"/>
      <c r="AJ219" s="91"/>
      <c r="AK219" s="91"/>
      <c r="AL219" s="203"/>
      <c r="AM219" s="203"/>
      <c r="AN219" s="203"/>
      <c r="AO219" s="203"/>
      <c r="AP219" s="203"/>
      <c r="AQ219" s="203"/>
      <c r="AR219" s="203"/>
      <c r="AS219" s="203"/>
      <c r="AT219" s="203"/>
      <c r="AU219" s="203"/>
      <c r="AV219" s="203"/>
      <c r="AW219" s="203"/>
      <c r="AX219" s="203"/>
      <c r="AY219" s="203"/>
      <c r="AZ219" s="203"/>
      <c r="BA219" s="203"/>
      <c r="BB219" s="203"/>
      <c r="BC219" s="203"/>
      <c r="BD219" s="203"/>
      <c r="BE219" s="203"/>
      <c r="BF219" s="203"/>
      <c r="BG219" s="203"/>
      <c r="BH219" s="203"/>
      <c r="BI219" s="203"/>
      <c r="BJ219" s="203"/>
      <c r="BK219" s="203"/>
      <c r="BL219" s="203"/>
      <c r="BM219" s="203"/>
      <c r="BN219" s="203"/>
      <c r="BO219" s="203"/>
      <c r="BP219" s="203"/>
      <c r="BQ219" s="203"/>
      <c r="BR219" s="203"/>
      <c r="BS219" s="203"/>
      <c r="BT219" s="203"/>
      <c r="BU219" s="203"/>
      <c r="BV219" s="203"/>
      <c r="BW219" s="203"/>
      <c r="BX219" s="203"/>
    </row>
    <row r="220" spans="1:76">
      <c r="A220" s="222">
        <v>215</v>
      </c>
      <c r="B220" s="223"/>
      <c r="C220" s="192"/>
      <c r="D220" s="205"/>
      <c r="E220" s="188"/>
      <c r="F220" s="223"/>
      <c r="G220" s="223"/>
      <c r="H220" s="187"/>
      <c r="I220" s="187"/>
      <c r="J220" s="187"/>
      <c r="K220" s="189"/>
      <c r="L220" s="190"/>
      <c r="M220" s="187"/>
      <c r="N220" s="191"/>
      <c r="O220" s="191"/>
      <c r="P220" s="191"/>
      <c r="Q220" s="191"/>
      <c r="R220" s="190"/>
      <c r="S220" s="189"/>
      <c r="T220" s="189"/>
      <c r="U220" s="191"/>
      <c r="V220" s="214"/>
      <c r="W220" s="192"/>
      <c r="X220" s="192"/>
      <c r="Y220" s="192"/>
      <c r="Z220" s="192"/>
      <c r="AA220" s="192"/>
      <c r="AB220" s="221"/>
      <c r="AC220" s="221"/>
      <c r="AD220" s="221"/>
      <c r="AE220" s="221"/>
      <c r="AF220" s="221"/>
      <c r="AG220" s="188"/>
      <c r="AH220" s="188"/>
      <c r="AI220" s="91"/>
      <c r="AJ220" s="91"/>
      <c r="AK220" s="91"/>
      <c r="AL220" s="203"/>
      <c r="AM220" s="203"/>
      <c r="AN220" s="203"/>
      <c r="AO220" s="203"/>
      <c r="AP220" s="203"/>
      <c r="AQ220" s="203"/>
      <c r="AR220" s="203"/>
      <c r="AS220" s="203"/>
      <c r="AT220" s="203"/>
      <c r="AU220" s="203"/>
      <c r="AV220" s="203"/>
      <c r="AW220" s="203"/>
      <c r="AX220" s="203"/>
      <c r="AY220" s="203"/>
      <c r="AZ220" s="203"/>
      <c r="BA220" s="203"/>
      <c r="BB220" s="203"/>
      <c r="BC220" s="203"/>
      <c r="BD220" s="203"/>
      <c r="BE220" s="203"/>
      <c r="BF220" s="203"/>
      <c r="BG220" s="203"/>
      <c r="BH220" s="203"/>
      <c r="BI220" s="203"/>
      <c r="BJ220" s="203"/>
      <c r="BK220" s="203"/>
      <c r="BL220" s="203"/>
      <c r="BM220" s="203"/>
      <c r="BN220" s="203"/>
      <c r="BO220" s="203"/>
      <c r="BP220" s="203"/>
      <c r="BQ220" s="203"/>
      <c r="BR220" s="203"/>
      <c r="BS220" s="203"/>
      <c r="BT220" s="203"/>
      <c r="BU220" s="203"/>
      <c r="BV220" s="203"/>
      <c r="BW220" s="203"/>
      <c r="BX220" s="203"/>
    </row>
    <row r="221" spans="1:76">
      <c r="A221" s="222">
        <v>216</v>
      </c>
      <c r="B221" s="223"/>
      <c r="C221" s="192"/>
      <c r="D221" s="205"/>
      <c r="E221" s="188"/>
      <c r="F221" s="223"/>
      <c r="G221" s="223"/>
      <c r="H221" s="187"/>
      <c r="I221" s="187"/>
      <c r="J221" s="187"/>
      <c r="K221" s="189"/>
      <c r="L221" s="190"/>
      <c r="M221" s="187"/>
      <c r="N221" s="191"/>
      <c r="O221" s="191"/>
      <c r="P221" s="191"/>
      <c r="Q221" s="191"/>
      <c r="R221" s="190"/>
      <c r="S221" s="189"/>
      <c r="T221" s="189"/>
      <c r="U221" s="191"/>
      <c r="V221" s="214"/>
      <c r="W221" s="192"/>
      <c r="X221" s="192"/>
      <c r="Y221" s="192"/>
      <c r="Z221" s="192"/>
      <c r="AA221" s="192"/>
      <c r="AB221" s="221"/>
      <c r="AC221" s="221"/>
      <c r="AD221" s="221"/>
      <c r="AE221" s="221"/>
      <c r="AF221" s="221"/>
      <c r="AG221" s="188"/>
      <c r="AH221" s="188"/>
      <c r="AI221" s="91"/>
      <c r="AJ221" s="91"/>
      <c r="AK221" s="91"/>
      <c r="AL221" s="203"/>
      <c r="AM221" s="203"/>
      <c r="AN221" s="203"/>
      <c r="AO221" s="203"/>
      <c r="AP221" s="203"/>
      <c r="AQ221" s="203"/>
      <c r="AR221" s="203"/>
      <c r="AS221" s="203"/>
      <c r="AT221" s="203"/>
      <c r="AU221" s="203"/>
      <c r="AV221" s="203"/>
      <c r="AW221" s="203"/>
      <c r="AX221" s="203"/>
      <c r="AY221" s="203"/>
      <c r="AZ221" s="203"/>
      <c r="BA221" s="203"/>
      <c r="BB221" s="203"/>
      <c r="BC221" s="203"/>
      <c r="BD221" s="203"/>
      <c r="BE221" s="203"/>
      <c r="BF221" s="203"/>
      <c r="BG221" s="203"/>
      <c r="BH221" s="203"/>
      <c r="BI221" s="203"/>
      <c r="BJ221" s="203"/>
      <c r="BK221" s="203"/>
      <c r="BL221" s="203"/>
      <c r="BM221" s="203"/>
      <c r="BN221" s="203"/>
      <c r="BO221" s="203"/>
      <c r="BP221" s="203"/>
      <c r="BQ221" s="203"/>
      <c r="BR221" s="203"/>
      <c r="BS221" s="203"/>
      <c r="BT221" s="203"/>
      <c r="BU221" s="203"/>
      <c r="BV221" s="203"/>
      <c r="BW221" s="203"/>
      <c r="BX221" s="203"/>
    </row>
    <row r="222" spans="1:76">
      <c r="A222" s="222">
        <v>217</v>
      </c>
      <c r="B222" s="223"/>
      <c r="C222" s="192"/>
      <c r="D222" s="205"/>
      <c r="E222" s="188"/>
      <c r="F222" s="223"/>
      <c r="G222" s="223"/>
      <c r="H222" s="187"/>
      <c r="I222" s="187"/>
      <c r="J222" s="187"/>
      <c r="K222" s="189"/>
      <c r="L222" s="190"/>
      <c r="M222" s="187"/>
      <c r="N222" s="191"/>
      <c r="O222" s="191"/>
      <c r="P222" s="191"/>
      <c r="Q222" s="191"/>
      <c r="R222" s="190"/>
      <c r="S222" s="189"/>
      <c r="T222" s="189"/>
      <c r="U222" s="191"/>
      <c r="V222" s="214"/>
      <c r="W222" s="192"/>
      <c r="X222" s="192"/>
      <c r="Y222" s="192"/>
      <c r="Z222" s="192"/>
      <c r="AA222" s="192"/>
      <c r="AB222" s="221"/>
      <c r="AC222" s="221"/>
      <c r="AD222" s="221"/>
      <c r="AE222" s="221"/>
      <c r="AF222" s="221"/>
      <c r="AG222" s="188"/>
      <c r="AH222" s="188"/>
      <c r="AI222" s="91"/>
      <c r="AJ222" s="91"/>
      <c r="AK222" s="91"/>
      <c r="AL222" s="203"/>
      <c r="AM222" s="203"/>
      <c r="AN222" s="203"/>
      <c r="AO222" s="203"/>
      <c r="AP222" s="203"/>
      <c r="AQ222" s="203"/>
      <c r="AR222" s="203"/>
      <c r="AS222" s="203"/>
      <c r="AT222" s="203"/>
      <c r="AU222" s="203"/>
      <c r="AV222" s="203"/>
      <c r="AW222" s="203"/>
      <c r="AX222" s="203"/>
      <c r="AY222" s="203"/>
      <c r="AZ222" s="203"/>
      <c r="BA222" s="203"/>
      <c r="BB222" s="203"/>
      <c r="BC222" s="203"/>
      <c r="BD222" s="203"/>
      <c r="BE222" s="203"/>
      <c r="BF222" s="203"/>
      <c r="BG222" s="203"/>
      <c r="BH222" s="203"/>
      <c r="BI222" s="203"/>
      <c r="BJ222" s="203"/>
      <c r="BK222" s="203"/>
      <c r="BL222" s="203"/>
      <c r="BM222" s="203"/>
      <c r="BN222" s="203"/>
      <c r="BO222" s="203"/>
      <c r="BP222" s="203"/>
      <c r="BQ222" s="203"/>
      <c r="BR222" s="203"/>
      <c r="BS222" s="203"/>
      <c r="BT222" s="203"/>
      <c r="BU222" s="203"/>
      <c r="BV222" s="203"/>
      <c r="BW222" s="203"/>
      <c r="BX222" s="203"/>
    </row>
    <row r="223" spans="1:76">
      <c r="A223" s="222">
        <v>218</v>
      </c>
      <c r="B223" s="223"/>
      <c r="C223" s="192"/>
      <c r="D223" s="205"/>
      <c r="E223" s="188"/>
      <c r="F223" s="223"/>
      <c r="G223" s="223"/>
      <c r="H223" s="187"/>
      <c r="I223" s="187"/>
      <c r="J223" s="187"/>
      <c r="K223" s="189"/>
      <c r="L223" s="190"/>
      <c r="M223" s="187"/>
      <c r="N223" s="191"/>
      <c r="O223" s="191"/>
      <c r="P223" s="191"/>
      <c r="Q223" s="191"/>
      <c r="R223" s="190"/>
      <c r="S223" s="189"/>
      <c r="T223" s="189"/>
      <c r="U223" s="191"/>
      <c r="V223" s="214"/>
      <c r="W223" s="192"/>
      <c r="X223" s="192"/>
      <c r="Y223" s="192"/>
      <c r="Z223" s="192"/>
      <c r="AA223" s="192"/>
      <c r="AB223" s="221"/>
      <c r="AC223" s="221"/>
      <c r="AD223" s="221"/>
      <c r="AE223" s="221"/>
      <c r="AF223" s="221"/>
      <c r="AG223" s="188"/>
      <c r="AH223" s="188"/>
    </row>
    <row r="224" spans="1:76">
      <c r="A224" s="222">
        <v>219</v>
      </c>
      <c r="B224" s="223"/>
      <c r="C224" s="192"/>
      <c r="D224" s="205"/>
      <c r="E224" s="188"/>
      <c r="F224" s="223"/>
      <c r="G224" s="223"/>
      <c r="H224" s="187"/>
      <c r="I224" s="187"/>
      <c r="J224" s="187"/>
      <c r="K224" s="189"/>
      <c r="L224" s="190"/>
      <c r="M224" s="187"/>
      <c r="N224" s="191"/>
      <c r="O224" s="191"/>
      <c r="P224" s="191"/>
      <c r="Q224" s="191"/>
      <c r="R224" s="190"/>
      <c r="S224" s="189"/>
      <c r="T224" s="189"/>
      <c r="U224" s="191"/>
      <c r="V224" s="214"/>
      <c r="W224" s="192"/>
      <c r="X224" s="192"/>
      <c r="Y224" s="192"/>
      <c r="Z224" s="192"/>
      <c r="AA224" s="192"/>
      <c r="AB224" s="221"/>
      <c r="AC224" s="221"/>
      <c r="AD224" s="221"/>
      <c r="AE224" s="221"/>
      <c r="AF224" s="221"/>
      <c r="AG224" s="188"/>
      <c r="AH224" s="188"/>
    </row>
    <row r="225" spans="1:34">
      <c r="A225" s="222">
        <v>220</v>
      </c>
      <c r="B225" s="223"/>
      <c r="C225" s="192"/>
      <c r="D225" s="205"/>
      <c r="E225" s="188"/>
      <c r="F225" s="223"/>
      <c r="G225" s="223"/>
      <c r="H225" s="187"/>
      <c r="I225" s="187"/>
      <c r="J225" s="187"/>
      <c r="K225" s="189"/>
      <c r="L225" s="190"/>
      <c r="M225" s="187"/>
      <c r="N225" s="191"/>
      <c r="O225" s="191"/>
      <c r="P225" s="191"/>
      <c r="Q225" s="191"/>
      <c r="R225" s="190"/>
      <c r="S225" s="189"/>
      <c r="T225" s="189"/>
      <c r="U225" s="191"/>
      <c r="V225" s="214"/>
      <c r="W225" s="192"/>
      <c r="X225" s="192"/>
      <c r="Y225" s="192"/>
      <c r="Z225" s="192"/>
      <c r="AA225" s="192"/>
      <c r="AB225" s="221"/>
      <c r="AC225" s="221"/>
      <c r="AD225" s="221"/>
      <c r="AE225" s="221"/>
      <c r="AF225" s="221"/>
      <c r="AG225" s="188"/>
      <c r="AH225" s="188"/>
    </row>
    <row r="226" spans="1:34">
      <c r="A226" s="222">
        <v>221</v>
      </c>
      <c r="B226" s="223"/>
      <c r="C226" s="192"/>
      <c r="D226" s="205"/>
      <c r="E226" s="188"/>
      <c r="F226" s="223"/>
      <c r="G226" s="223"/>
      <c r="H226" s="187"/>
      <c r="I226" s="187"/>
      <c r="J226" s="187"/>
      <c r="K226" s="189"/>
      <c r="L226" s="190"/>
      <c r="M226" s="187"/>
      <c r="N226" s="191"/>
      <c r="O226" s="191"/>
      <c r="P226" s="191"/>
      <c r="Q226" s="191"/>
      <c r="R226" s="190"/>
      <c r="S226" s="189"/>
      <c r="T226" s="189"/>
      <c r="U226" s="191"/>
      <c r="V226" s="214"/>
      <c r="W226" s="192"/>
      <c r="X226" s="192"/>
      <c r="Y226" s="192"/>
      <c r="Z226" s="192"/>
      <c r="AA226" s="192"/>
      <c r="AB226" s="221"/>
      <c r="AC226" s="221"/>
      <c r="AD226" s="221"/>
      <c r="AE226" s="221"/>
      <c r="AF226" s="221"/>
      <c r="AG226" s="188"/>
      <c r="AH226" s="188"/>
    </row>
    <row r="227" spans="1:34">
      <c r="A227" s="222">
        <v>222</v>
      </c>
      <c r="B227" s="223"/>
      <c r="C227" s="192"/>
      <c r="D227" s="205"/>
      <c r="E227" s="188"/>
      <c r="F227" s="223"/>
      <c r="G227" s="223"/>
      <c r="H227" s="187"/>
      <c r="I227" s="187"/>
      <c r="J227" s="187"/>
      <c r="K227" s="189"/>
      <c r="L227" s="190"/>
      <c r="M227" s="187"/>
      <c r="N227" s="191"/>
      <c r="O227" s="191"/>
      <c r="P227" s="191"/>
      <c r="Q227" s="191"/>
      <c r="R227" s="190"/>
      <c r="S227" s="189"/>
      <c r="T227" s="189"/>
      <c r="U227" s="191"/>
      <c r="V227" s="214"/>
      <c r="W227" s="192"/>
      <c r="X227" s="192"/>
      <c r="Y227" s="192"/>
      <c r="Z227" s="192"/>
      <c r="AA227" s="192"/>
      <c r="AB227" s="221"/>
      <c r="AC227" s="221"/>
      <c r="AD227" s="221"/>
      <c r="AE227" s="221"/>
      <c r="AF227" s="221"/>
      <c r="AG227" s="188"/>
      <c r="AH227" s="188"/>
    </row>
    <row r="228" spans="1:34">
      <c r="A228" s="222">
        <v>223</v>
      </c>
      <c r="B228" s="223"/>
      <c r="C228" s="192"/>
      <c r="D228" s="205"/>
      <c r="E228" s="188"/>
      <c r="F228" s="223"/>
      <c r="G228" s="223"/>
      <c r="H228" s="187"/>
      <c r="I228" s="187"/>
      <c r="J228" s="187"/>
      <c r="K228" s="189"/>
      <c r="L228" s="190"/>
      <c r="M228" s="187"/>
      <c r="N228" s="191"/>
      <c r="O228" s="191"/>
      <c r="P228" s="191"/>
      <c r="Q228" s="191"/>
      <c r="R228" s="190"/>
      <c r="S228" s="189"/>
      <c r="T228" s="189"/>
      <c r="U228" s="191"/>
      <c r="V228" s="214"/>
      <c r="W228" s="192"/>
      <c r="X228" s="192"/>
      <c r="Y228" s="192"/>
      <c r="Z228" s="192"/>
      <c r="AA228" s="192"/>
      <c r="AB228" s="221"/>
      <c r="AC228" s="221"/>
      <c r="AD228" s="221"/>
      <c r="AE228" s="221"/>
      <c r="AF228" s="221"/>
      <c r="AG228" s="188"/>
      <c r="AH228" s="188"/>
    </row>
    <row r="229" spans="1:34">
      <c r="A229" s="222">
        <v>224</v>
      </c>
      <c r="B229" s="223"/>
      <c r="C229" s="192"/>
      <c r="D229" s="205"/>
      <c r="E229" s="188"/>
      <c r="F229" s="223"/>
      <c r="G229" s="223"/>
      <c r="H229" s="187"/>
      <c r="I229" s="187"/>
      <c r="J229" s="187"/>
      <c r="K229" s="189"/>
      <c r="L229" s="190"/>
      <c r="M229" s="187"/>
      <c r="N229" s="191"/>
      <c r="O229" s="191"/>
      <c r="P229" s="191"/>
      <c r="Q229" s="191"/>
      <c r="R229" s="190"/>
      <c r="S229" s="189"/>
      <c r="T229" s="189"/>
      <c r="U229" s="191"/>
      <c r="V229" s="214"/>
      <c r="W229" s="192"/>
      <c r="X229" s="192"/>
      <c r="Y229" s="192"/>
      <c r="Z229" s="192"/>
      <c r="AA229" s="192"/>
      <c r="AB229" s="221"/>
      <c r="AC229" s="221"/>
      <c r="AD229" s="221"/>
      <c r="AE229" s="221"/>
      <c r="AF229" s="221"/>
      <c r="AG229" s="188"/>
      <c r="AH229" s="188"/>
    </row>
    <row r="230" spans="1:34">
      <c r="A230" s="222">
        <v>225</v>
      </c>
      <c r="B230" s="223"/>
      <c r="C230" s="192"/>
      <c r="D230" s="205"/>
      <c r="E230" s="188"/>
      <c r="F230" s="223"/>
      <c r="G230" s="223"/>
      <c r="H230" s="187"/>
      <c r="I230" s="187"/>
      <c r="J230" s="187"/>
      <c r="K230" s="189"/>
      <c r="L230" s="190"/>
      <c r="M230" s="187"/>
      <c r="N230" s="191"/>
      <c r="O230" s="191"/>
      <c r="P230" s="191"/>
      <c r="Q230" s="191"/>
      <c r="R230" s="190"/>
      <c r="S230" s="189"/>
      <c r="T230" s="189"/>
      <c r="U230" s="191"/>
      <c r="V230" s="214"/>
      <c r="W230" s="192"/>
      <c r="X230" s="192"/>
      <c r="Y230" s="192"/>
      <c r="Z230" s="192"/>
      <c r="AA230" s="192"/>
      <c r="AB230" s="221"/>
      <c r="AC230" s="221"/>
      <c r="AD230" s="221"/>
      <c r="AE230" s="221"/>
      <c r="AF230" s="221"/>
      <c r="AG230" s="188"/>
      <c r="AH230" s="188"/>
    </row>
    <row r="231" spans="1:34">
      <c r="A231" s="222">
        <v>226</v>
      </c>
      <c r="B231" s="223"/>
      <c r="C231" s="192"/>
      <c r="D231" s="205"/>
      <c r="E231" s="188"/>
      <c r="F231" s="223"/>
      <c r="G231" s="223"/>
      <c r="H231" s="187"/>
      <c r="I231" s="187"/>
      <c r="J231" s="187"/>
      <c r="K231" s="189"/>
      <c r="L231" s="190"/>
      <c r="M231" s="187"/>
      <c r="N231" s="191"/>
      <c r="O231" s="191"/>
      <c r="P231" s="191"/>
      <c r="Q231" s="191"/>
      <c r="R231" s="190"/>
      <c r="S231" s="189"/>
      <c r="T231" s="189"/>
      <c r="U231" s="191"/>
      <c r="V231" s="214"/>
      <c r="W231" s="192"/>
      <c r="X231" s="192"/>
      <c r="Y231" s="192"/>
      <c r="Z231" s="192"/>
      <c r="AA231" s="192"/>
      <c r="AB231" s="221"/>
      <c r="AC231" s="221"/>
      <c r="AD231" s="221"/>
      <c r="AE231" s="221"/>
      <c r="AF231" s="221"/>
      <c r="AG231" s="188"/>
      <c r="AH231" s="188"/>
    </row>
    <row r="232" spans="1:34">
      <c r="A232" s="222">
        <v>227</v>
      </c>
      <c r="B232" s="223"/>
      <c r="C232" s="192"/>
      <c r="D232" s="205"/>
      <c r="E232" s="188"/>
      <c r="F232" s="223"/>
      <c r="G232" s="223"/>
      <c r="H232" s="187"/>
      <c r="I232" s="187"/>
      <c r="J232" s="187"/>
      <c r="K232" s="189"/>
      <c r="L232" s="190"/>
      <c r="M232" s="187"/>
      <c r="N232" s="191"/>
      <c r="O232" s="191"/>
      <c r="P232" s="191"/>
      <c r="Q232" s="191"/>
      <c r="R232" s="190"/>
      <c r="S232" s="189"/>
      <c r="T232" s="189"/>
      <c r="U232" s="191"/>
      <c r="V232" s="214"/>
      <c r="W232" s="192"/>
      <c r="X232" s="192"/>
      <c r="Y232" s="192"/>
      <c r="Z232" s="192"/>
      <c r="AA232" s="192"/>
      <c r="AB232" s="221"/>
      <c r="AC232" s="221"/>
      <c r="AD232" s="221"/>
      <c r="AE232" s="221"/>
      <c r="AF232" s="221"/>
      <c r="AG232" s="188"/>
      <c r="AH232" s="188"/>
    </row>
    <row r="233" spans="1:34">
      <c r="A233" s="222">
        <v>228</v>
      </c>
      <c r="B233" s="223"/>
      <c r="C233" s="192"/>
      <c r="D233" s="205"/>
      <c r="E233" s="188"/>
      <c r="F233" s="223"/>
      <c r="G233" s="223"/>
      <c r="H233" s="187"/>
      <c r="I233" s="187"/>
      <c r="J233" s="187"/>
      <c r="K233" s="189"/>
      <c r="L233" s="190"/>
      <c r="M233" s="187"/>
      <c r="N233" s="191"/>
      <c r="O233" s="191"/>
      <c r="P233" s="191"/>
      <c r="Q233" s="191"/>
      <c r="R233" s="190"/>
      <c r="S233" s="189"/>
      <c r="T233" s="189"/>
      <c r="U233" s="191"/>
      <c r="V233" s="214"/>
      <c r="W233" s="192"/>
      <c r="X233" s="192"/>
      <c r="Y233" s="192"/>
      <c r="Z233" s="192"/>
      <c r="AA233" s="192"/>
      <c r="AB233" s="221"/>
      <c r="AC233" s="221"/>
      <c r="AD233" s="221"/>
      <c r="AE233" s="221"/>
      <c r="AF233" s="221"/>
      <c r="AG233" s="188"/>
      <c r="AH233" s="188"/>
    </row>
    <row r="234" spans="1:34">
      <c r="A234" s="222">
        <v>229</v>
      </c>
      <c r="B234" s="223"/>
      <c r="C234" s="192"/>
      <c r="D234" s="205"/>
      <c r="E234" s="188"/>
      <c r="F234" s="223"/>
      <c r="G234" s="223"/>
      <c r="H234" s="187"/>
      <c r="I234" s="187"/>
      <c r="J234" s="187"/>
      <c r="K234" s="189"/>
      <c r="L234" s="190"/>
      <c r="M234" s="187"/>
      <c r="N234" s="191"/>
      <c r="O234" s="191"/>
      <c r="P234" s="191"/>
      <c r="Q234" s="191"/>
      <c r="R234" s="190"/>
      <c r="S234" s="189"/>
      <c r="T234" s="189"/>
      <c r="U234" s="191"/>
      <c r="V234" s="214"/>
      <c r="W234" s="192"/>
      <c r="X234" s="192"/>
      <c r="Y234" s="192"/>
      <c r="Z234" s="192"/>
      <c r="AA234" s="192"/>
      <c r="AB234" s="221"/>
      <c r="AC234" s="221"/>
      <c r="AD234" s="221"/>
      <c r="AE234" s="221"/>
      <c r="AF234" s="221"/>
      <c r="AG234" s="188"/>
      <c r="AH234" s="188"/>
    </row>
    <row r="235" spans="1:34">
      <c r="A235" s="222">
        <v>230</v>
      </c>
      <c r="B235" s="223"/>
      <c r="C235" s="192"/>
      <c r="D235" s="205"/>
      <c r="E235" s="188"/>
      <c r="F235" s="223"/>
      <c r="G235" s="223"/>
      <c r="H235" s="187"/>
      <c r="I235" s="187"/>
      <c r="J235" s="187"/>
      <c r="K235" s="189"/>
      <c r="L235" s="190"/>
      <c r="M235" s="187"/>
      <c r="N235" s="191"/>
      <c r="O235" s="191"/>
      <c r="P235" s="191"/>
      <c r="Q235" s="191"/>
      <c r="R235" s="190"/>
      <c r="S235" s="189"/>
      <c r="T235" s="189"/>
      <c r="U235" s="191"/>
      <c r="V235" s="214"/>
      <c r="W235" s="192"/>
      <c r="X235" s="192"/>
      <c r="Y235" s="192"/>
      <c r="Z235" s="192"/>
      <c r="AA235" s="192"/>
      <c r="AB235" s="221"/>
      <c r="AC235" s="221"/>
      <c r="AD235" s="221"/>
      <c r="AE235" s="221"/>
      <c r="AF235" s="221"/>
      <c r="AG235" s="188"/>
      <c r="AH235" s="188"/>
    </row>
    <row r="236" spans="1:34">
      <c r="R236" s="160"/>
      <c r="S236" s="218"/>
      <c r="T236" s="218"/>
      <c r="U236" s="112"/>
      <c r="V236" s="215"/>
      <c r="W236" s="154"/>
      <c r="X236" s="151"/>
      <c r="Y236" s="154"/>
      <c r="Z236" s="154"/>
      <c r="AB236" s="215"/>
      <c r="AC236" s="215"/>
      <c r="AD236" s="215"/>
      <c r="AE236" s="215"/>
      <c r="AF236" s="215"/>
      <c r="AG236" s="111"/>
    </row>
    <row r="237" spans="1:34">
      <c r="R237" s="160"/>
      <c r="S237" s="218"/>
      <c r="T237" s="218"/>
      <c r="U237" s="112"/>
      <c r="V237" s="215"/>
      <c r="W237" s="154"/>
      <c r="X237" s="151"/>
      <c r="Y237" s="154"/>
      <c r="Z237" s="154"/>
      <c r="AB237" s="215"/>
      <c r="AC237" s="215"/>
      <c r="AD237" s="215"/>
      <c r="AE237" s="215"/>
      <c r="AF237" s="215"/>
      <c r="AG237" s="111"/>
    </row>
    <row r="238" spans="1:34">
      <c r="R238" s="160"/>
      <c r="S238" s="218"/>
      <c r="T238" s="218"/>
      <c r="U238" s="112"/>
      <c r="V238" s="215"/>
      <c r="W238" s="154"/>
      <c r="X238" s="151"/>
      <c r="Y238" s="154"/>
      <c r="Z238" s="154"/>
      <c r="AB238" s="215"/>
      <c r="AC238" s="215"/>
      <c r="AD238" s="215"/>
      <c r="AE238" s="215"/>
      <c r="AF238" s="215"/>
      <c r="AG238" s="111"/>
    </row>
    <row r="239" spans="1:34">
      <c r="R239" s="160"/>
      <c r="S239" s="218"/>
      <c r="T239" s="218"/>
      <c r="U239" s="112"/>
      <c r="V239" s="215"/>
      <c r="W239" s="154"/>
      <c r="X239" s="151"/>
      <c r="Y239" s="154"/>
      <c r="Z239" s="154"/>
      <c r="AB239" s="215"/>
      <c r="AC239" s="215"/>
      <c r="AD239" s="215"/>
      <c r="AE239" s="215"/>
      <c r="AF239" s="215"/>
      <c r="AG239" s="111"/>
    </row>
    <row r="240" spans="1:34">
      <c r="R240" s="160"/>
      <c r="S240" s="218"/>
      <c r="T240" s="218"/>
      <c r="U240" s="112"/>
      <c r="V240" s="215"/>
      <c r="W240" s="154"/>
      <c r="X240" s="151"/>
      <c r="Y240" s="154"/>
      <c r="Z240" s="154"/>
      <c r="AB240" s="215"/>
      <c r="AC240" s="215"/>
      <c r="AD240" s="215"/>
      <c r="AE240" s="215"/>
      <c r="AF240" s="215"/>
      <c r="AG240" s="111"/>
    </row>
    <row r="241" spans="18:33">
      <c r="R241" s="160"/>
      <c r="S241" s="218"/>
      <c r="T241" s="218"/>
      <c r="U241" s="112"/>
      <c r="V241" s="215"/>
      <c r="W241" s="154"/>
      <c r="X241" s="151"/>
      <c r="Y241" s="154"/>
      <c r="Z241" s="154"/>
      <c r="AB241" s="215"/>
      <c r="AC241" s="215"/>
      <c r="AD241" s="215"/>
      <c r="AE241" s="215"/>
      <c r="AF241" s="215"/>
      <c r="AG241" s="111"/>
    </row>
    <row r="242" spans="18:33">
      <c r="R242" s="160"/>
      <c r="S242" s="218"/>
      <c r="T242" s="218"/>
      <c r="U242" s="112"/>
      <c r="V242" s="215"/>
      <c r="W242" s="154"/>
      <c r="X242" s="151"/>
      <c r="Y242" s="154"/>
      <c r="Z242" s="154"/>
      <c r="AB242" s="215"/>
      <c r="AC242" s="215"/>
      <c r="AD242" s="215"/>
      <c r="AE242" s="215"/>
      <c r="AF242" s="215"/>
      <c r="AG242" s="111"/>
    </row>
    <row r="243" spans="18:33">
      <c r="R243" s="160"/>
      <c r="S243" s="218"/>
      <c r="T243" s="218"/>
      <c r="U243" s="112"/>
      <c r="V243" s="215"/>
      <c r="W243" s="154"/>
      <c r="X243" s="151"/>
      <c r="Y243" s="154"/>
      <c r="Z243" s="154"/>
      <c r="AB243" s="215"/>
      <c r="AC243" s="215"/>
      <c r="AD243" s="215"/>
      <c r="AE243" s="215"/>
      <c r="AF243" s="215"/>
      <c r="AG243" s="111"/>
    </row>
    <row r="244" spans="18:33">
      <c r="R244" s="160"/>
      <c r="S244" s="218"/>
      <c r="T244" s="218"/>
      <c r="U244" s="112"/>
      <c r="V244" s="215"/>
      <c r="W244" s="154"/>
      <c r="X244" s="151"/>
      <c r="Y244" s="154"/>
      <c r="Z244" s="154"/>
      <c r="AB244" s="215"/>
      <c r="AC244" s="215"/>
      <c r="AD244" s="215"/>
      <c r="AE244" s="215"/>
      <c r="AF244" s="215"/>
      <c r="AG244" s="111"/>
    </row>
    <row r="245" spans="18:33">
      <c r="R245" s="160"/>
      <c r="S245" s="218"/>
      <c r="T245" s="218"/>
      <c r="U245" s="112"/>
      <c r="V245" s="215"/>
      <c r="W245" s="154"/>
      <c r="X245" s="151"/>
      <c r="Y245" s="154"/>
      <c r="Z245" s="154"/>
      <c r="AB245" s="215"/>
      <c r="AC245" s="215"/>
      <c r="AD245" s="215"/>
      <c r="AE245" s="215"/>
      <c r="AF245" s="215"/>
      <c r="AG245" s="111"/>
    </row>
    <row r="246" spans="18:33">
      <c r="R246" s="160"/>
      <c r="S246" s="218"/>
      <c r="T246" s="218"/>
      <c r="U246" s="112"/>
      <c r="V246" s="215"/>
      <c r="W246" s="154"/>
      <c r="X246" s="151"/>
      <c r="Y246" s="154"/>
      <c r="Z246" s="154"/>
      <c r="AB246" s="215"/>
      <c r="AC246" s="215"/>
      <c r="AD246" s="215"/>
      <c r="AE246" s="215"/>
      <c r="AF246" s="215"/>
      <c r="AG246" s="111"/>
    </row>
    <row r="247" spans="18:33">
      <c r="R247" s="160"/>
      <c r="S247" s="218"/>
      <c r="T247" s="218"/>
      <c r="U247" s="112"/>
      <c r="V247" s="215"/>
      <c r="W247" s="154"/>
      <c r="X247" s="151"/>
      <c r="Y247" s="154"/>
      <c r="Z247" s="154"/>
      <c r="AB247" s="215"/>
      <c r="AC247" s="215"/>
      <c r="AD247" s="215"/>
      <c r="AE247" s="215"/>
      <c r="AF247" s="215"/>
      <c r="AG247" s="111"/>
    </row>
    <row r="248" spans="18:33">
      <c r="R248" s="160"/>
      <c r="S248" s="218"/>
      <c r="T248" s="218"/>
      <c r="U248" s="112"/>
      <c r="V248" s="215"/>
      <c r="W248" s="154"/>
      <c r="X248" s="151"/>
      <c r="Y248" s="154"/>
      <c r="Z248" s="154"/>
      <c r="AB248" s="215"/>
      <c r="AC248" s="215"/>
      <c r="AD248" s="215"/>
      <c r="AE248" s="215"/>
      <c r="AF248" s="215"/>
      <c r="AG248" s="111"/>
    </row>
    <row r="249" spans="18:33">
      <c r="R249" s="160"/>
      <c r="S249" s="218"/>
      <c r="T249" s="218"/>
      <c r="U249" s="112"/>
      <c r="V249" s="215"/>
      <c r="W249" s="154"/>
      <c r="X249" s="151"/>
      <c r="Y249" s="154"/>
      <c r="Z249" s="154"/>
      <c r="AB249" s="215"/>
      <c r="AC249" s="215"/>
      <c r="AD249" s="215"/>
      <c r="AE249" s="215"/>
      <c r="AF249" s="215"/>
      <c r="AG249" s="111"/>
    </row>
    <row r="250" spans="18:33">
      <c r="R250" s="160"/>
      <c r="S250" s="218"/>
      <c r="T250" s="218"/>
      <c r="U250" s="112"/>
      <c r="V250" s="215"/>
      <c r="W250" s="154"/>
      <c r="X250" s="151"/>
      <c r="Y250" s="154"/>
      <c r="Z250" s="154"/>
      <c r="AB250" s="215"/>
      <c r="AC250" s="215"/>
      <c r="AD250" s="215"/>
      <c r="AE250" s="215"/>
      <c r="AF250" s="215"/>
      <c r="AG250" s="111"/>
    </row>
    <row r="251" spans="18:33">
      <c r="R251" s="160"/>
      <c r="S251" s="218"/>
      <c r="T251" s="218"/>
      <c r="U251" s="112"/>
      <c r="V251" s="215"/>
      <c r="W251" s="154"/>
      <c r="X251" s="151"/>
      <c r="Y251" s="154"/>
      <c r="Z251" s="154"/>
      <c r="AB251" s="215"/>
      <c r="AC251" s="215"/>
      <c r="AD251" s="215"/>
      <c r="AE251" s="215"/>
      <c r="AF251" s="215"/>
      <c r="AG251" s="111"/>
    </row>
    <row r="252" spans="18:33">
      <c r="R252" s="160"/>
      <c r="S252" s="218"/>
      <c r="T252" s="218"/>
      <c r="U252" s="112"/>
      <c r="V252" s="215"/>
      <c r="W252" s="154"/>
      <c r="X252" s="151"/>
      <c r="Y252" s="154"/>
      <c r="Z252" s="154"/>
      <c r="AB252" s="215"/>
      <c r="AC252" s="215"/>
      <c r="AD252" s="215"/>
      <c r="AE252" s="215"/>
      <c r="AF252" s="215"/>
      <c r="AG252" s="111"/>
    </row>
    <row r="253" spans="18:33">
      <c r="R253" s="160"/>
      <c r="S253" s="218"/>
      <c r="T253" s="218"/>
      <c r="U253" s="112"/>
      <c r="V253" s="215"/>
      <c r="W253" s="154"/>
      <c r="X253" s="151"/>
      <c r="Y253" s="154"/>
      <c r="Z253" s="154"/>
      <c r="AB253" s="215"/>
      <c r="AC253" s="215"/>
      <c r="AD253" s="215"/>
      <c r="AE253" s="215"/>
      <c r="AF253" s="215"/>
      <c r="AG253" s="111"/>
    </row>
    <row r="254" spans="18:33">
      <c r="R254" s="160"/>
      <c r="S254" s="218"/>
      <c r="T254" s="218"/>
      <c r="U254" s="112"/>
      <c r="V254" s="215"/>
      <c r="W254" s="154"/>
      <c r="X254" s="151"/>
      <c r="Y254" s="154"/>
      <c r="Z254" s="154"/>
      <c r="AB254" s="215"/>
      <c r="AC254" s="215"/>
      <c r="AD254" s="215"/>
      <c r="AE254" s="215"/>
      <c r="AF254" s="215"/>
      <c r="AG254" s="111"/>
    </row>
    <row r="255" spans="18:33">
      <c r="R255" s="160"/>
      <c r="S255" s="218"/>
      <c r="T255" s="218"/>
      <c r="U255" s="112"/>
      <c r="V255" s="215"/>
      <c r="W255" s="154"/>
      <c r="X255" s="151"/>
      <c r="Y255" s="154"/>
      <c r="Z255" s="154"/>
      <c r="AB255" s="215"/>
      <c r="AC255" s="215"/>
      <c r="AD255" s="215"/>
      <c r="AE255" s="215"/>
      <c r="AF255" s="215"/>
      <c r="AG255" s="111"/>
    </row>
  </sheetData>
  <sortState ref="B7:AI306">
    <sortCondition ref="AI6"/>
  </sortState>
  <mergeCells count="28"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</mergeCells>
  <dataValidations disablePrompts="1"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Y1517"/>
  <sheetViews>
    <sheetView showGridLines="0" showZeros="0" tabSelected="1" zoomScale="85" zoomScaleNormal="85" workbookViewId="0">
      <pane ySplit="1" topLeftCell="A54" activePane="bottomLeft" state="frozen"/>
      <selection activeCell="C13" sqref="C13"/>
      <selection pane="bottomLeft" activeCell="S66" sqref="S66"/>
    </sheetView>
  </sheetViews>
  <sheetFormatPr defaultColWidth="11.5703125" defaultRowHeight="12.75"/>
  <cols>
    <col min="1" max="1" width="3.85546875" style="131" customWidth="1"/>
    <col min="2" max="2" width="14.5703125" style="6" customWidth="1"/>
    <col min="3" max="3" width="10.7109375" style="6" customWidth="1"/>
    <col min="4" max="4" width="12.42578125" style="132" customWidth="1"/>
    <col min="5" max="6" width="12.85546875" style="377" customWidth="1"/>
    <col min="7" max="7" width="10.7109375" style="377" customWidth="1"/>
    <col min="8" max="8" width="2.7109375" style="6" customWidth="1"/>
    <col min="9" max="17" width="2.7109375" style="139" customWidth="1"/>
    <col min="18" max="18" width="3.85546875" style="139" customWidth="1"/>
    <col min="19" max="19" width="14.7109375" style="6" customWidth="1"/>
    <col min="20" max="20" width="23.7109375" style="6" customWidth="1"/>
    <col min="21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96" t="s">
        <v>205</v>
      </c>
      <c r="B1" s="496"/>
      <c r="C1" s="496"/>
      <c r="D1" s="496"/>
      <c r="E1" s="496"/>
      <c r="F1" s="496"/>
      <c r="G1" s="496"/>
      <c r="H1" s="496"/>
      <c r="I1" s="496"/>
      <c r="J1" s="496"/>
      <c r="K1" s="496"/>
      <c r="L1" s="496"/>
      <c r="M1" s="496"/>
      <c r="N1" s="496"/>
      <c r="O1" s="496"/>
      <c r="P1" s="496"/>
      <c r="Q1" s="496"/>
      <c r="R1" s="496"/>
      <c r="U1" s="226" t="s">
        <v>554</v>
      </c>
    </row>
    <row r="2" spans="1:21" ht="17.25" customHeight="1">
      <c r="A2" s="140"/>
      <c r="B2" s="475" t="s">
        <v>206</v>
      </c>
      <c r="C2" s="475"/>
      <c r="D2" s="475"/>
      <c r="E2" s="135"/>
      <c r="F2" s="135"/>
      <c r="G2" s="135"/>
      <c r="H2" s="226"/>
      <c r="I2" s="137"/>
      <c r="J2" s="137"/>
      <c r="K2" s="137"/>
      <c r="L2" s="137"/>
      <c r="M2" s="137"/>
      <c r="N2" s="137"/>
      <c r="O2" s="137"/>
      <c r="P2" s="137"/>
      <c r="Q2" s="137"/>
      <c r="R2" s="137"/>
    </row>
    <row r="3" spans="1:21" ht="17.25" customHeight="1">
      <c r="A3" s="140"/>
      <c r="B3" s="237" t="s">
        <v>251</v>
      </c>
      <c r="C3" s="475" t="s">
        <v>508</v>
      </c>
      <c r="D3" s="475"/>
      <c r="F3" s="374" t="s">
        <v>207</v>
      </c>
      <c r="G3" s="379"/>
      <c r="H3" s="211" t="str">
        <f>MID(U3,1,1)</f>
        <v>9</v>
      </c>
      <c r="I3" s="211" t="str">
        <f>MID(U3,2,1)</f>
        <v>2</v>
      </c>
      <c r="J3" s="211" t="str">
        <f>MID(U3,3,1)</f>
        <v>0</v>
      </c>
      <c r="K3" s="211" t="str">
        <f>MID(U3,4,1)</f>
        <v>0</v>
      </c>
      <c r="L3" s="211" t="str">
        <f>MID(U3,5,1)</f>
        <v>1</v>
      </c>
      <c r="M3" s="211" t="str">
        <f>MID(U3,6,1)</f>
        <v>6</v>
      </c>
      <c r="N3" s="371"/>
      <c r="O3" s="211" t="s">
        <v>505</v>
      </c>
      <c r="P3" s="211" t="s">
        <v>506</v>
      </c>
      <c r="Q3" s="211" t="s">
        <v>507</v>
      </c>
      <c r="R3" s="371"/>
      <c r="T3" s="136" t="s">
        <v>207</v>
      </c>
      <c r="U3" s="210">
        <f>IF($D$15="","",INDEX(DSDV!$B$7:$B$216,MATCH($D$15,DSDV!$G$7:$G$216,0)))</f>
        <v>920016</v>
      </c>
    </row>
    <row r="4" spans="1:21" ht="17.25" customHeight="1">
      <c r="A4" s="140"/>
      <c r="B4" s="476" t="s">
        <v>210</v>
      </c>
      <c r="C4" s="476"/>
      <c r="D4" s="476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6" t="s">
        <v>208</v>
      </c>
      <c r="U4" s="144">
        <f>IF($D$15="","",INDEX(DSDV!$C$7:$C$216,MATCH($D$15,DSDV!$G$7:$G$216,0)))</f>
        <v>77194808</v>
      </c>
    </row>
    <row r="5" spans="1:21" ht="17.25" customHeight="1">
      <c r="A5" s="140"/>
      <c r="B5" s="237" t="s">
        <v>251</v>
      </c>
      <c r="C5" s="475"/>
      <c r="D5" s="475"/>
      <c r="F5" s="479" t="s">
        <v>208</v>
      </c>
      <c r="G5" s="479"/>
      <c r="I5" s="211" t="str">
        <f>MID(U4,1,1)</f>
        <v>7</v>
      </c>
      <c r="J5" s="211" t="str">
        <f>MID(U4,2,1)</f>
        <v>7</v>
      </c>
      <c r="K5" s="379"/>
      <c r="L5" s="211" t="str">
        <f>MID(U4,3,1)</f>
        <v>1</v>
      </c>
      <c r="M5" s="211" t="str">
        <f>MID(U4,4,1)</f>
        <v>9</v>
      </c>
      <c r="N5" s="211" t="str">
        <f>MID(U4,5,1)</f>
        <v>4</v>
      </c>
      <c r="O5" s="211" t="str">
        <f>MID(U4,6,1)</f>
        <v>8</v>
      </c>
      <c r="P5" s="211" t="str">
        <f>MID(U4,7,1)</f>
        <v>0</v>
      </c>
      <c r="Q5" s="211" t="str">
        <f>MID(U4,8,1)</f>
        <v>8</v>
      </c>
      <c r="R5" s="237"/>
    </row>
    <row r="6" spans="1:21" ht="17.25" customHeight="1">
      <c r="A6" s="140" t="s">
        <v>209</v>
      </c>
      <c r="B6" s="476" t="s">
        <v>211</v>
      </c>
      <c r="C6" s="476"/>
      <c r="D6" s="476"/>
      <c r="E6" s="135"/>
      <c r="F6" s="135"/>
      <c r="G6" s="135"/>
      <c r="H6" s="135"/>
      <c r="I6" s="137"/>
      <c r="J6" s="137"/>
      <c r="K6" s="137"/>
      <c r="L6" s="137"/>
      <c r="M6" s="137"/>
      <c r="N6" s="137"/>
      <c r="O6" s="137"/>
      <c r="P6" s="137"/>
      <c r="Q6" s="137"/>
      <c r="R6" s="137"/>
    </row>
    <row r="7" spans="1:21" ht="17.25" customHeight="1">
      <c r="A7" s="140"/>
      <c r="B7" s="476" t="s">
        <v>212</v>
      </c>
      <c r="C7" s="476"/>
      <c r="D7" s="476"/>
      <c r="E7" s="135"/>
      <c r="F7" s="135"/>
      <c r="G7" s="135"/>
      <c r="H7" s="135"/>
      <c r="I7" s="137"/>
      <c r="J7" s="137"/>
      <c r="K7" s="137"/>
      <c r="L7" s="137"/>
      <c r="M7" s="137"/>
      <c r="N7" s="137"/>
      <c r="O7" s="137"/>
      <c r="P7" s="137"/>
      <c r="Q7" s="137"/>
      <c r="R7" s="137"/>
    </row>
    <row r="8" spans="1:21" ht="17.25" customHeight="1">
      <c r="A8" s="140"/>
      <c r="B8" s="237" t="str">
        <f>IF($D$15="","",VLOOKUP($D$15,Bang_DSDV,17,0))</f>
        <v>CỤC CHÍNH TRỊ</v>
      </c>
      <c r="C8" s="237"/>
      <c r="D8" s="237"/>
      <c r="E8" s="135"/>
      <c r="F8" s="135"/>
      <c r="G8" s="135"/>
      <c r="H8" s="135"/>
      <c r="I8" s="137"/>
      <c r="J8" s="137"/>
      <c r="K8" s="137"/>
      <c r="L8" s="137"/>
      <c r="M8" s="137"/>
      <c r="N8" s="137"/>
      <c r="O8" s="137"/>
      <c r="P8" s="137"/>
      <c r="Q8" s="137"/>
      <c r="R8" s="137"/>
    </row>
    <row r="9" spans="1:21" ht="17.25" customHeight="1">
      <c r="A9" s="140"/>
      <c r="B9" s="476" t="s">
        <v>213</v>
      </c>
      <c r="C9" s="476"/>
      <c r="D9" s="476"/>
      <c r="E9" s="135"/>
      <c r="F9" s="135"/>
      <c r="G9" s="135"/>
      <c r="H9" s="135"/>
      <c r="I9" s="137"/>
      <c r="J9" s="137"/>
      <c r="K9" s="137"/>
      <c r="L9" s="137"/>
      <c r="M9" s="137"/>
      <c r="N9" s="137"/>
      <c r="O9" s="137"/>
      <c r="P9" s="137"/>
      <c r="Q9" s="137"/>
      <c r="R9" s="137"/>
    </row>
    <row r="10" spans="1:21" ht="12.75" customHeight="1">
      <c r="A10" s="140"/>
      <c r="B10" s="237" t="s">
        <v>252</v>
      </c>
      <c r="C10" s="237" t="str">
        <f>IF($D$15="","",VLOOKUP($D$15,Bang_DSDV,16,0))</f>
        <v>Tổ chức</v>
      </c>
      <c r="D10" s="237"/>
      <c r="E10" s="135"/>
      <c r="F10" s="135"/>
      <c r="G10" s="135"/>
      <c r="H10" s="135"/>
      <c r="I10" s="137"/>
      <c r="J10" s="137"/>
      <c r="K10" s="137"/>
      <c r="L10" s="137"/>
      <c r="M10" s="137"/>
      <c r="N10" s="137"/>
      <c r="O10" s="137"/>
      <c r="P10" s="137"/>
      <c r="Q10" s="137"/>
      <c r="R10" s="137"/>
    </row>
    <row r="11" spans="1:21" ht="30" customHeight="1">
      <c r="B11" s="480" t="s">
        <v>177</v>
      </c>
      <c r="C11" s="480"/>
      <c r="D11" s="480"/>
      <c r="E11" s="480"/>
      <c r="F11" s="480"/>
      <c r="G11" s="480"/>
      <c r="H11" s="480"/>
      <c r="I11" s="480"/>
      <c r="J11" s="480"/>
      <c r="K11" s="480"/>
      <c r="L11" s="480"/>
      <c r="M11" s="480"/>
      <c r="N11" s="480"/>
      <c r="O11" s="480"/>
      <c r="P11" s="480"/>
      <c r="Q11" s="480"/>
      <c r="R11" s="394"/>
    </row>
    <row r="12" spans="1:21" ht="30" customHeight="1">
      <c r="B12" s="480"/>
      <c r="C12" s="480"/>
      <c r="D12" s="480"/>
      <c r="E12" s="480"/>
      <c r="F12" s="480"/>
      <c r="G12" s="480"/>
      <c r="H12" s="480"/>
      <c r="I12" s="480"/>
      <c r="J12" s="480"/>
      <c r="K12" s="480"/>
      <c r="L12" s="480"/>
      <c r="M12" s="480"/>
      <c r="N12" s="480"/>
      <c r="O12" s="480"/>
      <c r="P12" s="480"/>
      <c r="Q12" s="480"/>
      <c r="R12" s="394"/>
    </row>
    <row r="13" spans="1:21" ht="15.75" customHeight="1"/>
    <row r="14" spans="1:21" s="7" customFormat="1" ht="20.25" customHeight="1">
      <c r="A14" s="63"/>
      <c r="B14" s="7" t="s">
        <v>179</v>
      </c>
      <c r="D14" s="138" t="str">
        <f>IF($D$15="","",INDEX(DSDV!$F$7:$F$216,MATCH($D$15,DSDV!$G$7:$G$216,0)))</f>
        <v>Lê Duy Nguyện</v>
      </c>
      <c r="E14" s="138"/>
      <c r="F14" s="138"/>
      <c r="G14" s="478" t="s">
        <v>722</v>
      </c>
      <c r="H14" s="478"/>
      <c r="I14" s="376" t="str">
        <f>IF($D$15="","",VLOOKUP($D$15,Bang_DSDV,2,0))</f>
        <v>Nam</v>
      </c>
      <c r="J14" s="376"/>
      <c r="K14" s="376"/>
      <c r="L14" s="376"/>
      <c r="M14" s="376"/>
      <c r="N14" s="376"/>
      <c r="O14" s="376"/>
      <c r="P14" s="376"/>
      <c r="Q14" s="376"/>
      <c r="R14" s="376"/>
      <c r="T14" s="6"/>
    </row>
    <row r="15" spans="1:21" s="7" customFormat="1" ht="18" customHeight="1">
      <c r="A15" s="63"/>
      <c r="B15" s="7" t="s">
        <v>178</v>
      </c>
      <c r="D15" s="433" t="s">
        <v>548</v>
      </c>
      <c r="E15" s="138"/>
      <c r="F15" s="138"/>
      <c r="G15" s="478" t="s">
        <v>180</v>
      </c>
      <c r="H15" s="478"/>
      <c r="I15" s="478">
        <f>IF($D$15="","",VLOOKUP($D$15,Bang_DSDV,5,0))</f>
        <v>30339</v>
      </c>
      <c r="J15" s="478"/>
      <c r="K15" s="478"/>
      <c r="L15" s="478"/>
      <c r="M15" s="478"/>
      <c r="N15" s="478"/>
      <c r="O15" s="373"/>
      <c r="P15" s="373"/>
      <c r="Q15" s="373"/>
      <c r="R15" s="373"/>
    </row>
    <row r="16" spans="1:21" s="7" customFormat="1" ht="18" customHeight="1">
      <c r="B16" s="7" t="s">
        <v>253</v>
      </c>
      <c r="D16" s="373" t="str">
        <f>IF($D$15="","",VLOOKUP($D$15,Bang_DSDV,27,0))</f>
        <v>X. Thiệu Lý, H. Thiệu Hóa, T. Thanh Hóa</v>
      </c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</row>
    <row r="17" spans="1:18" s="7" customFormat="1" ht="15.75">
      <c r="A17" s="272"/>
      <c r="B17" s="7" t="s">
        <v>181</v>
      </c>
      <c r="D17" s="380"/>
      <c r="E17" s="138"/>
      <c r="F17" s="138" t="str">
        <f>IF($D$15="","",VLOOKUP($D$15,Bang_DSDV,28,0))</f>
        <v>P407, Nhà C4, P. Nghĩa Tân, Q. Cầu Giấy, TP. Hà Nội</v>
      </c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</row>
    <row r="18" spans="1:18" s="7" customFormat="1" ht="18" customHeight="1">
      <c r="B18" s="7" t="s">
        <v>182</v>
      </c>
      <c r="C18" s="7" t="str">
        <f>IF($D$15="","",VLOOKUP($D$15,Bang_DSDV,18,0))</f>
        <v>Kinh</v>
      </c>
      <c r="E18" s="372"/>
      <c r="F18" s="372"/>
      <c r="G18" s="478" t="s">
        <v>183</v>
      </c>
      <c r="H18" s="478"/>
      <c r="I18" s="472" t="str">
        <f>IF($D$15="","",VLOOKUP($D$15,Bang_DSDV,19,0))</f>
        <v>Không</v>
      </c>
      <c r="J18" s="472"/>
      <c r="K18" s="472"/>
      <c r="L18" s="472"/>
      <c r="M18" s="376"/>
      <c r="N18" s="376"/>
      <c r="O18" s="376"/>
      <c r="P18" s="376"/>
      <c r="Q18" s="376"/>
      <c r="R18" s="376"/>
    </row>
    <row r="19" spans="1:18" s="7" customFormat="1" ht="18" customHeight="1">
      <c r="B19" s="7" t="s">
        <v>184</v>
      </c>
      <c r="C19" s="7" t="str">
        <f>IF($D$15="","",VLOOKUP($D$15,Bang_DSDV,3,0))</f>
        <v>3/CN</v>
      </c>
      <c r="E19" s="372"/>
      <c r="F19" s="372"/>
      <c r="G19" s="478" t="s">
        <v>185</v>
      </c>
      <c r="H19" s="478"/>
      <c r="I19" s="472" t="str">
        <f>IF($D$15="","",VLOOKUP($D$15,Bang_DSDV,13,0))</f>
        <v>Nhân viên</v>
      </c>
      <c r="J19" s="472"/>
      <c r="K19" s="472"/>
      <c r="L19" s="472"/>
      <c r="M19" s="376"/>
      <c r="N19" s="376"/>
      <c r="O19" s="376"/>
      <c r="P19" s="376"/>
      <c r="Q19" s="376"/>
      <c r="R19" s="376"/>
    </row>
    <row r="20" spans="1:18" s="7" customFormat="1" ht="18" customHeight="1">
      <c r="B20" s="7" t="s">
        <v>201</v>
      </c>
      <c r="D20" s="380"/>
      <c r="E20" s="372"/>
      <c r="F20" s="138" t="str">
        <f>IF($D$15="","",VLOOKUP($D$15,Bang_DSDV,4,0))</f>
        <v>QNCN</v>
      </c>
      <c r="G20" s="138"/>
      <c r="H20" s="138"/>
      <c r="I20" s="376"/>
      <c r="J20" s="376"/>
      <c r="K20" s="376"/>
      <c r="L20" s="376"/>
      <c r="M20" s="376"/>
      <c r="N20" s="376"/>
      <c r="O20" s="376"/>
      <c r="P20" s="376"/>
      <c r="Q20" s="376"/>
      <c r="R20" s="376"/>
    </row>
    <row r="21" spans="1:18" s="7" customFormat="1" ht="18" customHeight="1">
      <c r="B21" s="7" t="s">
        <v>200</v>
      </c>
      <c r="D21" s="380"/>
      <c r="E21" s="372"/>
      <c r="F21" s="134"/>
      <c r="G21" s="138" t="str">
        <f>IF($D$15="","",VLOOKUP($D$15,Bang_DSDV,26,0))</f>
        <v>Hậu cần</v>
      </c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</row>
    <row r="22" spans="1:18" s="7" customFormat="1" ht="18" customHeight="1">
      <c r="B22" s="7" t="s">
        <v>186</v>
      </c>
      <c r="D22" s="138" t="str">
        <f>IF($D$15="","",VLOOKUP($D$15,Bang_DSDV,14,0))</f>
        <v>Đảng viên</v>
      </c>
      <c r="E22" s="138"/>
      <c r="F22" s="138"/>
      <c r="G22" s="372"/>
      <c r="I22" s="376"/>
      <c r="J22" s="376"/>
      <c r="K22" s="376"/>
      <c r="L22" s="376"/>
      <c r="M22" s="376"/>
      <c r="N22" s="376"/>
      <c r="O22" s="376"/>
      <c r="P22" s="376"/>
      <c r="Q22" s="376"/>
      <c r="R22" s="376"/>
    </row>
    <row r="23" spans="1:18" s="7" customFormat="1" ht="18" customHeight="1">
      <c r="B23" s="7" t="s">
        <v>187</v>
      </c>
      <c r="D23" s="373">
        <f>IF($D$15="","",VLOOKUP($D$15,Bang_DSDV,6,0))</f>
        <v>38236</v>
      </c>
      <c r="E23" s="138"/>
      <c r="F23" s="373" t="s">
        <v>188</v>
      </c>
      <c r="G23" s="7" t="str">
        <f>IF($D$15="","",VLOOKUP($D$15,Bang_DSDV,7,0))</f>
        <v>dbộ, d901, e86, BCHH</v>
      </c>
    </row>
    <row r="24" spans="1:18" s="7" customFormat="1" ht="18" customHeight="1">
      <c r="B24" s="7" t="s">
        <v>189</v>
      </c>
      <c r="D24" s="373">
        <f>IF($D$15="","",VLOOKUP($D$15,Bang_DSDV,8,0))</f>
        <v>38601</v>
      </c>
      <c r="E24" s="138"/>
      <c r="F24" s="373" t="s">
        <v>188</v>
      </c>
      <c r="G24" s="7" t="str">
        <f>IF($D$15="","",VLOOKUP($D$15,Bang_DSDV,9,0))</f>
        <v>c11, dCMKT, TSQPH, BCHH</v>
      </c>
    </row>
    <row r="25" spans="1:18" s="7" customFormat="1" ht="18" customHeight="1">
      <c r="B25" s="7" t="s">
        <v>190</v>
      </c>
      <c r="D25" s="373">
        <f>IF($D$15="","",VLOOKUP($D$15,Bang_DSDV,10,0))</f>
        <v>37531</v>
      </c>
      <c r="E25" s="138"/>
      <c r="F25" s="474" t="s">
        <v>191</v>
      </c>
      <c r="G25" s="474"/>
      <c r="H25" s="474"/>
      <c r="I25" s="474"/>
      <c r="J25" s="477">
        <f>IF($D$15="","",VLOOKUP($D$15,Bang_DSDV,11,0))</f>
        <v>39083</v>
      </c>
      <c r="K25" s="477"/>
      <c r="L25" s="477"/>
      <c r="M25" s="477"/>
      <c r="N25" s="373"/>
      <c r="O25" s="373"/>
      <c r="P25" s="373"/>
      <c r="Q25" s="373"/>
      <c r="R25" s="373"/>
    </row>
    <row r="26" spans="1:18" s="7" customFormat="1" ht="18" customHeight="1">
      <c r="B26" s="7" t="s">
        <v>192</v>
      </c>
      <c r="D26" s="380"/>
      <c r="E26" s="372"/>
      <c r="F26" s="372">
        <f>IF($D$15="","",VLOOKUP($D$15,Bang_DSDV,12,0))</f>
        <v>0</v>
      </c>
      <c r="G26" s="372"/>
      <c r="I26" s="376"/>
      <c r="J26" s="376"/>
      <c r="K26" s="376"/>
      <c r="L26" s="376"/>
      <c r="M26" s="376"/>
      <c r="N26" s="376"/>
      <c r="O26" s="376"/>
      <c r="P26" s="376"/>
      <c r="Q26" s="376"/>
      <c r="R26" s="376"/>
    </row>
    <row r="27" spans="1:18" s="7" customFormat="1" ht="18" customHeight="1">
      <c r="B27" s="7" t="s">
        <v>214</v>
      </c>
      <c r="D27" s="477"/>
      <c r="E27" s="477"/>
      <c r="F27" s="372"/>
      <c r="G27" s="372"/>
      <c r="I27" s="376"/>
      <c r="J27" s="376"/>
      <c r="K27" s="376"/>
      <c r="L27" s="376"/>
      <c r="M27" s="376"/>
      <c r="N27" s="376"/>
      <c r="O27" s="376"/>
      <c r="P27" s="376"/>
      <c r="Q27" s="376"/>
      <c r="R27" s="376"/>
    </row>
    <row r="28" spans="1:18" s="7" customFormat="1" ht="18" customHeight="1">
      <c r="B28" s="133" t="s">
        <v>194</v>
      </c>
      <c r="D28" s="141" t="str">
        <f>IF($D$15="","",VLOOKUP($D$15,Bang_DSDV,20,0))</f>
        <v>12/12</v>
      </c>
      <c r="F28" s="470" t="s">
        <v>193</v>
      </c>
      <c r="G28" s="470"/>
      <c r="H28" s="470" t="str">
        <f>IF($D$15="","",VLOOKUP($D$15,Bang_DSDV,21,0))</f>
        <v>Trung cấp</v>
      </c>
      <c r="I28" s="470"/>
      <c r="J28" s="470"/>
      <c r="K28" s="470"/>
      <c r="L28" s="376"/>
      <c r="M28" s="376"/>
      <c r="N28" s="376"/>
      <c r="O28" s="376"/>
      <c r="P28" s="376"/>
      <c r="Q28" s="376"/>
      <c r="R28" s="376"/>
    </row>
    <row r="29" spans="1:18" s="7" customFormat="1" ht="18" customHeight="1">
      <c r="B29" s="133" t="s">
        <v>195</v>
      </c>
      <c r="D29" s="141" t="str">
        <f>IF($D$15="","",VLOOKUP($D$15,Bang_DSDV,24,0))</f>
        <v>Trung cấp</v>
      </c>
      <c r="E29" s="141"/>
      <c r="F29" s="473" t="s">
        <v>196</v>
      </c>
      <c r="G29" s="473"/>
      <c r="H29" s="471" t="str">
        <f>IF($D$15="","",VLOOKUP($D$15,Bang_DSDV,26,0))</f>
        <v>Hậu cần</v>
      </c>
      <c r="I29" s="471"/>
      <c r="J29" s="471"/>
      <c r="K29" s="471"/>
      <c r="L29" s="141"/>
      <c r="M29" s="141"/>
      <c r="N29" s="141"/>
      <c r="O29" s="141"/>
      <c r="P29" s="141"/>
      <c r="Q29" s="141"/>
      <c r="R29" s="141"/>
    </row>
    <row r="30" spans="1:18" s="7" customFormat="1" ht="18" customHeight="1">
      <c r="B30" s="7" t="s">
        <v>197</v>
      </c>
      <c r="D30" s="380"/>
      <c r="E30" s="145">
        <f>IF($D$15="","",INDEX(DSDV!$D$7:$D$216,MATCH($D$15,DSDV!$G$7:$G$216,0)))</f>
        <v>111111</v>
      </c>
      <c r="F30" s="138"/>
      <c r="G30" s="372" t="s">
        <v>198</v>
      </c>
      <c r="I30" s="470">
        <f>IF($D$15="","",INDEX(DSDV!$E$7:$E$216,MATCH($D$15,DSDV!$G$7:$G$216,0)))</f>
        <v>22222</v>
      </c>
      <c r="J30" s="470"/>
      <c r="K30" s="470"/>
      <c r="L30" s="470"/>
      <c r="M30" s="470"/>
      <c r="N30" s="376"/>
      <c r="O30" s="376"/>
      <c r="P30" s="376"/>
      <c r="Q30" s="376"/>
      <c r="R30" s="376"/>
    </row>
    <row r="31" spans="1:18" ht="18" customHeight="1">
      <c r="A31" s="6"/>
      <c r="B31" s="472" t="s">
        <v>199</v>
      </c>
      <c r="C31" s="472"/>
      <c r="D31" s="472"/>
      <c r="E31" s="472"/>
      <c r="F31" s="472"/>
      <c r="G31" s="472"/>
      <c r="H31" s="472"/>
      <c r="I31" s="472"/>
      <c r="J31" s="472"/>
      <c r="K31" s="472"/>
      <c r="L31" s="472"/>
      <c r="M31" s="472"/>
      <c r="N31" s="472"/>
      <c r="O31" s="472"/>
      <c r="P31" s="472"/>
      <c r="Q31" s="472"/>
      <c r="R31" s="376"/>
    </row>
    <row r="32" spans="1:18" ht="7.5" customHeight="1">
      <c r="A32" s="6"/>
    </row>
    <row r="33" spans="1:18" ht="18" customHeight="1">
      <c r="A33" s="6"/>
      <c r="B33" s="469" t="s">
        <v>165</v>
      </c>
      <c r="C33" s="469"/>
      <c r="D33" s="468" t="s">
        <v>203</v>
      </c>
      <c r="E33" s="468"/>
      <c r="F33" s="468"/>
      <c r="G33" s="468"/>
      <c r="H33" s="469" t="s">
        <v>204</v>
      </c>
      <c r="I33" s="469"/>
      <c r="J33" s="469"/>
      <c r="K33" s="469"/>
      <c r="L33" s="469"/>
      <c r="M33" s="469"/>
      <c r="N33" s="469"/>
      <c r="O33" s="469"/>
      <c r="P33" s="469"/>
      <c r="Q33" s="469"/>
      <c r="R33" s="7"/>
    </row>
    <row r="34" spans="1:18" ht="18" customHeight="1">
      <c r="A34" s="6"/>
      <c r="B34" s="369" t="s">
        <v>166</v>
      </c>
      <c r="C34" s="369" t="s">
        <v>202</v>
      </c>
      <c r="D34" s="468"/>
      <c r="E34" s="468"/>
      <c r="F34" s="468"/>
      <c r="G34" s="468"/>
      <c r="H34" s="469"/>
      <c r="I34" s="469"/>
      <c r="J34" s="469"/>
      <c r="K34" s="469"/>
      <c r="L34" s="469"/>
      <c r="M34" s="469"/>
      <c r="N34" s="469"/>
      <c r="O34" s="469"/>
      <c r="P34" s="469"/>
      <c r="Q34" s="469"/>
      <c r="R34" s="7"/>
    </row>
    <row r="35" spans="1:18" ht="31.5">
      <c r="A35" s="6"/>
      <c r="B35" s="370" t="s">
        <v>555</v>
      </c>
      <c r="C35" s="370" t="s">
        <v>556</v>
      </c>
      <c r="D35" s="423" t="s">
        <v>557</v>
      </c>
      <c r="E35" s="424"/>
      <c r="F35" s="424"/>
      <c r="G35" s="425"/>
      <c r="H35" s="487">
        <v>0</v>
      </c>
      <c r="I35" s="488"/>
      <c r="J35" s="488"/>
      <c r="K35" s="488"/>
      <c r="L35" s="488"/>
      <c r="M35" s="488"/>
      <c r="N35" s="488"/>
      <c r="O35" s="488"/>
      <c r="P35" s="488"/>
      <c r="Q35" s="488"/>
      <c r="R35" s="201"/>
    </row>
    <row r="36" spans="1:18" s="388" customFormat="1" ht="15.75">
      <c r="B36" s="406" t="s">
        <v>558</v>
      </c>
      <c r="C36" s="406" t="s">
        <v>559</v>
      </c>
      <c r="D36" s="423" t="s">
        <v>560</v>
      </c>
      <c r="E36" s="424"/>
      <c r="F36" s="424"/>
      <c r="G36" s="425"/>
      <c r="H36" s="490" t="s">
        <v>135</v>
      </c>
      <c r="I36" s="491"/>
      <c r="J36" s="491"/>
      <c r="K36" s="491"/>
      <c r="L36" s="491"/>
      <c r="M36" s="491"/>
      <c r="N36" s="491"/>
      <c r="O36" s="491"/>
      <c r="P36" s="491"/>
      <c r="Q36" s="491"/>
      <c r="R36" s="407"/>
    </row>
    <row r="37" spans="1:18" ht="31.5">
      <c r="A37" s="6"/>
      <c r="B37" s="283" t="s">
        <v>559</v>
      </c>
      <c r="C37" s="283" t="s">
        <v>563</v>
      </c>
      <c r="D37" s="423" t="s">
        <v>564</v>
      </c>
      <c r="E37" s="424"/>
      <c r="F37" s="424"/>
      <c r="G37" s="425"/>
      <c r="H37" s="487" t="s">
        <v>135</v>
      </c>
      <c r="I37" s="488"/>
      <c r="J37" s="488"/>
      <c r="K37" s="488"/>
      <c r="L37" s="488"/>
      <c r="M37" s="488"/>
      <c r="N37" s="488"/>
      <c r="O37" s="488"/>
      <c r="P37" s="488"/>
      <c r="Q37" s="488"/>
      <c r="R37" s="395"/>
    </row>
    <row r="38" spans="1:18" ht="31.5">
      <c r="A38" s="6"/>
      <c r="B38" s="283" t="s">
        <v>568</v>
      </c>
      <c r="C38" s="283" t="s">
        <v>569</v>
      </c>
      <c r="D38" s="423" t="s">
        <v>570</v>
      </c>
      <c r="E38" s="424"/>
      <c r="F38" s="424"/>
      <c r="G38" s="425"/>
      <c r="H38" s="487" t="s">
        <v>135</v>
      </c>
      <c r="I38" s="488"/>
      <c r="J38" s="488"/>
      <c r="K38" s="488"/>
      <c r="L38" s="488"/>
      <c r="M38" s="488"/>
      <c r="N38" s="488"/>
      <c r="O38" s="488"/>
      <c r="P38" s="488"/>
      <c r="Q38" s="488"/>
      <c r="R38" s="395"/>
    </row>
    <row r="39" spans="1:18" ht="15.75">
      <c r="A39" s="6"/>
      <c r="B39" s="283" t="s">
        <v>651</v>
      </c>
      <c r="C39" s="283" t="s">
        <v>652</v>
      </c>
      <c r="D39" s="423" t="s">
        <v>653</v>
      </c>
      <c r="E39" s="424"/>
      <c r="F39" s="424"/>
      <c r="G39" s="425"/>
      <c r="H39" s="487" t="s">
        <v>133</v>
      </c>
      <c r="I39" s="488"/>
      <c r="J39" s="488"/>
      <c r="K39" s="488"/>
      <c r="L39" s="488"/>
      <c r="M39" s="488"/>
      <c r="N39" s="488"/>
      <c r="O39" s="488"/>
      <c r="P39" s="488"/>
      <c r="Q39" s="488"/>
      <c r="R39" s="395"/>
    </row>
    <row r="40" spans="1:18" ht="31.5">
      <c r="A40" s="6"/>
      <c r="B40" s="283" t="s">
        <v>565</v>
      </c>
      <c r="C40" s="283" t="s">
        <v>566</v>
      </c>
      <c r="D40" s="423" t="s">
        <v>567</v>
      </c>
      <c r="E40" s="424"/>
      <c r="F40" s="424"/>
      <c r="G40" s="425"/>
      <c r="H40" s="487" t="s">
        <v>135</v>
      </c>
      <c r="I40" s="488"/>
      <c r="J40" s="488"/>
      <c r="K40" s="488"/>
      <c r="L40" s="488"/>
      <c r="M40" s="488"/>
      <c r="N40" s="488"/>
      <c r="O40" s="488"/>
      <c r="P40" s="488"/>
      <c r="Q40" s="488"/>
      <c r="R40" s="395"/>
    </row>
    <row r="41" spans="1:18" ht="15.75">
      <c r="A41" s="6"/>
      <c r="B41" s="283"/>
      <c r="C41" s="422"/>
      <c r="D41" s="423"/>
      <c r="E41" s="424"/>
      <c r="F41" s="424"/>
      <c r="G41" s="425"/>
      <c r="H41" s="489"/>
      <c r="I41" s="488"/>
      <c r="J41" s="488"/>
      <c r="K41" s="488"/>
      <c r="L41" s="488"/>
      <c r="M41" s="488"/>
      <c r="N41" s="488"/>
      <c r="O41" s="488"/>
      <c r="P41" s="488"/>
      <c r="Q41" s="488"/>
      <c r="R41" s="395"/>
    </row>
    <row r="42" spans="1:18" ht="15.75">
      <c r="A42" s="6"/>
      <c r="B42" s="284"/>
      <c r="C42" s="284"/>
      <c r="D42" s="423"/>
      <c r="E42" s="424"/>
      <c r="F42" s="424"/>
      <c r="G42" s="425"/>
      <c r="H42" s="498"/>
      <c r="I42" s="498"/>
      <c r="J42" s="498"/>
      <c r="K42" s="498"/>
      <c r="L42" s="498"/>
      <c r="M42" s="498"/>
      <c r="N42" s="498"/>
      <c r="O42" s="498"/>
      <c r="P42" s="498"/>
      <c r="Q42" s="498"/>
      <c r="R42" s="395"/>
    </row>
    <row r="43" spans="1:18" ht="18" customHeight="1">
      <c r="A43" s="6"/>
      <c r="B43" s="392"/>
      <c r="C43" s="392"/>
      <c r="D43" s="393"/>
      <c r="E43" s="390"/>
      <c r="F43" s="390"/>
      <c r="G43" s="390"/>
      <c r="H43" s="388"/>
      <c r="I43" s="391"/>
      <c r="J43" s="391"/>
      <c r="K43" s="391"/>
      <c r="L43" s="391"/>
      <c r="M43" s="391"/>
      <c r="N43" s="391"/>
      <c r="O43" s="391"/>
      <c r="P43" s="391"/>
      <c r="Q43" s="391"/>
    </row>
    <row r="44" spans="1:18" ht="18" customHeight="1">
      <c r="A44" s="6"/>
      <c r="B44" s="493" t="s">
        <v>620</v>
      </c>
      <c r="C44" s="493"/>
      <c r="D44" s="493"/>
      <c r="E44" s="493"/>
      <c r="F44" s="493"/>
      <c r="G44" s="493"/>
      <c r="H44" s="493"/>
      <c r="I44" s="493"/>
      <c r="J44" s="493"/>
      <c r="K44" s="493"/>
      <c r="L44" s="493"/>
      <c r="M44" s="493"/>
      <c r="N44" s="493"/>
      <c r="O44" s="493"/>
      <c r="P44" s="493"/>
      <c r="Q44" s="493"/>
      <c r="R44" s="396"/>
    </row>
    <row r="45" spans="1:18" ht="18" customHeight="1">
      <c r="A45" s="6"/>
      <c r="B45" s="493"/>
      <c r="C45" s="493"/>
      <c r="D45" s="493"/>
      <c r="E45" s="493"/>
      <c r="F45" s="493"/>
      <c r="G45" s="493"/>
      <c r="H45" s="493"/>
      <c r="I45" s="493"/>
      <c r="J45" s="493"/>
      <c r="K45" s="493"/>
      <c r="L45" s="493"/>
      <c r="M45" s="493"/>
      <c r="N45" s="493"/>
      <c r="O45" s="493"/>
      <c r="P45" s="493"/>
      <c r="Q45" s="493"/>
      <c r="R45" s="396"/>
    </row>
    <row r="46" spans="1:18" ht="18" customHeight="1">
      <c r="A46" s="6"/>
      <c r="B46" s="229"/>
      <c r="C46" s="397"/>
      <c r="D46" s="397"/>
      <c r="E46" s="397"/>
      <c r="F46" s="397"/>
      <c r="G46" s="397"/>
      <c r="H46" s="397"/>
    </row>
    <row r="47" spans="1:18" ht="26.25" customHeight="1">
      <c r="A47" s="6"/>
      <c r="B47" s="495" t="s">
        <v>621</v>
      </c>
      <c r="C47" s="495" t="s">
        <v>622</v>
      </c>
      <c r="D47" s="495"/>
      <c r="E47" s="495" t="s">
        <v>165</v>
      </c>
      <c r="F47" s="495"/>
      <c r="G47" s="495" t="s">
        <v>623</v>
      </c>
      <c r="H47" s="494" t="s">
        <v>624</v>
      </c>
      <c r="I47" s="494"/>
      <c r="J47" s="494"/>
      <c r="K47" s="494"/>
      <c r="L47" s="494"/>
      <c r="M47" s="494"/>
      <c r="N47" s="495" t="s">
        <v>220</v>
      </c>
      <c r="O47" s="495"/>
      <c r="P47" s="495"/>
      <c r="Q47" s="495"/>
      <c r="R47" s="398"/>
    </row>
    <row r="48" spans="1:18" ht="26.25" customHeight="1">
      <c r="A48" s="6"/>
      <c r="B48" s="495"/>
      <c r="C48" s="495"/>
      <c r="D48" s="495"/>
      <c r="E48" s="375" t="s">
        <v>166</v>
      </c>
      <c r="F48" s="375" t="s">
        <v>167</v>
      </c>
      <c r="G48" s="495"/>
      <c r="H48" s="494"/>
      <c r="I48" s="494"/>
      <c r="J48" s="494"/>
      <c r="K48" s="494"/>
      <c r="L48" s="494"/>
      <c r="M48" s="494"/>
      <c r="N48" s="495"/>
      <c r="O48" s="495"/>
      <c r="P48" s="495"/>
      <c r="Q48" s="495"/>
      <c r="R48" s="398"/>
    </row>
    <row r="49" spans="1:18" ht="15.75">
      <c r="A49" s="6"/>
      <c r="B49" s="427" t="s">
        <v>654</v>
      </c>
      <c r="C49" s="483" t="s">
        <v>655</v>
      </c>
      <c r="D49" s="485"/>
      <c r="E49" s="428">
        <v>43832</v>
      </c>
      <c r="F49" s="428">
        <v>44208</v>
      </c>
      <c r="G49" s="427" t="s">
        <v>648</v>
      </c>
      <c r="H49" s="483" t="s">
        <v>649</v>
      </c>
      <c r="I49" s="484"/>
      <c r="J49" s="484"/>
      <c r="K49" s="484"/>
      <c r="L49" s="484"/>
      <c r="M49" s="485"/>
      <c r="N49" s="483" t="s">
        <v>655</v>
      </c>
      <c r="O49" s="484"/>
      <c r="P49" s="484"/>
      <c r="Q49" s="485"/>
      <c r="R49" s="399"/>
    </row>
    <row r="50" spans="1:18" ht="15.75">
      <c r="A50" s="6"/>
      <c r="B50" s="427" t="s">
        <v>646</v>
      </c>
      <c r="C50" s="483" t="s">
        <v>647</v>
      </c>
      <c r="D50" s="485"/>
      <c r="E50" s="428">
        <v>43832</v>
      </c>
      <c r="F50" s="428">
        <v>44210</v>
      </c>
      <c r="G50" s="427" t="s">
        <v>648</v>
      </c>
      <c r="H50" s="483" t="s">
        <v>649</v>
      </c>
      <c r="I50" s="484"/>
      <c r="J50" s="484"/>
      <c r="K50" s="484"/>
      <c r="L50" s="484"/>
      <c r="M50" s="485"/>
      <c r="N50" s="483" t="s">
        <v>650</v>
      </c>
      <c r="O50" s="484"/>
      <c r="P50" s="484"/>
      <c r="Q50" s="485"/>
      <c r="R50" s="399"/>
    </row>
    <row r="51" spans="1:18" ht="15.75">
      <c r="A51" s="6"/>
      <c r="B51" s="427" t="s">
        <v>654</v>
      </c>
      <c r="C51" s="483" t="s">
        <v>655</v>
      </c>
      <c r="D51" s="485"/>
      <c r="E51" s="428">
        <v>43832</v>
      </c>
      <c r="F51" s="428">
        <v>44209</v>
      </c>
      <c r="G51" s="427" t="s">
        <v>648</v>
      </c>
      <c r="H51" s="483" t="s">
        <v>649</v>
      </c>
      <c r="I51" s="484"/>
      <c r="J51" s="484"/>
      <c r="K51" s="484"/>
      <c r="L51" s="484"/>
      <c r="M51" s="485"/>
      <c r="N51" s="483" t="s">
        <v>650</v>
      </c>
      <c r="O51" s="484"/>
      <c r="P51" s="484"/>
      <c r="Q51" s="485"/>
      <c r="R51" s="399"/>
    </row>
    <row r="52" spans="1:18" ht="15.75">
      <c r="A52" s="6"/>
      <c r="B52" s="429"/>
      <c r="C52" s="486"/>
      <c r="D52" s="485"/>
      <c r="E52" s="429"/>
      <c r="F52" s="429"/>
      <c r="G52" s="429"/>
      <c r="H52" s="486"/>
      <c r="I52" s="484"/>
      <c r="J52" s="484"/>
      <c r="K52" s="484"/>
      <c r="L52" s="484"/>
      <c r="M52" s="485"/>
      <c r="N52" s="486"/>
      <c r="O52" s="484"/>
      <c r="P52" s="484"/>
      <c r="Q52" s="485"/>
      <c r="R52" s="399"/>
    </row>
    <row r="53" spans="1:18" ht="15.75">
      <c r="A53" s="6"/>
      <c r="B53" s="429"/>
      <c r="C53" s="486"/>
      <c r="D53" s="485"/>
      <c r="E53" s="429"/>
      <c r="F53" s="429"/>
      <c r="G53" s="429"/>
      <c r="H53" s="486"/>
      <c r="I53" s="484"/>
      <c r="J53" s="484"/>
      <c r="K53" s="484"/>
      <c r="L53" s="484"/>
      <c r="M53" s="485"/>
      <c r="N53" s="486"/>
      <c r="O53" s="484"/>
      <c r="P53" s="484"/>
      <c r="Q53" s="485"/>
      <c r="R53" s="399"/>
    </row>
    <row r="54" spans="1:18" ht="15.75">
      <c r="A54" s="6"/>
      <c r="B54" s="429"/>
      <c r="C54" s="486"/>
      <c r="D54" s="485"/>
      <c r="E54" s="429"/>
      <c r="F54" s="429"/>
      <c r="G54" s="429"/>
      <c r="H54" s="486"/>
      <c r="I54" s="484"/>
      <c r="J54" s="484"/>
      <c r="K54" s="484"/>
      <c r="L54" s="484"/>
      <c r="M54" s="485"/>
      <c r="N54" s="486"/>
      <c r="O54" s="484"/>
      <c r="P54" s="484"/>
      <c r="Q54" s="485"/>
      <c r="R54" s="399"/>
    </row>
    <row r="55" spans="1:18" ht="15.75">
      <c r="A55" s="6"/>
      <c r="B55" s="429"/>
      <c r="C55" s="486"/>
      <c r="D55" s="485"/>
      <c r="E55" s="429"/>
      <c r="F55" s="429"/>
      <c r="G55" s="429"/>
      <c r="H55" s="486"/>
      <c r="I55" s="484"/>
      <c r="J55" s="484"/>
      <c r="K55" s="484"/>
      <c r="L55" s="484"/>
      <c r="M55" s="485"/>
      <c r="N55" s="486"/>
      <c r="O55" s="484"/>
      <c r="P55" s="484"/>
      <c r="Q55" s="485"/>
      <c r="R55" s="399"/>
    </row>
    <row r="56" spans="1:18" ht="15.75">
      <c r="A56" s="6"/>
      <c r="B56" s="429"/>
      <c r="C56" s="486"/>
      <c r="D56" s="485"/>
      <c r="E56" s="429"/>
      <c r="F56" s="429"/>
      <c r="G56" s="429"/>
      <c r="H56" s="486"/>
      <c r="I56" s="484"/>
      <c r="J56" s="484"/>
      <c r="K56" s="484"/>
      <c r="L56" s="484"/>
      <c r="M56" s="485"/>
      <c r="N56" s="486"/>
      <c r="O56" s="484"/>
      <c r="P56" s="484"/>
      <c r="Q56" s="485"/>
      <c r="R56" s="399"/>
    </row>
    <row r="57" spans="1:18" ht="15.75">
      <c r="A57" s="6"/>
      <c r="B57" s="429"/>
      <c r="C57" s="486"/>
      <c r="D57" s="485"/>
      <c r="E57" s="429"/>
      <c r="F57" s="429"/>
      <c r="G57" s="429"/>
      <c r="H57" s="486"/>
      <c r="I57" s="484"/>
      <c r="J57" s="484"/>
      <c r="K57" s="484"/>
      <c r="L57" s="484"/>
      <c r="M57" s="485"/>
      <c r="N57" s="486"/>
      <c r="O57" s="484"/>
      <c r="P57" s="484"/>
      <c r="Q57" s="485"/>
      <c r="R57" s="399"/>
    </row>
    <row r="58" spans="1:18" ht="18.75">
      <c r="A58" s="6"/>
      <c r="B58" s="426"/>
      <c r="C58" s="486"/>
      <c r="D58" s="485"/>
      <c r="E58" s="426"/>
      <c r="F58" s="426"/>
      <c r="G58" s="426"/>
      <c r="H58" s="486"/>
      <c r="I58" s="484"/>
      <c r="J58" s="484"/>
      <c r="K58" s="484"/>
      <c r="L58" s="484"/>
      <c r="M58" s="485"/>
      <c r="N58" s="486"/>
      <c r="O58" s="484"/>
      <c r="P58" s="484"/>
      <c r="Q58" s="485"/>
      <c r="R58" s="401"/>
    </row>
    <row r="59" spans="1:18" ht="18" customHeight="1">
      <c r="A59" s="6"/>
      <c r="B59" s="164"/>
      <c r="C59" s="164"/>
      <c r="D59" s="378"/>
      <c r="E59" s="379"/>
      <c r="F59" s="379"/>
      <c r="G59" s="379"/>
    </row>
    <row r="60" spans="1:18" ht="18" customHeight="1">
      <c r="B60" s="493" t="s">
        <v>742</v>
      </c>
      <c r="C60" s="493"/>
      <c r="D60" s="493"/>
      <c r="E60" s="493"/>
      <c r="F60" s="493"/>
      <c r="G60" s="493"/>
      <c r="H60" s="493"/>
      <c r="I60" s="493"/>
      <c r="J60" s="493"/>
      <c r="K60" s="493"/>
      <c r="L60" s="493"/>
      <c r="M60" s="493"/>
      <c r="N60" s="493"/>
      <c r="O60" s="493"/>
      <c r="P60" s="493"/>
      <c r="Q60" s="493"/>
    </row>
    <row r="61" spans="1:18" ht="15.75" customHeight="1">
      <c r="A61" s="241"/>
      <c r="B61" s="510" t="s">
        <v>745</v>
      </c>
      <c r="C61" s="510"/>
      <c r="D61" s="510"/>
      <c r="E61" s="510"/>
      <c r="F61" s="510"/>
      <c r="G61" s="510"/>
      <c r="H61" s="510"/>
      <c r="I61" s="510"/>
      <c r="J61" s="510"/>
      <c r="K61" s="510"/>
      <c r="L61" s="510"/>
      <c r="M61" s="510"/>
      <c r="N61" s="510"/>
      <c r="O61" s="510"/>
      <c r="P61" s="510"/>
      <c r="Q61" s="510"/>
    </row>
    <row r="62" spans="1:18" ht="18" customHeight="1">
      <c r="A62" s="6"/>
      <c r="B62" s="493" t="s">
        <v>594</v>
      </c>
      <c r="C62" s="493"/>
      <c r="D62" s="493"/>
      <c r="E62" s="493"/>
      <c r="F62" s="493"/>
      <c r="G62" s="493"/>
      <c r="H62" s="493"/>
      <c r="I62" s="493"/>
      <c r="J62" s="493"/>
      <c r="K62" s="493"/>
      <c r="L62" s="493"/>
      <c r="M62" s="493"/>
      <c r="N62" s="493"/>
      <c r="O62" s="493"/>
      <c r="P62" s="493"/>
      <c r="Q62" s="493"/>
      <c r="R62" s="235"/>
    </row>
    <row r="63" spans="1:18" ht="15" customHeight="1">
      <c r="B63" s="493"/>
      <c r="C63" s="493"/>
      <c r="D63" s="493"/>
      <c r="E63" s="493"/>
      <c r="F63" s="493"/>
      <c r="G63" s="493"/>
      <c r="H63" s="493"/>
      <c r="I63" s="493"/>
      <c r="J63" s="493"/>
      <c r="K63" s="493"/>
      <c r="L63" s="493"/>
      <c r="M63" s="493"/>
      <c r="N63" s="493"/>
      <c r="O63" s="493"/>
      <c r="P63" s="493"/>
      <c r="Q63" s="493"/>
      <c r="R63" s="235"/>
    </row>
    <row r="64" spans="1:18" ht="15.75">
      <c r="B64" s="509" t="s">
        <v>589</v>
      </c>
      <c r="C64" s="509"/>
      <c r="D64" s="509"/>
      <c r="E64" s="509"/>
      <c r="F64" s="509"/>
      <c r="G64" s="509"/>
      <c r="H64" s="509"/>
      <c r="I64" s="509"/>
      <c r="J64" s="509"/>
      <c r="K64" s="509"/>
      <c r="L64" s="509"/>
      <c r="M64" s="509"/>
      <c r="N64" s="509"/>
      <c r="O64" s="509"/>
      <c r="P64" s="509"/>
      <c r="Q64" s="509"/>
      <c r="R64" s="236"/>
    </row>
    <row r="65" spans="1:25" ht="52.5" customHeight="1">
      <c r="A65" s="230"/>
      <c r="B65" s="375" t="s">
        <v>590</v>
      </c>
      <c r="C65" s="495" t="s">
        <v>591</v>
      </c>
      <c r="D65" s="495"/>
      <c r="E65" s="375" t="s">
        <v>592</v>
      </c>
      <c r="F65" s="495" t="s">
        <v>593</v>
      </c>
      <c r="G65" s="495"/>
      <c r="H65" s="495"/>
      <c r="I65" s="495"/>
      <c r="J65" s="495"/>
      <c r="K65" s="495"/>
      <c r="L65" s="495"/>
      <c r="M65" s="495"/>
      <c r="N65" s="495"/>
      <c r="O65" s="495"/>
      <c r="P65" s="495"/>
      <c r="Q65" s="495"/>
      <c r="R65" s="6"/>
    </row>
    <row r="66" spans="1:25" s="388" customFormat="1" ht="31.5">
      <c r="A66" s="231"/>
      <c r="B66" s="386" t="s">
        <v>694</v>
      </c>
      <c r="C66" s="497" t="s">
        <v>743</v>
      </c>
      <c r="D66" s="492"/>
      <c r="E66" s="386">
        <v>1943</v>
      </c>
      <c r="F66" s="419" t="s">
        <v>741</v>
      </c>
      <c r="G66" s="420"/>
      <c r="H66" s="420"/>
      <c r="I66" s="420"/>
      <c r="J66" s="420"/>
      <c r="K66" s="420"/>
      <c r="L66" s="420"/>
      <c r="M66" s="420"/>
      <c r="N66" s="420"/>
      <c r="O66" s="420"/>
      <c r="P66" s="420"/>
      <c r="Q66" s="421"/>
      <c r="R66" s="6"/>
      <c r="U66" s="389"/>
      <c r="Y66" s="389"/>
    </row>
    <row r="67" spans="1:25" ht="31.5">
      <c r="A67" s="417"/>
      <c r="B67" s="408" t="s">
        <v>695</v>
      </c>
      <c r="C67" s="497" t="s">
        <v>739</v>
      </c>
      <c r="D67" s="492"/>
      <c r="E67" s="408">
        <v>1979</v>
      </c>
      <c r="F67" s="419" t="s">
        <v>741</v>
      </c>
      <c r="G67" s="420"/>
      <c r="H67" s="420"/>
      <c r="I67" s="420"/>
      <c r="J67" s="420"/>
      <c r="K67" s="420"/>
      <c r="L67" s="420"/>
      <c r="M67" s="420"/>
      <c r="N67" s="420"/>
      <c r="O67" s="420"/>
      <c r="P67" s="420"/>
      <c r="Q67" s="421"/>
      <c r="R67" s="6"/>
    </row>
    <row r="68" spans="1:25" s="388" customFormat="1" ht="16.5">
      <c r="A68" s="232"/>
      <c r="B68" s="386" t="s">
        <v>677</v>
      </c>
      <c r="C68" s="497" t="s">
        <v>740</v>
      </c>
      <c r="D68" s="492"/>
      <c r="E68" s="386">
        <v>2001</v>
      </c>
      <c r="F68" s="419" t="s">
        <v>678</v>
      </c>
      <c r="G68" s="420"/>
      <c r="H68" s="420"/>
      <c r="I68" s="420"/>
      <c r="J68" s="420"/>
      <c r="K68" s="420"/>
      <c r="L68" s="420"/>
      <c r="M68" s="420"/>
      <c r="N68" s="420"/>
      <c r="O68" s="420"/>
      <c r="P68" s="420"/>
      <c r="Q68" s="421"/>
      <c r="R68" s="6"/>
    </row>
    <row r="69" spans="1:25" s="388" customFormat="1" ht="16.5">
      <c r="A69" s="232"/>
      <c r="B69" s="386"/>
      <c r="C69" s="497"/>
      <c r="D69" s="492"/>
      <c r="E69" s="418"/>
      <c r="F69" s="419"/>
      <c r="G69" s="420"/>
      <c r="H69" s="420"/>
      <c r="I69" s="420"/>
      <c r="J69" s="420"/>
      <c r="K69" s="420"/>
      <c r="L69" s="420"/>
      <c r="M69" s="420"/>
      <c r="N69" s="420"/>
      <c r="O69" s="420"/>
      <c r="P69" s="420"/>
      <c r="Q69" s="421"/>
      <c r="R69" s="6"/>
    </row>
    <row r="70" spans="1:25" s="388" customFormat="1" ht="16.5">
      <c r="A70" s="232"/>
      <c r="B70" s="387"/>
      <c r="C70" s="492"/>
      <c r="D70" s="492"/>
      <c r="E70" s="387"/>
      <c r="F70" s="419"/>
      <c r="G70" s="420"/>
      <c r="H70" s="420"/>
      <c r="I70" s="420"/>
      <c r="J70" s="420"/>
      <c r="K70" s="420"/>
      <c r="L70" s="420"/>
      <c r="M70" s="420"/>
      <c r="N70" s="420"/>
      <c r="O70" s="420"/>
      <c r="P70" s="420"/>
      <c r="Q70" s="421"/>
      <c r="R70" s="6"/>
    </row>
    <row r="71" spans="1:25" s="388" customFormat="1" ht="16.5">
      <c r="A71" s="232"/>
      <c r="B71" s="387"/>
      <c r="C71" s="492"/>
      <c r="D71" s="492"/>
      <c r="E71" s="387"/>
      <c r="F71" s="419"/>
      <c r="G71" s="420"/>
      <c r="H71" s="420"/>
      <c r="I71" s="420"/>
      <c r="J71" s="420"/>
      <c r="K71" s="420"/>
      <c r="L71" s="420"/>
      <c r="M71" s="420"/>
      <c r="N71" s="420"/>
      <c r="O71" s="420"/>
      <c r="P71" s="420"/>
      <c r="Q71" s="421"/>
      <c r="R71" s="6"/>
    </row>
    <row r="72" spans="1:25" s="388" customFormat="1" ht="16.5">
      <c r="A72" s="232"/>
      <c r="B72" s="387"/>
      <c r="C72" s="492"/>
      <c r="D72" s="492"/>
      <c r="E72" s="387"/>
      <c r="F72" s="419"/>
      <c r="G72" s="420"/>
      <c r="H72" s="420"/>
      <c r="I72" s="420"/>
      <c r="J72" s="420"/>
      <c r="K72" s="420"/>
      <c r="L72" s="420"/>
      <c r="M72" s="420"/>
      <c r="N72" s="420"/>
      <c r="O72" s="420"/>
      <c r="P72" s="420"/>
      <c r="Q72" s="421"/>
      <c r="R72" s="6"/>
    </row>
    <row r="73" spans="1:25" s="388" customFormat="1" ht="16.5">
      <c r="A73" s="232"/>
      <c r="B73" s="387"/>
      <c r="C73" s="492"/>
      <c r="D73" s="492"/>
      <c r="E73" s="387"/>
      <c r="F73" s="419"/>
      <c r="G73" s="420"/>
      <c r="H73" s="420"/>
      <c r="I73" s="420"/>
      <c r="J73" s="420"/>
      <c r="K73" s="420"/>
      <c r="L73" s="420"/>
      <c r="M73" s="420"/>
      <c r="N73" s="420"/>
      <c r="O73" s="420"/>
      <c r="P73" s="420"/>
      <c r="Q73" s="421"/>
      <c r="R73" s="6"/>
    </row>
    <row r="74" spans="1:25" ht="12.75" customHeight="1">
      <c r="A74" s="6"/>
      <c r="B74" s="164"/>
      <c r="C74" s="164"/>
      <c r="D74" s="378"/>
      <c r="E74" s="379"/>
      <c r="F74" s="379"/>
      <c r="G74" s="379"/>
    </row>
    <row r="75" spans="1:25" ht="15.75">
      <c r="A75" s="6"/>
      <c r="B75" s="511" t="s">
        <v>603</v>
      </c>
      <c r="C75" s="511"/>
      <c r="D75" s="511"/>
      <c r="E75" s="511"/>
      <c r="F75" s="511"/>
      <c r="G75" s="511"/>
      <c r="H75" s="511"/>
      <c r="I75" s="511"/>
      <c r="J75" s="511"/>
      <c r="K75" s="511"/>
      <c r="L75" s="511"/>
      <c r="M75" s="511"/>
      <c r="N75" s="511"/>
      <c r="O75" s="511"/>
      <c r="P75" s="511"/>
      <c r="Q75" s="511"/>
      <c r="R75" s="234"/>
    </row>
    <row r="76" spans="1:25" ht="15" customHeight="1">
      <c r="A76" s="6"/>
      <c r="B76" s="233"/>
      <c r="C76" s="397"/>
      <c r="D76" s="397"/>
      <c r="E76" s="397"/>
      <c r="F76" s="397"/>
      <c r="G76" s="397"/>
      <c r="H76" s="397"/>
      <c r="I76" s="397"/>
      <c r="J76" s="397"/>
      <c r="K76" s="397"/>
      <c r="L76" s="397"/>
      <c r="M76" s="397"/>
      <c r="N76" s="397"/>
      <c r="O76" s="397"/>
      <c r="P76" s="397"/>
      <c r="Q76" s="397"/>
      <c r="R76" s="397"/>
    </row>
    <row r="77" spans="1:25" ht="15.75" customHeight="1">
      <c r="A77" s="6"/>
      <c r="B77" s="481" t="s">
        <v>595</v>
      </c>
      <c r="C77" s="481" t="s">
        <v>596</v>
      </c>
      <c r="D77" s="481"/>
      <c r="E77" s="481"/>
      <c r="F77" s="481"/>
      <c r="G77" s="481" t="s">
        <v>597</v>
      </c>
      <c r="H77" s="481"/>
      <c r="I77" s="481"/>
      <c r="J77" s="481"/>
      <c r="K77" s="481"/>
      <c r="L77" s="481"/>
      <c r="M77" s="481"/>
      <c r="N77" s="481" t="s">
        <v>598</v>
      </c>
      <c r="O77" s="481"/>
      <c r="P77" s="481"/>
      <c r="Q77" s="481"/>
      <c r="R77" s="6"/>
    </row>
    <row r="78" spans="1:25" ht="51" customHeight="1">
      <c r="A78" s="6"/>
      <c r="B78" s="481"/>
      <c r="C78" s="402" t="s">
        <v>267</v>
      </c>
      <c r="D78" s="402" t="s">
        <v>599</v>
      </c>
      <c r="E78" s="402" t="s">
        <v>600</v>
      </c>
      <c r="F78" s="402" t="s">
        <v>135</v>
      </c>
      <c r="G78" s="481" t="s">
        <v>478</v>
      </c>
      <c r="H78" s="481"/>
      <c r="I78" s="481" t="s">
        <v>601</v>
      </c>
      <c r="J78" s="481"/>
      <c r="K78" s="481"/>
      <c r="L78" s="481"/>
      <c r="M78" s="481"/>
      <c r="N78" s="481"/>
      <c r="O78" s="481"/>
      <c r="P78" s="481"/>
      <c r="Q78" s="481"/>
      <c r="R78" s="6"/>
    </row>
    <row r="79" spans="1:25" ht="15.75">
      <c r="A79" s="6"/>
      <c r="B79" s="403">
        <v>44197</v>
      </c>
      <c r="C79" s="404" t="s">
        <v>712</v>
      </c>
      <c r="D79" s="404" t="s">
        <v>712</v>
      </c>
      <c r="E79" s="404" t="s">
        <v>712</v>
      </c>
      <c r="F79" s="404" t="s">
        <v>713</v>
      </c>
      <c r="G79" s="482" t="s">
        <v>716</v>
      </c>
      <c r="H79" s="482"/>
      <c r="I79" s="482" t="s">
        <v>717</v>
      </c>
      <c r="J79" s="482"/>
      <c r="K79" s="482"/>
      <c r="L79" s="482"/>
      <c r="M79" s="482"/>
      <c r="N79" s="482"/>
      <c r="O79" s="482"/>
      <c r="P79" s="482"/>
      <c r="Q79" s="482"/>
      <c r="R79" s="6"/>
    </row>
    <row r="80" spans="1:25" ht="15.75">
      <c r="A80" s="6"/>
      <c r="B80" s="403">
        <v>43466</v>
      </c>
      <c r="C80" s="404" t="s">
        <v>714</v>
      </c>
      <c r="D80" s="404" t="s">
        <v>714</v>
      </c>
      <c r="E80" s="404" t="s">
        <v>714</v>
      </c>
      <c r="F80" s="404" t="s">
        <v>714</v>
      </c>
      <c r="G80" s="482" t="s">
        <v>716</v>
      </c>
      <c r="H80" s="482"/>
      <c r="I80" s="482" t="s">
        <v>717</v>
      </c>
      <c r="J80" s="482"/>
      <c r="K80" s="482"/>
      <c r="L80" s="482"/>
      <c r="M80" s="482"/>
      <c r="N80" s="482"/>
      <c r="O80" s="482"/>
      <c r="P80" s="482"/>
      <c r="Q80" s="482"/>
      <c r="R80" s="6"/>
    </row>
    <row r="81" spans="1:18" ht="15.75">
      <c r="A81" s="6"/>
      <c r="B81" s="403"/>
      <c r="C81" s="404"/>
      <c r="D81" s="404"/>
      <c r="E81" s="404"/>
      <c r="F81" s="404"/>
      <c r="G81" s="482"/>
      <c r="H81" s="482"/>
      <c r="I81" s="482"/>
      <c r="J81" s="482"/>
      <c r="K81" s="482"/>
      <c r="L81" s="482"/>
      <c r="M81" s="482"/>
      <c r="N81" s="482"/>
      <c r="O81" s="482"/>
      <c r="P81" s="482"/>
      <c r="Q81" s="482"/>
      <c r="R81" s="6"/>
    </row>
    <row r="82" spans="1:18" ht="15.75">
      <c r="A82" s="6"/>
      <c r="B82" s="403"/>
      <c r="C82" s="404"/>
      <c r="D82" s="404"/>
      <c r="E82" s="404"/>
      <c r="F82" s="404"/>
      <c r="G82" s="482"/>
      <c r="H82" s="501"/>
      <c r="I82" s="482"/>
      <c r="J82" s="501"/>
      <c r="K82" s="501"/>
      <c r="L82" s="501"/>
      <c r="M82" s="501"/>
      <c r="N82" s="482"/>
      <c r="O82" s="501"/>
      <c r="P82" s="501"/>
      <c r="Q82" s="501"/>
      <c r="R82" s="6"/>
    </row>
    <row r="83" spans="1:18" ht="15.75">
      <c r="A83" s="6"/>
      <c r="B83" s="405"/>
      <c r="C83" s="400"/>
      <c r="D83" s="400"/>
      <c r="E83" s="400"/>
      <c r="F83" s="400"/>
      <c r="G83" s="501"/>
      <c r="H83" s="501"/>
      <c r="I83" s="501"/>
      <c r="J83" s="501"/>
      <c r="K83" s="501"/>
      <c r="L83" s="501"/>
      <c r="M83" s="501"/>
      <c r="N83" s="501"/>
      <c r="O83" s="501"/>
      <c r="P83" s="501"/>
      <c r="Q83" s="501"/>
      <c r="R83" s="6"/>
    </row>
    <row r="84" spans="1:18" ht="15.75">
      <c r="A84" s="6"/>
      <c r="B84" s="405"/>
      <c r="C84" s="400"/>
      <c r="D84" s="400"/>
      <c r="E84" s="400"/>
      <c r="F84" s="400"/>
      <c r="G84" s="501"/>
      <c r="H84" s="501"/>
      <c r="I84" s="501"/>
      <c r="J84" s="501"/>
      <c r="K84" s="501"/>
      <c r="L84" s="501"/>
      <c r="M84" s="501"/>
      <c r="N84" s="501"/>
      <c r="O84" s="501"/>
      <c r="P84" s="501"/>
      <c r="Q84" s="501"/>
      <c r="R84" s="6"/>
    </row>
    <row r="85" spans="1:18" ht="15.75">
      <c r="A85" s="6"/>
      <c r="B85" s="405"/>
      <c r="C85" s="400"/>
      <c r="D85" s="400"/>
      <c r="E85" s="400"/>
      <c r="F85" s="400"/>
      <c r="G85" s="501"/>
      <c r="H85" s="501"/>
      <c r="I85" s="501"/>
      <c r="J85" s="501"/>
      <c r="K85" s="501"/>
      <c r="L85" s="501"/>
      <c r="M85" s="501"/>
      <c r="N85" s="501"/>
      <c r="O85" s="501"/>
      <c r="P85" s="501"/>
      <c r="Q85" s="501"/>
      <c r="R85" s="6"/>
    </row>
    <row r="86" spans="1:18" ht="15.75">
      <c r="A86" s="6"/>
      <c r="B86" s="405"/>
      <c r="C86" s="400"/>
      <c r="D86" s="400"/>
      <c r="E86" s="400"/>
      <c r="F86" s="400"/>
      <c r="G86" s="501"/>
      <c r="H86" s="501"/>
      <c r="I86" s="501"/>
      <c r="J86" s="501"/>
      <c r="K86" s="501"/>
      <c r="L86" s="501"/>
      <c r="M86" s="501"/>
      <c r="N86" s="501"/>
      <c r="O86" s="501"/>
      <c r="P86" s="501"/>
      <c r="Q86" s="501"/>
      <c r="R86" s="6"/>
    </row>
    <row r="87" spans="1:18" ht="15.75">
      <c r="A87" s="6"/>
      <c r="B87" s="405"/>
      <c r="C87" s="400"/>
      <c r="D87" s="400"/>
      <c r="E87" s="400"/>
      <c r="F87" s="400"/>
      <c r="G87" s="501"/>
      <c r="H87" s="501"/>
      <c r="I87" s="501"/>
      <c r="J87" s="501"/>
      <c r="K87" s="501"/>
      <c r="L87" s="501"/>
      <c r="M87" s="501"/>
      <c r="N87" s="501"/>
      <c r="O87" s="501"/>
      <c r="P87" s="501"/>
      <c r="Q87" s="501"/>
      <c r="R87" s="6"/>
    </row>
    <row r="88" spans="1:18" ht="15.75">
      <c r="A88" s="6"/>
      <c r="B88" s="400"/>
      <c r="C88" s="400"/>
      <c r="D88" s="400"/>
      <c r="E88" s="400"/>
      <c r="F88" s="400"/>
      <c r="G88" s="501"/>
      <c r="H88" s="501"/>
      <c r="I88" s="501"/>
      <c r="J88" s="501"/>
      <c r="K88" s="501"/>
      <c r="L88" s="501"/>
      <c r="M88" s="501"/>
      <c r="N88" s="501"/>
      <c r="O88" s="501"/>
      <c r="P88" s="501"/>
      <c r="Q88" s="501"/>
      <c r="R88" s="6"/>
    </row>
    <row r="89" spans="1:18" ht="15.75">
      <c r="A89" s="6"/>
      <c r="B89" s="400"/>
      <c r="C89" s="400"/>
      <c r="D89" s="400"/>
      <c r="E89" s="400"/>
      <c r="F89" s="400"/>
      <c r="G89" s="501"/>
      <c r="H89" s="501"/>
      <c r="I89" s="501"/>
      <c r="J89" s="501"/>
      <c r="K89" s="501"/>
      <c r="L89" s="501"/>
      <c r="M89" s="501"/>
      <c r="N89" s="501"/>
      <c r="O89" s="501"/>
      <c r="P89" s="501"/>
      <c r="Q89" s="501"/>
      <c r="R89" s="237"/>
    </row>
    <row r="90" spans="1:18" ht="33" customHeight="1">
      <c r="A90" s="6"/>
      <c r="B90" s="502" t="s">
        <v>602</v>
      </c>
      <c r="C90" s="502"/>
      <c r="D90" s="502"/>
      <c r="E90" s="502"/>
      <c r="F90" s="502"/>
      <c r="G90" s="502"/>
      <c r="H90" s="502"/>
      <c r="I90" s="502"/>
      <c r="J90" s="502"/>
      <c r="K90" s="502"/>
      <c r="L90" s="502"/>
      <c r="M90" s="502"/>
      <c r="N90" s="502"/>
      <c r="O90" s="502"/>
      <c r="P90" s="502"/>
      <c r="Q90" s="502"/>
      <c r="R90" s="502"/>
    </row>
    <row r="91" spans="1:18">
      <c r="A91" s="6"/>
      <c r="B91" s="164"/>
      <c r="C91" s="164"/>
      <c r="D91" s="378"/>
      <c r="E91" s="379"/>
      <c r="F91" s="506" t="s">
        <v>630</v>
      </c>
      <c r="G91" s="506"/>
      <c r="H91" s="506"/>
      <c r="I91" s="506"/>
      <c r="J91" s="506"/>
      <c r="K91" s="506"/>
      <c r="L91" s="506"/>
      <c r="M91" s="506"/>
      <c r="N91" s="506"/>
      <c r="O91" s="506"/>
      <c r="P91" s="506"/>
      <c r="Q91" s="506"/>
    </row>
    <row r="92" spans="1:18" ht="15" customHeight="1">
      <c r="A92" s="6"/>
      <c r="B92" s="504" t="s">
        <v>625</v>
      </c>
      <c r="C92" s="504"/>
      <c r="D92" s="508" t="s">
        <v>628</v>
      </c>
      <c r="E92" s="508"/>
      <c r="F92" s="508"/>
      <c r="G92" s="508"/>
      <c r="H92" s="479" t="s">
        <v>629</v>
      </c>
      <c r="I92" s="479"/>
      <c r="J92" s="479"/>
      <c r="K92" s="479"/>
      <c r="L92" s="479"/>
      <c r="M92" s="479"/>
      <c r="N92" s="479"/>
      <c r="O92" s="479"/>
      <c r="P92" s="479"/>
      <c r="Q92" s="479"/>
      <c r="R92" s="238"/>
    </row>
    <row r="93" spans="1:18" ht="13.5" customHeight="1">
      <c r="A93" s="6"/>
      <c r="B93" s="505" t="s">
        <v>626</v>
      </c>
      <c r="C93" s="505"/>
      <c r="D93" s="507" t="s">
        <v>662</v>
      </c>
      <c r="E93" s="507"/>
      <c r="F93" s="507"/>
      <c r="G93" s="507"/>
      <c r="H93" s="503" t="s">
        <v>633</v>
      </c>
      <c r="I93" s="503"/>
      <c r="J93" s="503"/>
      <c r="K93" s="503"/>
      <c r="L93" s="503"/>
      <c r="M93" s="503"/>
      <c r="N93" s="503"/>
      <c r="O93" s="503"/>
      <c r="P93" s="503"/>
      <c r="Q93" s="503"/>
    </row>
    <row r="94" spans="1:18" ht="13.5" customHeight="1">
      <c r="A94" s="6"/>
      <c r="B94" s="505"/>
      <c r="C94" s="505"/>
      <c r="D94" s="507" t="s">
        <v>662</v>
      </c>
      <c r="E94" s="507"/>
      <c r="F94" s="507"/>
      <c r="G94" s="507"/>
    </row>
    <row r="95" spans="1:18" ht="13.5" customHeight="1">
      <c r="A95" s="6"/>
      <c r="B95" s="499" t="s">
        <v>627</v>
      </c>
      <c r="C95" s="499"/>
      <c r="D95" s="499" t="s">
        <v>627</v>
      </c>
      <c r="E95" s="499"/>
      <c r="F95" s="499"/>
      <c r="G95" s="499"/>
    </row>
    <row r="96" spans="1:18" ht="15" customHeight="1">
      <c r="A96" s="6"/>
      <c r="B96" s="500" t="s">
        <v>631</v>
      </c>
      <c r="C96" s="500"/>
      <c r="D96" s="500" t="s">
        <v>632</v>
      </c>
      <c r="E96" s="500"/>
      <c r="F96" s="500"/>
      <c r="G96" s="500"/>
    </row>
    <row r="97" spans="1:7">
      <c r="A97" s="6"/>
      <c r="D97" s="378"/>
      <c r="E97" s="379"/>
      <c r="F97" s="379"/>
      <c r="G97" s="379"/>
    </row>
    <row r="98" spans="1:7">
      <c r="A98" s="6"/>
      <c r="C98" s="164"/>
      <c r="D98" s="378"/>
      <c r="E98" s="379"/>
      <c r="F98" s="379"/>
      <c r="G98" s="379"/>
    </row>
    <row r="99" spans="1:7">
      <c r="A99" s="6"/>
      <c r="B99" s="164"/>
      <c r="C99" s="164"/>
      <c r="D99" s="378"/>
      <c r="E99" s="379"/>
      <c r="F99" s="379"/>
      <c r="G99" s="379"/>
    </row>
    <row r="100" spans="1:7">
      <c r="A100" s="6"/>
      <c r="B100" s="164"/>
      <c r="C100" s="164"/>
      <c r="D100" s="378"/>
      <c r="E100" s="379"/>
      <c r="F100" s="379"/>
      <c r="G100" s="379"/>
    </row>
    <row r="101" spans="1:7">
      <c r="A101" s="6"/>
      <c r="B101" s="164"/>
      <c r="C101" s="164"/>
      <c r="D101" s="378"/>
      <c r="E101" s="379"/>
      <c r="F101" s="379"/>
      <c r="G101" s="379"/>
    </row>
    <row r="102" spans="1:7">
      <c r="A102" s="6"/>
      <c r="B102" s="164"/>
      <c r="C102" s="164"/>
      <c r="D102" s="378"/>
      <c r="E102" s="379"/>
      <c r="F102" s="379"/>
      <c r="G102" s="379"/>
    </row>
    <row r="103" spans="1:7">
      <c r="A103" s="6"/>
      <c r="B103" s="164"/>
      <c r="C103" s="164"/>
      <c r="D103" s="378"/>
      <c r="E103" s="379"/>
      <c r="F103" s="379"/>
      <c r="G103" s="379"/>
    </row>
    <row r="104" spans="1:7">
      <c r="A104" s="6"/>
      <c r="B104" s="164"/>
      <c r="C104" s="164"/>
      <c r="D104" s="378"/>
      <c r="E104" s="379"/>
      <c r="F104" s="379"/>
      <c r="G104" s="379"/>
    </row>
    <row r="105" spans="1:7">
      <c r="A105" s="6"/>
      <c r="B105" s="164"/>
      <c r="C105" s="164"/>
      <c r="D105" s="378"/>
      <c r="E105" s="379"/>
      <c r="F105" s="379"/>
      <c r="G105" s="379"/>
    </row>
    <row r="106" spans="1:7">
      <c r="A106" s="6"/>
      <c r="B106" s="164"/>
      <c r="C106" s="164"/>
      <c r="D106" s="378"/>
      <c r="E106" s="379"/>
      <c r="F106" s="379"/>
      <c r="G106" s="379"/>
    </row>
    <row r="107" spans="1:7">
      <c r="A107" s="6"/>
      <c r="B107" s="164"/>
      <c r="C107" s="164"/>
      <c r="D107" s="378"/>
      <c r="E107" s="379"/>
      <c r="F107" s="379"/>
      <c r="G107" s="379"/>
    </row>
    <row r="108" spans="1:7">
      <c r="A108" s="6"/>
      <c r="B108" s="164"/>
      <c r="C108" s="164"/>
      <c r="D108" s="378"/>
      <c r="E108" s="379"/>
      <c r="F108" s="379"/>
      <c r="G108" s="379"/>
    </row>
    <row r="109" spans="1:7">
      <c r="A109" s="6"/>
      <c r="B109" s="164"/>
      <c r="C109" s="164"/>
      <c r="D109" s="378"/>
      <c r="E109" s="379"/>
      <c r="F109" s="379"/>
      <c r="G109" s="379"/>
    </row>
    <row r="110" spans="1:7">
      <c r="A110" s="6"/>
      <c r="B110" s="164"/>
      <c r="C110" s="164"/>
      <c r="D110" s="378"/>
      <c r="E110" s="379"/>
      <c r="F110" s="379"/>
      <c r="G110" s="379"/>
    </row>
    <row r="111" spans="1:7">
      <c r="A111" s="6"/>
      <c r="B111" s="164"/>
      <c r="C111" s="164"/>
      <c r="D111" s="378"/>
      <c r="E111" s="379"/>
      <c r="F111" s="379"/>
      <c r="G111" s="379"/>
    </row>
    <row r="112" spans="1:7">
      <c r="A112" s="6"/>
      <c r="B112" s="164"/>
      <c r="C112" s="164"/>
      <c r="D112" s="378"/>
      <c r="E112" s="379"/>
      <c r="F112" s="379"/>
      <c r="G112" s="379"/>
    </row>
    <row r="113" spans="1:7">
      <c r="A113" s="6"/>
      <c r="B113" s="164"/>
      <c r="C113" s="164"/>
      <c r="D113" s="378"/>
      <c r="E113" s="379"/>
      <c r="F113" s="379"/>
      <c r="G113" s="379"/>
    </row>
    <row r="114" spans="1:7">
      <c r="A114" s="6"/>
      <c r="B114" s="164"/>
      <c r="C114" s="164"/>
      <c r="D114" s="378"/>
      <c r="E114" s="379"/>
      <c r="F114" s="379"/>
      <c r="G114" s="379"/>
    </row>
    <row r="115" spans="1:7">
      <c r="A115" s="6"/>
      <c r="B115" s="164"/>
      <c r="C115" s="164"/>
      <c r="D115" s="378"/>
      <c r="E115" s="379"/>
      <c r="F115" s="379"/>
      <c r="G115" s="379"/>
    </row>
    <row r="116" spans="1:7">
      <c r="A116" s="6"/>
      <c r="B116" s="164"/>
      <c r="C116" s="164"/>
      <c r="D116" s="378"/>
      <c r="E116" s="379"/>
      <c r="F116" s="379"/>
      <c r="G116" s="379"/>
    </row>
    <row r="117" spans="1:7">
      <c r="A117" s="6"/>
      <c r="B117" s="164"/>
      <c r="C117" s="164"/>
      <c r="D117" s="378"/>
      <c r="E117" s="379"/>
      <c r="F117" s="379"/>
      <c r="G117" s="379"/>
    </row>
    <row r="118" spans="1:7">
      <c r="A118" s="6"/>
      <c r="B118" s="164"/>
      <c r="C118" s="164"/>
      <c r="D118" s="378"/>
      <c r="E118" s="379"/>
      <c r="F118" s="379"/>
      <c r="G118" s="379"/>
    </row>
    <row r="119" spans="1:7">
      <c r="A119" s="6"/>
      <c r="B119" s="164"/>
      <c r="C119" s="164"/>
      <c r="D119" s="378"/>
      <c r="E119" s="379"/>
      <c r="F119" s="379"/>
      <c r="G119" s="379"/>
    </row>
    <row r="120" spans="1:7">
      <c r="A120" s="6"/>
      <c r="B120" s="164"/>
      <c r="C120" s="164"/>
      <c r="D120" s="378"/>
      <c r="E120" s="379"/>
      <c r="F120" s="379"/>
      <c r="G120" s="379"/>
    </row>
    <row r="121" spans="1:7">
      <c r="A121" s="6"/>
      <c r="B121" s="164"/>
      <c r="C121" s="164"/>
      <c r="D121" s="378"/>
      <c r="E121" s="379"/>
      <c r="F121" s="379"/>
      <c r="G121" s="379"/>
    </row>
    <row r="122" spans="1:7">
      <c r="A122" s="6"/>
      <c r="B122" s="164"/>
      <c r="C122" s="164"/>
      <c r="D122" s="378"/>
      <c r="E122" s="379"/>
      <c r="F122" s="379"/>
      <c r="G122" s="379"/>
    </row>
    <row r="123" spans="1:7">
      <c r="A123" s="6"/>
      <c r="B123" s="164"/>
      <c r="C123" s="164"/>
      <c r="D123" s="378"/>
      <c r="E123" s="379"/>
      <c r="F123" s="379"/>
      <c r="G123" s="379"/>
    </row>
    <row r="124" spans="1:7">
      <c r="A124" s="6"/>
      <c r="B124" s="164"/>
      <c r="C124" s="164"/>
      <c r="D124" s="378"/>
      <c r="E124" s="379"/>
      <c r="F124" s="379"/>
      <c r="G124" s="379"/>
    </row>
    <row r="125" spans="1:7">
      <c r="A125" s="6"/>
      <c r="B125" s="164"/>
      <c r="C125" s="164"/>
      <c r="D125" s="378"/>
      <c r="E125" s="379"/>
      <c r="F125" s="379"/>
      <c r="G125" s="379"/>
    </row>
    <row r="126" spans="1:7">
      <c r="A126" s="6"/>
      <c r="B126" s="164"/>
      <c r="C126" s="164"/>
      <c r="D126" s="378"/>
      <c r="E126" s="379"/>
      <c r="F126" s="379"/>
      <c r="G126" s="379"/>
    </row>
    <row r="127" spans="1:7">
      <c r="A127" s="6"/>
      <c r="B127" s="164"/>
      <c r="C127" s="164"/>
      <c r="D127" s="378"/>
      <c r="E127" s="379"/>
      <c r="F127" s="379"/>
      <c r="G127" s="379"/>
    </row>
    <row r="128" spans="1:7">
      <c r="A128" s="6"/>
      <c r="B128" s="164"/>
      <c r="C128" s="164"/>
      <c r="D128" s="378"/>
      <c r="E128" s="379"/>
      <c r="F128" s="379"/>
      <c r="G128" s="379"/>
    </row>
    <row r="129" spans="1:7">
      <c r="A129" s="6"/>
      <c r="B129" s="164"/>
      <c r="C129" s="164"/>
      <c r="D129" s="378"/>
      <c r="E129" s="379"/>
      <c r="F129" s="379"/>
      <c r="G129" s="379"/>
    </row>
    <row r="130" spans="1:7">
      <c r="A130" s="6"/>
      <c r="B130" s="164"/>
      <c r="C130" s="164"/>
      <c r="D130" s="378"/>
      <c r="E130" s="379"/>
      <c r="F130" s="379"/>
      <c r="G130" s="379"/>
    </row>
    <row r="131" spans="1:7">
      <c r="A131" s="6"/>
      <c r="B131" s="164"/>
      <c r="C131" s="164"/>
      <c r="D131" s="378"/>
      <c r="E131" s="379"/>
      <c r="F131" s="379"/>
      <c r="G131" s="379"/>
    </row>
    <row r="132" spans="1:7">
      <c r="A132" s="6"/>
      <c r="B132" s="164"/>
      <c r="C132" s="164"/>
      <c r="D132" s="378"/>
      <c r="E132" s="379"/>
      <c r="F132" s="379"/>
      <c r="G132" s="379"/>
    </row>
    <row r="133" spans="1:7">
      <c r="A133" s="6"/>
      <c r="B133" s="164"/>
      <c r="C133" s="164"/>
      <c r="D133" s="378"/>
      <c r="E133" s="379"/>
      <c r="F133" s="379"/>
      <c r="G133" s="379"/>
    </row>
    <row r="134" spans="1:7">
      <c r="A134" s="6"/>
      <c r="B134" s="164"/>
      <c r="C134" s="164"/>
      <c r="D134" s="378"/>
      <c r="E134" s="379"/>
      <c r="F134" s="379"/>
      <c r="G134" s="379"/>
    </row>
    <row r="135" spans="1:7">
      <c r="A135" s="6"/>
      <c r="B135" s="164"/>
      <c r="C135" s="164"/>
      <c r="D135" s="378"/>
      <c r="E135" s="379"/>
      <c r="F135" s="379"/>
      <c r="G135" s="379"/>
    </row>
    <row r="136" spans="1:7">
      <c r="A136" s="6"/>
      <c r="B136" s="164"/>
      <c r="C136" s="164"/>
      <c r="D136" s="378"/>
      <c r="E136" s="379"/>
      <c r="F136" s="379"/>
      <c r="G136" s="379"/>
    </row>
    <row r="137" spans="1:7">
      <c r="A137" s="6"/>
      <c r="B137" s="164"/>
      <c r="C137" s="164"/>
      <c r="D137" s="378"/>
      <c r="E137" s="379"/>
      <c r="F137" s="379"/>
      <c r="G137" s="379"/>
    </row>
    <row r="138" spans="1:7">
      <c r="A138" s="6"/>
      <c r="B138" s="164"/>
      <c r="C138" s="164"/>
      <c r="D138" s="378"/>
      <c r="E138" s="379"/>
      <c r="F138" s="379"/>
      <c r="G138" s="379"/>
    </row>
    <row r="139" spans="1:7">
      <c r="A139" s="6"/>
      <c r="B139" s="164"/>
      <c r="C139" s="164"/>
      <c r="D139" s="378"/>
      <c r="E139" s="379"/>
      <c r="F139" s="379"/>
      <c r="G139" s="379"/>
    </row>
    <row r="140" spans="1:7">
      <c r="A140" s="6"/>
      <c r="B140" s="164"/>
      <c r="C140" s="164"/>
      <c r="D140" s="378"/>
      <c r="E140" s="379"/>
      <c r="F140" s="379"/>
      <c r="G140" s="379"/>
    </row>
    <row r="141" spans="1:7">
      <c r="A141" s="6"/>
      <c r="B141" s="164"/>
      <c r="C141" s="164"/>
      <c r="D141" s="378"/>
      <c r="E141" s="379"/>
      <c r="F141" s="379"/>
      <c r="G141" s="379"/>
    </row>
    <row r="142" spans="1:7">
      <c r="A142" s="6"/>
      <c r="B142" s="164"/>
      <c r="C142" s="164"/>
      <c r="D142" s="378"/>
      <c r="E142" s="379"/>
      <c r="F142" s="379"/>
      <c r="G142" s="379"/>
    </row>
    <row r="143" spans="1:7">
      <c r="A143" s="6"/>
      <c r="B143" s="164"/>
      <c r="C143" s="164"/>
      <c r="D143" s="378"/>
      <c r="E143" s="379"/>
      <c r="F143" s="379"/>
      <c r="G143" s="379"/>
    </row>
    <row r="144" spans="1:7">
      <c r="A144" s="6"/>
      <c r="B144" s="164"/>
      <c r="C144" s="164"/>
      <c r="D144" s="378"/>
      <c r="E144" s="379"/>
      <c r="F144" s="379"/>
      <c r="G144" s="379"/>
    </row>
    <row r="145" spans="1:7">
      <c r="A145" s="6"/>
      <c r="B145" s="164"/>
      <c r="C145" s="164"/>
      <c r="D145" s="378"/>
      <c r="E145" s="379"/>
      <c r="F145" s="379"/>
      <c r="G145" s="379"/>
    </row>
    <row r="146" spans="1:7">
      <c r="A146" s="6"/>
      <c r="B146" s="164"/>
      <c r="C146" s="164"/>
      <c r="D146" s="378"/>
      <c r="E146" s="379"/>
      <c r="F146" s="379"/>
      <c r="G146" s="379"/>
    </row>
    <row r="147" spans="1:7">
      <c r="A147" s="6"/>
      <c r="B147" s="164"/>
      <c r="C147" s="164"/>
      <c r="D147" s="378"/>
      <c r="E147" s="379"/>
      <c r="F147" s="379"/>
      <c r="G147" s="379"/>
    </row>
    <row r="148" spans="1:7">
      <c r="A148" s="6"/>
      <c r="B148" s="164"/>
      <c r="C148" s="164"/>
      <c r="D148" s="378"/>
      <c r="E148" s="379"/>
      <c r="F148" s="379"/>
      <c r="G148" s="379"/>
    </row>
    <row r="149" spans="1:7">
      <c r="A149" s="6"/>
      <c r="B149" s="164"/>
      <c r="C149" s="164"/>
      <c r="D149" s="378"/>
      <c r="E149" s="379"/>
      <c r="F149" s="379"/>
      <c r="G149" s="379"/>
    </row>
    <row r="150" spans="1:7">
      <c r="A150" s="6"/>
      <c r="B150" s="164"/>
      <c r="C150" s="164"/>
      <c r="D150" s="378"/>
      <c r="E150" s="379"/>
      <c r="F150" s="379"/>
      <c r="G150" s="379"/>
    </row>
    <row r="151" spans="1:7">
      <c r="A151" s="6"/>
      <c r="B151" s="164"/>
      <c r="C151" s="164"/>
      <c r="D151" s="378"/>
      <c r="E151" s="379"/>
      <c r="F151" s="379"/>
      <c r="G151" s="379"/>
    </row>
    <row r="152" spans="1:7">
      <c r="A152" s="6"/>
      <c r="B152" s="164"/>
      <c r="C152" s="164"/>
      <c r="D152" s="378"/>
      <c r="E152" s="379"/>
      <c r="F152" s="379"/>
      <c r="G152" s="379"/>
    </row>
    <row r="153" spans="1:7">
      <c r="A153" s="6"/>
      <c r="B153" s="164"/>
      <c r="C153" s="164"/>
      <c r="D153" s="378"/>
      <c r="E153" s="379"/>
      <c r="F153" s="379"/>
      <c r="G153" s="379"/>
    </row>
    <row r="154" spans="1:7">
      <c r="A154" s="6"/>
      <c r="B154" s="164"/>
      <c r="C154" s="164"/>
      <c r="D154" s="378"/>
      <c r="E154" s="379"/>
      <c r="F154" s="379"/>
      <c r="G154" s="379"/>
    </row>
    <row r="155" spans="1:7">
      <c r="A155" s="6"/>
      <c r="B155" s="164"/>
      <c r="C155" s="164"/>
      <c r="D155" s="378"/>
      <c r="E155" s="379"/>
      <c r="F155" s="379"/>
      <c r="G155" s="379"/>
    </row>
    <row r="156" spans="1:7">
      <c r="A156" s="6"/>
      <c r="B156" s="164"/>
      <c r="C156" s="164"/>
      <c r="D156" s="378"/>
      <c r="E156" s="379"/>
      <c r="F156" s="379"/>
      <c r="G156" s="379"/>
    </row>
    <row r="157" spans="1:7">
      <c r="A157" s="6"/>
      <c r="B157" s="164"/>
      <c r="C157" s="164"/>
      <c r="D157" s="378"/>
      <c r="E157" s="379"/>
      <c r="F157" s="379"/>
      <c r="G157" s="379"/>
    </row>
    <row r="158" spans="1:7">
      <c r="A158" s="6"/>
      <c r="B158" s="164"/>
      <c r="C158" s="164"/>
      <c r="D158" s="378"/>
      <c r="E158" s="379"/>
      <c r="F158" s="379"/>
      <c r="G158" s="379"/>
    </row>
    <row r="159" spans="1:7">
      <c r="A159" s="6"/>
      <c r="B159" s="164"/>
      <c r="C159" s="164"/>
      <c r="D159" s="378"/>
      <c r="E159" s="379"/>
      <c r="F159" s="379"/>
      <c r="G159" s="379"/>
    </row>
    <row r="160" spans="1:7">
      <c r="A160" s="6"/>
      <c r="B160" s="164"/>
      <c r="C160" s="164"/>
      <c r="D160" s="378"/>
      <c r="E160" s="379"/>
      <c r="F160" s="379"/>
      <c r="G160" s="379"/>
    </row>
    <row r="161" spans="1:7">
      <c r="A161" s="6"/>
      <c r="B161" s="164"/>
      <c r="C161" s="164"/>
      <c r="D161" s="378"/>
      <c r="E161" s="379"/>
      <c r="F161" s="379"/>
      <c r="G161" s="379"/>
    </row>
    <row r="162" spans="1:7">
      <c r="A162" s="6"/>
      <c r="B162" s="164"/>
      <c r="C162" s="164"/>
      <c r="D162" s="378"/>
      <c r="E162" s="379"/>
      <c r="F162" s="379"/>
      <c r="G162" s="379"/>
    </row>
    <row r="163" spans="1:7">
      <c r="A163" s="6"/>
      <c r="B163" s="164"/>
      <c r="C163" s="164"/>
      <c r="D163" s="378"/>
      <c r="E163" s="379"/>
      <c r="F163" s="379"/>
      <c r="G163" s="379"/>
    </row>
    <row r="164" spans="1:7">
      <c r="A164" s="6"/>
      <c r="B164" s="164"/>
      <c r="C164" s="164"/>
      <c r="D164" s="378"/>
      <c r="E164" s="379"/>
      <c r="F164" s="379"/>
      <c r="G164" s="379"/>
    </row>
    <row r="165" spans="1:7">
      <c r="A165" s="6"/>
      <c r="B165" s="164"/>
      <c r="C165" s="164"/>
      <c r="D165" s="378"/>
      <c r="E165" s="379"/>
      <c r="F165" s="379"/>
      <c r="G165" s="379"/>
    </row>
    <row r="166" spans="1:7">
      <c r="A166" s="6"/>
      <c r="B166" s="164"/>
      <c r="C166" s="164"/>
      <c r="D166" s="378"/>
      <c r="E166" s="379"/>
      <c r="F166" s="379"/>
      <c r="G166" s="379"/>
    </row>
    <row r="167" spans="1:7">
      <c r="A167" s="6"/>
      <c r="B167" s="164"/>
      <c r="C167" s="164"/>
      <c r="D167" s="378"/>
      <c r="E167" s="379"/>
      <c r="F167" s="379"/>
      <c r="G167" s="379"/>
    </row>
    <row r="168" spans="1:7">
      <c r="A168" s="6"/>
      <c r="B168" s="164"/>
      <c r="C168" s="164"/>
      <c r="D168" s="378"/>
      <c r="E168" s="379"/>
      <c r="F168" s="379"/>
      <c r="G168" s="379"/>
    </row>
    <row r="169" spans="1:7">
      <c r="A169" s="6"/>
      <c r="B169" s="164"/>
      <c r="C169" s="164"/>
      <c r="D169" s="378"/>
      <c r="E169" s="379"/>
      <c r="F169" s="379"/>
      <c r="G169" s="379"/>
    </row>
    <row r="170" spans="1:7">
      <c r="A170" s="6"/>
      <c r="B170" s="164"/>
      <c r="C170" s="164"/>
      <c r="D170" s="378"/>
      <c r="E170" s="379"/>
      <c r="F170" s="379"/>
      <c r="G170" s="379"/>
    </row>
    <row r="171" spans="1:7">
      <c r="A171" s="6"/>
      <c r="B171" s="164"/>
      <c r="C171" s="164"/>
      <c r="D171" s="378"/>
      <c r="E171" s="379"/>
      <c r="F171" s="379"/>
      <c r="G171" s="379"/>
    </row>
    <row r="172" spans="1:7">
      <c r="A172" s="6"/>
      <c r="B172" s="164"/>
      <c r="C172" s="164"/>
      <c r="D172" s="378"/>
      <c r="E172" s="379"/>
      <c r="F172" s="379"/>
      <c r="G172" s="379"/>
    </row>
    <row r="173" spans="1:7">
      <c r="A173" s="6"/>
      <c r="B173" s="164"/>
      <c r="C173" s="164"/>
      <c r="D173" s="378"/>
      <c r="E173" s="379"/>
      <c r="F173" s="379"/>
      <c r="G173" s="379"/>
    </row>
    <row r="174" spans="1:7">
      <c r="A174" s="6"/>
      <c r="B174" s="164"/>
      <c r="C174" s="164"/>
      <c r="D174" s="378"/>
      <c r="E174" s="379"/>
      <c r="F174" s="379"/>
      <c r="G174" s="379"/>
    </row>
    <row r="175" spans="1:7">
      <c r="A175" s="6"/>
      <c r="B175" s="164"/>
      <c r="C175" s="164"/>
      <c r="D175" s="378"/>
      <c r="E175" s="379"/>
      <c r="F175" s="379"/>
      <c r="G175" s="379"/>
    </row>
    <row r="176" spans="1:7">
      <c r="A176" s="6"/>
      <c r="B176" s="164"/>
      <c r="C176" s="164"/>
      <c r="D176" s="378"/>
      <c r="E176" s="379"/>
      <c r="F176" s="379"/>
      <c r="G176" s="379"/>
    </row>
    <row r="177" spans="1:7">
      <c r="A177" s="6"/>
      <c r="B177" s="164"/>
      <c r="C177" s="164"/>
      <c r="D177" s="378"/>
      <c r="E177" s="379"/>
      <c r="F177" s="379"/>
      <c r="G177" s="379"/>
    </row>
    <row r="178" spans="1:7">
      <c r="A178" s="6"/>
      <c r="B178" s="164"/>
      <c r="C178" s="164"/>
      <c r="D178" s="378"/>
      <c r="E178" s="379"/>
      <c r="F178" s="379"/>
      <c r="G178" s="379"/>
    </row>
    <row r="179" spans="1:7">
      <c r="A179" s="6"/>
      <c r="B179" s="164"/>
      <c r="C179" s="164"/>
      <c r="D179" s="378"/>
      <c r="E179" s="379"/>
      <c r="F179" s="379"/>
      <c r="G179" s="379"/>
    </row>
    <row r="180" spans="1:7">
      <c r="A180" s="6"/>
      <c r="B180" s="164"/>
      <c r="C180" s="164"/>
      <c r="D180" s="378"/>
      <c r="E180" s="379"/>
      <c r="F180" s="379"/>
      <c r="G180" s="379"/>
    </row>
    <row r="181" spans="1:7">
      <c r="A181" s="6"/>
      <c r="B181" s="164"/>
      <c r="C181" s="164"/>
      <c r="D181" s="378"/>
      <c r="E181" s="379"/>
      <c r="F181" s="379"/>
      <c r="G181" s="379"/>
    </row>
    <row r="182" spans="1:7">
      <c r="A182" s="6"/>
      <c r="B182" s="164"/>
      <c r="C182" s="164"/>
      <c r="D182" s="378"/>
      <c r="E182" s="379"/>
      <c r="F182" s="379"/>
      <c r="G182" s="379"/>
    </row>
    <row r="183" spans="1:7">
      <c r="A183" s="6"/>
      <c r="B183" s="164"/>
      <c r="C183" s="164"/>
      <c r="D183" s="378"/>
      <c r="E183" s="379"/>
      <c r="F183" s="379"/>
      <c r="G183" s="379"/>
    </row>
    <row r="184" spans="1:7">
      <c r="A184" s="6"/>
      <c r="B184" s="164"/>
      <c r="C184" s="164"/>
      <c r="D184" s="378"/>
      <c r="E184" s="379"/>
      <c r="F184" s="379"/>
      <c r="G184" s="379"/>
    </row>
    <row r="185" spans="1:7">
      <c r="A185" s="6"/>
      <c r="B185" s="164"/>
      <c r="C185" s="164"/>
      <c r="D185" s="378"/>
      <c r="E185" s="379"/>
      <c r="F185" s="379"/>
      <c r="G185" s="379"/>
    </row>
    <row r="186" spans="1:7">
      <c r="A186" s="6"/>
      <c r="B186" s="164"/>
      <c r="C186" s="164"/>
      <c r="D186" s="378"/>
      <c r="E186" s="379"/>
      <c r="F186" s="379"/>
      <c r="G186" s="379"/>
    </row>
    <row r="187" spans="1:7">
      <c r="A187" s="6"/>
      <c r="B187" s="164"/>
      <c r="C187" s="164"/>
      <c r="D187" s="378"/>
      <c r="E187" s="379"/>
      <c r="F187" s="379"/>
      <c r="G187" s="379"/>
    </row>
    <row r="188" spans="1:7">
      <c r="A188" s="6"/>
      <c r="B188" s="164"/>
      <c r="C188" s="164"/>
      <c r="D188" s="378"/>
      <c r="E188" s="379"/>
      <c r="F188" s="379"/>
      <c r="G188" s="379"/>
    </row>
    <row r="189" spans="1:7">
      <c r="A189" s="6"/>
      <c r="B189" s="164"/>
      <c r="C189" s="164"/>
      <c r="D189" s="378"/>
      <c r="E189" s="379"/>
      <c r="F189" s="379"/>
      <c r="G189" s="379"/>
    </row>
    <row r="190" spans="1:7">
      <c r="A190" s="6"/>
      <c r="B190" s="164"/>
      <c r="C190" s="164"/>
      <c r="D190" s="378"/>
      <c r="E190" s="379"/>
      <c r="F190" s="379"/>
      <c r="G190" s="379"/>
    </row>
    <row r="191" spans="1:7">
      <c r="A191" s="6"/>
      <c r="B191" s="164"/>
      <c r="C191" s="164"/>
      <c r="D191" s="378"/>
      <c r="E191" s="379"/>
      <c r="F191" s="379"/>
      <c r="G191" s="379"/>
    </row>
    <row r="192" spans="1:7">
      <c r="A192" s="6"/>
      <c r="B192" s="164"/>
      <c r="C192" s="164"/>
      <c r="D192" s="378"/>
      <c r="E192" s="379"/>
      <c r="F192" s="379"/>
      <c r="G192" s="379"/>
    </row>
    <row r="193" spans="1:7">
      <c r="A193" s="6"/>
      <c r="B193" s="164"/>
      <c r="C193" s="164"/>
      <c r="D193" s="378"/>
      <c r="E193" s="379"/>
      <c r="F193" s="379"/>
      <c r="G193" s="379"/>
    </row>
    <row r="194" spans="1:7">
      <c r="A194" s="6"/>
      <c r="B194" s="164"/>
      <c r="C194" s="164"/>
      <c r="D194" s="378"/>
      <c r="E194" s="379"/>
      <c r="F194" s="379"/>
      <c r="G194" s="379"/>
    </row>
    <row r="195" spans="1:7">
      <c r="A195" s="6"/>
      <c r="B195" s="164"/>
      <c r="C195" s="164"/>
      <c r="D195" s="378"/>
      <c r="E195" s="379"/>
      <c r="F195" s="379"/>
      <c r="G195" s="379"/>
    </row>
    <row r="196" spans="1:7">
      <c r="A196" s="6"/>
      <c r="B196" s="164"/>
      <c r="C196" s="164"/>
      <c r="D196" s="378"/>
      <c r="E196" s="379"/>
      <c r="F196" s="379"/>
      <c r="G196" s="379"/>
    </row>
    <row r="197" spans="1:7">
      <c r="A197" s="6"/>
      <c r="B197" s="164"/>
      <c r="C197" s="164"/>
      <c r="D197" s="378"/>
      <c r="E197" s="379"/>
      <c r="F197" s="379"/>
      <c r="G197" s="379"/>
    </row>
    <row r="198" spans="1:7">
      <c r="A198" s="6"/>
      <c r="B198" s="164"/>
      <c r="C198" s="164"/>
      <c r="D198" s="378"/>
      <c r="E198" s="379"/>
      <c r="F198" s="379"/>
      <c r="G198" s="379"/>
    </row>
    <row r="199" spans="1:7">
      <c r="A199" s="6"/>
      <c r="B199" s="164"/>
      <c r="C199" s="164"/>
      <c r="D199" s="378"/>
      <c r="E199" s="379"/>
      <c r="F199" s="379"/>
      <c r="G199" s="379"/>
    </row>
    <row r="200" spans="1:7">
      <c r="A200" s="6"/>
      <c r="B200" s="164"/>
      <c r="C200" s="164"/>
      <c r="D200" s="378"/>
      <c r="E200" s="379"/>
      <c r="F200" s="379"/>
      <c r="G200" s="379"/>
    </row>
    <row r="201" spans="1:7">
      <c r="A201" s="6"/>
      <c r="B201" s="164"/>
      <c r="C201" s="164"/>
      <c r="D201" s="378"/>
      <c r="E201" s="379"/>
      <c r="F201" s="379"/>
      <c r="G201" s="379"/>
    </row>
    <row r="202" spans="1:7">
      <c r="A202" s="6"/>
      <c r="B202" s="164"/>
      <c r="C202" s="164"/>
      <c r="D202" s="378"/>
      <c r="E202" s="379"/>
      <c r="F202" s="379"/>
      <c r="G202" s="379"/>
    </row>
    <row r="203" spans="1:7">
      <c r="A203" s="6"/>
      <c r="B203" s="164"/>
      <c r="C203" s="164"/>
      <c r="D203" s="378"/>
      <c r="E203" s="379"/>
      <c r="F203" s="379"/>
      <c r="G203" s="379"/>
    </row>
    <row r="204" spans="1:7">
      <c r="A204" s="6"/>
      <c r="B204" s="164"/>
      <c r="C204" s="164"/>
      <c r="D204" s="378"/>
      <c r="E204" s="379"/>
      <c r="F204" s="379"/>
      <c r="G204" s="379"/>
    </row>
    <row r="205" spans="1:7">
      <c r="A205" s="6"/>
      <c r="B205" s="164"/>
      <c r="C205" s="164"/>
      <c r="D205" s="378"/>
      <c r="E205" s="379"/>
      <c r="F205" s="379"/>
      <c r="G205" s="379"/>
    </row>
    <row r="206" spans="1:7">
      <c r="A206" s="6"/>
      <c r="B206" s="164"/>
      <c r="C206" s="164"/>
      <c r="D206" s="378"/>
      <c r="E206" s="379"/>
      <c r="F206" s="379"/>
      <c r="G206" s="379"/>
    </row>
    <row r="207" spans="1:7">
      <c r="A207" s="6"/>
      <c r="B207" s="164"/>
      <c r="C207" s="164"/>
      <c r="D207" s="378"/>
      <c r="E207" s="379"/>
      <c r="F207" s="379"/>
      <c r="G207" s="379"/>
    </row>
    <row r="208" spans="1:7">
      <c r="A208" s="6"/>
      <c r="B208" s="164"/>
      <c r="C208" s="164"/>
      <c r="D208" s="378"/>
      <c r="E208" s="379"/>
      <c r="F208" s="379"/>
      <c r="G208" s="379"/>
    </row>
    <row r="209" spans="1:7">
      <c r="A209" s="6"/>
      <c r="B209" s="164"/>
      <c r="C209" s="164"/>
      <c r="D209" s="378"/>
      <c r="E209" s="379"/>
      <c r="F209" s="379"/>
      <c r="G209" s="379"/>
    </row>
    <row r="210" spans="1:7">
      <c r="A210" s="6"/>
      <c r="B210" s="164"/>
      <c r="C210" s="164"/>
      <c r="D210" s="378"/>
      <c r="E210" s="379"/>
      <c r="F210" s="379"/>
      <c r="G210" s="379"/>
    </row>
    <row r="211" spans="1:7">
      <c r="A211" s="6"/>
      <c r="B211" s="164"/>
      <c r="C211" s="164"/>
      <c r="D211" s="378"/>
      <c r="E211" s="379"/>
      <c r="F211" s="379"/>
      <c r="G211" s="379"/>
    </row>
    <row r="212" spans="1:7">
      <c r="A212" s="6"/>
      <c r="B212" s="164"/>
      <c r="C212" s="164"/>
      <c r="D212" s="378"/>
      <c r="E212" s="379"/>
      <c r="F212" s="379"/>
      <c r="G212" s="379"/>
    </row>
    <row r="213" spans="1:7">
      <c r="A213" s="6"/>
      <c r="B213" s="164"/>
      <c r="C213" s="164"/>
      <c r="D213" s="378"/>
      <c r="E213" s="379"/>
      <c r="F213" s="379"/>
      <c r="G213" s="379"/>
    </row>
    <row r="214" spans="1:7">
      <c r="A214" s="6"/>
      <c r="B214" s="164"/>
      <c r="C214" s="164"/>
      <c r="D214" s="378"/>
      <c r="E214" s="379"/>
      <c r="F214" s="379"/>
      <c r="G214" s="379"/>
    </row>
    <row r="215" spans="1:7">
      <c r="A215" s="6"/>
      <c r="B215" s="164"/>
      <c r="C215" s="164"/>
      <c r="D215" s="378"/>
      <c r="E215" s="379"/>
      <c r="F215" s="379"/>
      <c r="G215" s="379"/>
    </row>
    <row r="216" spans="1:7">
      <c r="A216" s="6"/>
      <c r="B216" s="164"/>
      <c r="C216" s="164"/>
      <c r="D216" s="378"/>
      <c r="E216" s="379"/>
      <c r="F216" s="379"/>
      <c r="G216" s="379"/>
    </row>
    <row r="217" spans="1:7">
      <c r="A217" s="6"/>
      <c r="B217" s="164"/>
      <c r="C217" s="164"/>
      <c r="D217" s="378"/>
      <c r="E217" s="379"/>
      <c r="F217" s="379"/>
      <c r="G217" s="379"/>
    </row>
    <row r="218" spans="1:7">
      <c r="A218" s="6"/>
      <c r="B218" s="164"/>
      <c r="C218" s="164"/>
      <c r="D218" s="378"/>
      <c r="E218" s="379"/>
      <c r="F218" s="379"/>
      <c r="G218" s="379"/>
    </row>
    <row r="219" spans="1:7">
      <c r="A219" s="6"/>
      <c r="B219" s="164"/>
      <c r="C219" s="164"/>
      <c r="D219" s="378"/>
      <c r="E219" s="379"/>
      <c r="F219" s="379"/>
      <c r="G219" s="379"/>
    </row>
    <row r="220" spans="1:7">
      <c r="A220" s="6"/>
      <c r="B220" s="164"/>
      <c r="C220" s="164"/>
      <c r="D220" s="378"/>
      <c r="E220" s="379"/>
      <c r="F220" s="379"/>
      <c r="G220" s="379"/>
    </row>
    <row r="221" spans="1:7">
      <c r="A221" s="6"/>
      <c r="B221" s="164"/>
      <c r="C221" s="164"/>
      <c r="D221" s="378"/>
      <c r="E221" s="379"/>
      <c r="F221" s="379"/>
      <c r="G221" s="379"/>
    </row>
    <row r="222" spans="1:7">
      <c r="A222" s="6"/>
      <c r="B222" s="164"/>
      <c r="C222" s="164"/>
      <c r="D222" s="378"/>
      <c r="E222" s="379"/>
      <c r="F222" s="379"/>
      <c r="G222" s="379"/>
    </row>
    <row r="223" spans="1:7">
      <c r="A223" s="6"/>
      <c r="B223" s="164"/>
      <c r="C223" s="164"/>
      <c r="D223" s="378"/>
      <c r="E223" s="379"/>
      <c r="F223" s="379"/>
      <c r="G223" s="379"/>
    </row>
    <row r="224" spans="1:7">
      <c r="A224" s="6"/>
      <c r="B224" s="164"/>
      <c r="C224" s="164"/>
      <c r="D224" s="378"/>
      <c r="E224" s="379"/>
      <c r="F224" s="379"/>
      <c r="G224" s="379"/>
    </row>
    <row r="225" spans="1:7">
      <c r="A225" s="6"/>
      <c r="B225" s="164"/>
      <c r="C225" s="164"/>
      <c r="D225" s="378"/>
      <c r="E225" s="379"/>
      <c r="F225" s="379"/>
      <c r="G225" s="379"/>
    </row>
    <row r="226" spans="1:7">
      <c r="A226" s="6"/>
      <c r="B226" s="164"/>
      <c r="C226" s="164"/>
      <c r="D226" s="378"/>
      <c r="E226" s="379"/>
      <c r="F226" s="379"/>
      <c r="G226" s="379"/>
    </row>
    <row r="227" spans="1:7">
      <c r="A227" s="6"/>
      <c r="B227" s="164"/>
      <c r="C227" s="164"/>
      <c r="D227" s="378"/>
      <c r="E227" s="379"/>
      <c r="F227" s="379"/>
      <c r="G227" s="379"/>
    </row>
    <row r="228" spans="1:7">
      <c r="A228" s="6"/>
      <c r="B228" s="164"/>
      <c r="C228" s="164"/>
      <c r="D228" s="378"/>
      <c r="E228" s="379"/>
      <c r="F228" s="379"/>
      <c r="G228" s="379"/>
    </row>
    <row r="229" spans="1:7">
      <c r="A229" s="6"/>
      <c r="B229" s="164"/>
      <c r="C229" s="164"/>
      <c r="D229" s="378"/>
      <c r="E229" s="379"/>
      <c r="F229" s="379"/>
      <c r="G229" s="379"/>
    </row>
    <row r="230" spans="1:7">
      <c r="A230" s="6"/>
      <c r="B230" s="164"/>
      <c r="C230" s="164"/>
      <c r="D230" s="378"/>
      <c r="E230" s="379"/>
      <c r="F230" s="379"/>
      <c r="G230" s="379"/>
    </row>
    <row r="231" spans="1:7">
      <c r="A231" s="6"/>
      <c r="B231" s="164"/>
      <c r="C231" s="164"/>
      <c r="D231" s="378"/>
      <c r="E231" s="379"/>
      <c r="F231" s="379"/>
      <c r="G231" s="379"/>
    </row>
    <row r="232" spans="1:7">
      <c r="A232" s="6"/>
      <c r="B232" s="164"/>
      <c r="C232" s="164"/>
      <c r="D232" s="378"/>
      <c r="E232" s="379"/>
      <c r="F232" s="379"/>
      <c r="G232" s="379"/>
    </row>
    <row r="233" spans="1:7">
      <c r="A233" s="6"/>
      <c r="B233" s="164"/>
      <c r="C233" s="164"/>
      <c r="D233" s="378"/>
      <c r="E233" s="379"/>
      <c r="F233" s="379"/>
      <c r="G233" s="379"/>
    </row>
    <row r="234" spans="1:7">
      <c r="A234" s="6"/>
      <c r="B234" s="164"/>
      <c r="C234" s="164"/>
      <c r="D234" s="378"/>
      <c r="E234" s="379"/>
      <c r="F234" s="379"/>
      <c r="G234" s="379"/>
    </row>
    <row r="235" spans="1:7">
      <c r="A235" s="6"/>
      <c r="B235" s="164"/>
      <c r="C235" s="164"/>
      <c r="D235" s="378"/>
      <c r="E235" s="379"/>
      <c r="F235" s="379"/>
      <c r="G235" s="379"/>
    </row>
    <row r="236" spans="1:7">
      <c r="A236" s="6"/>
      <c r="B236" s="164"/>
      <c r="C236" s="164"/>
      <c r="D236" s="378"/>
      <c r="E236" s="379"/>
      <c r="F236" s="379"/>
      <c r="G236" s="379"/>
    </row>
    <row r="237" spans="1:7">
      <c r="A237" s="6"/>
      <c r="B237" s="164"/>
      <c r="C237" s="164"/>
      <c r="D237" s="378"/>
      <c r="E237" s="379"/>
      <c r="F237" s="379"/>
      <c r="G237" s="379"/>
    </row>
    <row r="238" spans="1:7">
      <c r="A238" s="6"/>
      <c r="B238" s="164"/>
      <c r="C238" s="164"/>
      <c r="D238" s="378"/>
      <c r="E238" s="379"/>
      <c r="F238" s="379"/>
      <c r="G238" s="379"/>
    </row>
    <row r="239" spans="1:7">
      <c r="A239" s="6"/>
      <c r="B239" s="164"/>
      <c r="C239" s="164"/>
      <c r="D239" s="378"/>
      <c r="E239" s="379"/>
      <c r="F239" s="379"/>
      <c r="G239" s="379"/>
    </row>
    <row r="240" spans="1:7">
      <c r="A240" s="6"/>
      <c r="B240" s="164"/>
      <c r="C240" s="164"/>
      <c r="D240" s="378"/>
      <c r="E240" s="379"/>
      <c r="F240" s="379"/>
      <c r="G240" s="379"/>
    </row>
    <row r="241" spans="1:7">
      <c r="A241" s="6"/>
      <c r="B241" s="164"/>
      <c r="C241" s="164"/>
      <c r="D241" s="378"/>
      <c r="E241" s="379"/>
      <c r="F241" s="379"/>
      <c r="G241" s="379"/>
    </row>
    <row r="242" spans="1:7">
      <c r="A242" s="6"/>
      <c r="B242" s="164"/>
      <c r="C242" s="164"/>
      <c r="D242" s="378"/>
      <c r="E242" s="379"/>
      <c r="F242" s="379"/>
      <c r="G242" s="379"/>
    </row>
    <row r="243" spans="1:7">
      <c r="A243" s="6"/>
      <c r="B243" s="164"/>
      <c r="C243" s="164"/>
      <c r="D243" s="378"/>
      <c r="E243" s="379"/>
      <c r="F243" s="379"/>
      <c r="G243" s="379"/>
    </row>
    <row r="244" spans="1:7">
      <c r="A244" s="6"/>
      <c r="B244" s="164"/>
      <c r="C244" s="164"/>
      <c r="D244" s="378"/>
      <c r="E244" s="379"/>
      <c r="F244" s="379"/>
      <c r="G244" s="379"/>
    </row>
    <row r="245" spans="1:7">
      <c r="A245" s="6"/>
      <c r="B245" s="164"/>
      <c r="C245" s="164"/>
      <c r="D245" s="378"/>
      <c r="E245" s="379"/>
      <c r="F245" s="379"/>
      <c r="G245" s="379"/>
    </row>
    <row r="246" spans="1:7">
      <c r="A246" s="6"/>
      <c r="B246" s="164"/>
      <c r="C246" s="164"/>
      <c r="D246" s="378"/>
      <c r="E246" s="379"/>
      <c r="F246" s="379"/>
      <c r="G246" s="379"/>
    </row>
    <row r="247" spans="1:7">
      <c r="A247" s="6"/>
      <c r="B247" s="164"/>
      <c r="C247" s="164"/>
      <c r="D247" s="378"/>
      <c r="E247" s="379"/>
      <c r="F247" s="379"/>
      <c r="G247" s="379"/>
    </row>
    <row r="248" spans="1:7">
      <c r="A248" s="6"/>
      <c r="B248" s="164"/>
      <c r="C248" s="164"/>
      <c r="D248" s="378"/>
      <c r="E248" s="379"/>
      <c r="F248" s="379"/>
      <c r="G248" s="379"/>
    </row>
    <row r="249" spans="1:7">
      <c r="A249" s="6"/>
      <c r="B249" s="164"/>
      <c r="C249" s="164"/>
      <c r="D249" s="378"/>
      <c r="E249" s="379"/>
      <c r="F249" s="379"/>
      <c r="G249" s="379"/>
    </row>
    <row r="250" spans="1:7">
      <c r="A250" s="6"/>
      <c r="B250" s="164"/>
      <c r="C250" s="164"/>
      <c r="D250" s="378"/>
      <c r="E250" s="379"/>
      <c r="F250" s="379"/>
      <c r="G250" s="379"/>
    </row>
    <row r="251" spans="1:7">
      <c r="A251" s="6"/>
      <c r="B251" s="164"/>
      <c r="C251" s="164"/>
      <c r="D251" s="378"/>
      <c r="E251" s="379"/>
      <c r="F251" s="379"/>
      <c r="G251" s="379"/>
    </row>
    <row r="252" spans="1:7">
      <c r="A252" s="6"/>
      <c r="B252" s="164"/>
      <c r="C252" s="164"/>
      <c r="D252" s="378"/>
      <c r="E252" s="379"/>
      <c r="F252" s="379"/>
      <c r="G252" s="379"/>
    </row>
    <row r="253" spans="1:7">
      <c r="A253" s="6"/>
      <c r="B253" s="164"/>
      <c r="C253" s="164"/>
      <c r="D253" s="378"/>
      <c r="E253" s="379"/>
      <c r="F253" s="379"/>
      <c r="G253" s="379"/>
    </row>
    <row r="254" spans="1:7">
      <c r="A254" s="6"/>
      <c r="B254" s="164"/>
      <c r="C254" s="164"/>
      <c r="D254" s="378"/>
      <c r="E254" s="379"/>
      <c r="F254" s="379"/>
      <c r="G254" s="379"/>
    </row>
    <row r="255" spans="1:7">
      <c r="A255" s="6"/>
      <c r="B255" s="164"/>
      <c r="C255" s="164"/>
      <c r="D255" s="378"/>
      <c r="E255" s="379"/>
      <c r="F255" s="379"/>
      <c r="G255" s="379"/>
    </row>
    <row r="256" spans="1:7">
      <c r="A256" s="6"/>
      <c r="B256" s="164"/>
      <c r="C256" s="164"/>
      <c r="D256" s="378"/>
      <c r="E256" s="379"/>
      <c r="F256" s="379"/>
      <c r="G256" s="379"/>
    </row>
    <row r="257" spans="1:7">
      <c r="A257" s="6"/>
      <c r="B257" s="164"/>
      <c r="C257" s="164"/>
      <c r="D257" s="378"/>
      <c r="E257" s="379"/>
      <c r="F257" s="379"/>
      <c r="G257" s="379"/>
    </row>
    <row r="258" spans="1:7">
      <c r="A258" s="6"/>
      <c r="B258" s="164"/>
      <c r="C258" s="164"/>
      <c r="D258" s="378"/>
      <c r="E258" s="379"/>
      <c r="F258" s="379"/>
      <c r="G258" s="379"/>
    </row>
    <row r="259" spans="1:7">
      <c r="A259" s="6"/>
      <c r="B259" s="164"/>
      <c r="C259" s="164"/>
      <c r="D259" s="378"/>
      <c r="E259" s="379"/>
      <c r="F259" s="379"/>
      <c r="G259" s="379"/>
    </row>
    <row r="260" spans="1:7">
      <c r="A260" s="6"/>
      <c r="B260" s="164"/>
      <c r="C260" s="164"/>
      <c r="D260" s="378"/>
      <c r="E260" s="379"/>
      <c r="F260" s="379"/>
      <c r="G260" s="379"/>
    </row>
    <row r="261" spans="1:7">
      <c r="A261" s="6"/>
      <c r="B261" s="164"/>
      <c r="C261" s="164"/>
      <c r="D261" s="378"/>
      <c r="E261" s="379"/>
      <c r="F261" s="379"/>
      <c r="G261" s="379"/>
    </row>
    <row r="262" spans="1:7">
      <c r="A262" s="6"/>
      <c r="B262" s="164"/>
      <c r="C262" s="164"/>
      <c r="D262" s="378"/>
      <c r="E262" s="379"/>
      <c r="F262" s="379"/>
      <c r="G262" s="379"/>
    </row>
    <row r="263" spans="1:7">
      <c r="A263" s="6"/>
      <c r="B263" s="164"/>
      <c r="C263" s="164"/>
      <c r="D263" s="378"/>
      <c r="E263" s="379"/>
      <c r="F263" s="379"/>
      <c r="G263" s="379"/>
    </row>
    <row r="264" spans="1:7">
      <c r="A264" s="6"/>
      <c r="B264" s="164"/>
      <c r="C264" s="164"/>
      <c r="D264" s="378"/>
      <c r="E264" s="379"/>
      <c r="F264" s="379"/>
      <c r="G264" s="379"/>
    </row>
    <row r="265" spans="1:7">
      <c r="A265" s="6"/>
      <c r="B265" s="164"/>
      <c r="C265" s="164"/>
      <c r="D265" s="378"/>
      <c r="E265" s="379"/>
      <c r="F265" s="379"/>
      <c r="G265" s="379"/>
    </row>
    <row r="266" spans="1:7">
      <c r="A266" s="6"/>
      <c r="B266" s="164"/>
      <c r="C266" s="164"/>
      <c r="D266" s="378"/>
      <c r="E266" s="379"/>
      <c r="F266" s="379"/>
      <c r="G266" s="379"/>
    </row>
    <row r="267" spans="1:7">
      <c r="A267" s="6"/>
      <c r="B267" s="164"/>
      <c r="C267" s="164"/>
      <c r="D267" s="378"/>
      <c r="E267" s="379"/>
      <c r="F267" s="379"/>
      <c r="G267" s="379"/>
    </row>
    <row r="268" spans="1:7">
      <c r="A268" s="6"/>
      <c r="B268" s="164"/>
      <c r="C268" s="164"/>
      <c r="D268" s="378"/>
      <c r="E268" s="379"/>
      <c r="F268" s="379"/>
      <c r="G268" s="379"/>
    </row>
    <row r="269" spans="1:7">
      <c r="A269" s="6"/>
      <c r="B269" s="164"/>
      <c r="C269" s="164"/>
      <c r="D269" s="378"/>
      <c r="E269" s="379"/>
      <c r="F269" s="379"/>
      <c r="G269" s="379"/>
    </row>
    <row r="270" spans="1:7">
      <c r="A270" s="6"/>
      <c r="B270" s="164"/>
      <c r="C270" s="164"/>
      <c r="D270" s="378"/>
      <c r="E270" s="379"/>
      <c r="F270" s="379"/>
      <c r="G270" s="379"/>
    </row>
    <row r="271" spans="1:7">
      <c r="A271" s="6"/>
      <c r="B271" s="164"/>
      <c r="C271" s="164"/>
      <c r="D271" s="378"/>
      <c r="E271" s="379"/>
      <c r="F271" s="379"/>
      <c r="G271" s="379"/>
    </row>
    <row r="272" spans="1:7">
      <c r="A272" s="6"/>
      <c r="B272" s="164"/>
      <c r="C272" s="164"/>
      <c r="D272" s="378"/>
      <c r="E272" s="379"/>
      <c r="F272" s="379"/>
      <c r="G272" s="379"/>
    </row>
    <row r="273" spans="1:7">
      <c r="A273" s="6"/>
      <c r="B273" s="164"/>
      <c r="C273" s="164"/>
      <c r="D273" s="378"/>
      <c r="E273" s="379"/>
      <c r="F273" s="379"/>
      <c r="G273" s="379"/>
    </row>
    <row r="274" spans="1:7">
      <c r="A274" s="6"/>
      <c r="B274" s="164"/>
      <c r="C274" s="164"/>
      <c r="D274" s="378"/>
      <c r="E274" s="379"/>
      <c r="F274" s="379"/>
      <c r="G274" s="379"/>
    </row>
    <row r="275" spans="1:7">
      <c r="A275" s="6"/>
      <c r="B275" s="164"/>
      <c r="C275" s="164"/>
      <c r="D275" s="378"/>
      <c r="E275" s="379"/>
      <c r="F275" s="379"/>
      <c r="G275" s="379"/>
    </row>
    <row r="276" spans="1:7">
      <c r="A276" s="6"/>
      <c r="B276" s="164"/>
      <c r="C276" s="164"/>
      <c r="D276" s="378"/>
      <c r="E276" s="379"/>
      <c r="F276" s="379"/>
      <c r="G276" s="379"/>
    </row>
    <row r="277" spans="1:7">
      <c r="A277" s="6"/>
      <c r="B277" s="164"/>
      <c r="C277" s="164"/>
      <c r="D277" s="378"/>
      <c r="E277" s="379"/>
      <c r="F277" s="379"/>
      <c r="G277" s="379"/>
    </row>
    <row r="278" spans="1:7">
      <c r="A278" s="6"/>
      <c r="B278" s="164"/>
      <c r="C278" s="164"/>
      <c r="D278" s="378"/>
      <c r="E278" s="379"/>
      <c r="F278" s="379"/>
      <c r="G278" s="379"/>
    </row>
    <row r="279" spans="1:7">
      <c r="A279" s="6"/>
      <c r="B279" s="164"/>
      <c r="C279" s="164"/>
      <c r="D279" s="378"/>
      <c r="E279" s="379"/>
      <c r="F279" s="379"/>
      <c r="G279" s="379"/>
    </row>
    <row r="280" spans="1:7">
      <c r="A280" s="6"/>
      <c r="B280" s="164"/>
      <c r="C280" s="164"/>
      <c r="D280" s="378"/>
      <c r="E280" s="379"/>
      <c r="F280" s="379"/>
      <c r="G280" s="379"/>
    </row>
    <row r="281" spans="1:7">
      <c r="A281" s="6"/>
      <c r="B281" s="164"/>
      <c r="C281" s="164"/>
      <c r="D281" s="378"/>
      <c r="E281" s="379"/>
      <c r="F281" s="379"/>
      <c r="G281" s="379"/>
    </row>
    <row r="282" spans="1:7">
      <c r="A282" s="6"/>
      <c r="B282" s="164"/>
      <c r="C282" s="164"/>
      <c r="D282" s="378"/>
      <c r="E282" s="379"/>
      <c r="F282" s="379"/>
      <c r="G282" s="379"/>
    </row>
    <row r="283" spans="1:7">
      <c r="A283" s="6"/>
      <c r="B283" s="164"/>
      <c r="C283" s="164"/>
      <c r="D283" s="378"/>
      <c r="E283" s="379"/>
      <c r="F283" s="379"/>
      <c r="G283" s="379"/>
    </row>
    <row r="284" spans="1:7">
      <c r="A284" s="6"/>
      <c r="B284" s="164"/>
      <c r="C284" s="164"/>
      <c r="D284" s="378"/>
      <c r="E284" s="379"/>
      <c r="F284" s="379"/>
      <c r="G284" s="379"/>
    </row>
    <row r="285" spans="1:7">
      <c r="A285" s="6"/>
      <c r="B285" s="164"/>
      <c r="C285" s="164"/>
      <c r="D285" s="378"/>
      <c r="E285" s="379"/>
      <c r="F285" s="379"/>
      <c r="G285" s="379"/>
    </row>
    <row r="286" spans="1:7">
      <c r="A286" s="6"/>
      <c r="B286" s="164"/>
      <c r="C286" s="164"/>
      <c r="D286" s="378"/>
      <c r="E286" s="379"/>
      <c r="F286" s="379"/>
      <c r="G286" s="379"/>
    </row>
    <row r="287" spans="1:7">
      <c r="A287" s="6"/>
      <c r="B287" s="164"/>
      <c r="C287" s="164"/>
      <c r="D287" s="378"/>
      <c r="E287" s="379"/>
      <c r="F287" s="379"/>
      <c r="G287" s="379"/>
    </row>
    <row r="288" spans="1:7">
      <c r="A288" s="6"/>
      <c r="B288" s="164"/>
      <c r="C288" s="164"/>
      <c r="D288" s="378"/>
      <c r="E288" s="379"/>
      <c r="F288" s="379"/>
      <c r="G288" s="379"/>
    </row>
    <row r="289" spans="1:7">
      <c r="A289" s="6"/>
      <c r="B289" s="164"/>
      <c r="C289" s="164"/>
      <c r="D289" s="378"/>
      <c r="E289" s="379"/>
      <c r="F289" s="379"/>
      <c r="G289" s="379"/>
    </row>
    <row r="290" spans="1:7">
      <c r="A290" s="6"/>
      <c r="B290" s="164"/>
      <c r="C290" s="164"/>
      <c r="D290" s="378"/>
      <c r="E290" s="379"/>
      <c r="F290" s="379"/>
      <c r="G290" s="379"/>
    </row>
    <row r="291" spans="1:7">
      <c r="A291" s="6"/>
      <c r="B291" s="164"/>
      <c r="C291" s="164"/>
      <c r="D291" s="378"/>
      <c r="E291" s="379"/>
      <c r="F291" s="379"/>
      <c r="G291" s="379"/>
    </row>
    <row r="292" spans="1:7">
      <c r="A292" s="6"/>
      <c r="B292" s="164"/>
      <c r="C292" s="164"/>
      <c r="D292" s="378"/>
      <c r="E292" s="379"/>
      <c r="F292" s="379"/>
      <c r="G292" s="379"/>
    </row>
    <row r="293" spans="1:7">
      <c r="A293" s="6"/>
      <c r="B293" s="164"/>
      <c r="C293" s="164"/>
      <c r="D293" s="378"/>
      <c r="E293" s="379"/>
      <c r="F293" s="379"/>
      <c r="G293" s="379"/>
    </row>
    <row r="294" spans="1:7">
      <c r="A294" s="6"/>
      <c r="B294" s="164"/>
      <c r="C294" s="164"/>
      <c r="D294" s="378"/>
      <c r="E294" s="379"/>
      <c r="F294" s="379"/>
      <c r="G294" s="379"/>
    </row>
    <row r="295" spans="1:7">
      <c r="A295" s="6"/>
      <c r="B295" s="164"/>
      <c r="C295" s="164"/>
      <c r="D295" s="378"/>
      <c r="E295" s="379"/>
      <c r="F295" s="379"/>
      <c r="G295" s="379"/>
    </row>
    <row r="296" spans="1:7">
      <c r="A296" s="6"/>
      <c r="B296" s="164"/>
      <c r="C296" s="164"/>
      <c r="D296" s="378"/>
      <c r="E296" s="379"/>
      <c r="F296" s="379"/>
      <c r="G296" s="379"/>
    </row>
    <row r="297" spans="1:7">
      <c r="A297" s="6"/>
      <c r="B297" s="164"/>
      <c r="C297" s="164"/>
      <c r="D297" s="378"/>
      <c r="E297" s="379"/>
      <c r="F297" s="379"/>
      <c r="G297" s="379"/>
    </row>
    <row r="298" spans="1:7" ht="22.5" customHeight="1">
      <c r="B298" s="138"/>
      <c r="C298" s="138"/>
      <c r="D298" s="63"/>
      <c r="E298" s="368"/>
      <c r="F298" s="368"/>
      <c r="G298" s="379"/>
    </row>
    <row r="299" spans="1:7" ht="21" customHeight="1">
      <c r="B299" s="138"/>
      <c r="C299" s="138"/>
      <c r="D299" s="63"/>
      <c r="E299" s="368"/>
      <c r="F299" s="368"/>
      <c r="G299" s="379"/>
    </row>
    <row r="300" spans="1:7" ht="15.75">
      <c r="B300" s="138"/>
      <c r="C300" s="138"/>
      <c r="D300" s="63"/>
      <c r="E300" s="368"/>
      <c r="F300" s="368"/>
      <c r="G300" s="379"/>
    </row>
    <row r="301" spans="1:7" ht="15.75">
      <c r="B301" s="138"/>
      <c r="C301" s="138"/>
      <c r="D301" s="63"/>
      <c r="E301" s="368"/>
      <c r="F301" s="368"/>
      <c r="G301" s="379"/>
    </row>
    <row r="302" spans="1:7" ht="15.75">
      <c r="B302" s="138"/>
      <c r="C302" s="138"/>
      <c r="D302" s="63"/>
      <c r="E302" s="368"/>
      <c r="F302" s="368"/>
      <c r="G302" s="379"/>
    </row>
    <row r="303" spans="1:7" ht="15.75">
      <c r="B303" s="138"/>
      <c r="C303" s="138"/>
      <c r="D303" s="63"/>
      <c r="E303" s="368"/>
      <c r="F303" s="368"/>
      <c r="G303" s="379"/>
    </row>
    <row r="304" spans="1:7">
      <c r="B304" s="164"/>
      <c r="C304" s="164"/>
      <c r="D304" s="378"/>
      <c r="E304" s="379"/>
      <c r="F304" s="379"/>
      <c r="G304" s="379"/>
    </row>
    <row r="305" spans="2:7">
      <c r="B305" s="164"/>
      <c r="C305" s="164"/>
      <c r="D305" s="378"/>
      <c r="E305" s="379"/>
      <c r="F305" s="379"/>
      <c r="G305" s="379"/>
    </row>
    <row r="306" spans="2:7">
      <c r="B306" s="164"/>
      <c r="C306" s="164"/>
      <c r="D306" s="378"/>
      <c r="E306" s="379"/>
      <c r="F306" s="379"/>
      <c r="G306" s="379"/>
    </row>
    <row r="307" spans="2:7">
      <c r="B307" s="164"/>
      <c r="C307" s="164"/>
      <c r="D307" s="378"/>
      <c r="E307" s="379"/>
      <c r="F307" s="379"/>
      <c r="G307" s="379"/>
    </row>
    <row r="308" spans="2:7">
      <c r="B308" s="164"/>
      <c r="C308" s="164"/>
      <c r="D308" s="378"/>
      <c r="E308" s="379"/>
      <c r="F308" s="379"/>
      <c r="G308" s="379"/>
    </row>
    <row r="309" spans="2:7">
      <c r="B309" s="164"/>
      <c r="C309" s="164"/>
      <c r="D309" s="378"/>
      <c r="E309" s="379"/>
      <c r="F309" s="379"/>
      <c r="G309" s="379"/>
    </row>
    <row r="310" spans="2:7">
      <c r="B310" s="164"/>
      <c r="C310" s="164"/>
      <c r="D310" s="378"/>
      <c r="E310" s="379"/>
      <c r="F310" s="379"/>
      <c r="G310" s="379"/>
    </row>
    <row r="311" spans="2:7">
      <c r="B311" s="164"/>
      <c r="C311" s="164"/>
      <c r="D311" s="378"/>
      <c r="E311" s="379"/>
      <c r="F311" s="379"/>
      <c r="G311" s="379"/>
    </row>
    <row r="312" spans="2:7">
      <c r="B312" s="164"/>
      <c r="C312" s="164"/>
      <c r="D312" s="378"/>
      <c r="E312" s="379"/>
      <c r="F312" s="379"/>
      <c r="G312" s="379"/>
    </row>
    <row r="313" spans="2:7">
      <c r="B313" s="164"/>
      <c r="C313" s="164"/>
      <c r="D313" s="378"/>
      <c r="E313" s="379"/>
      <c r="F313" s="379"/>
      <c r="G313" s="379"/>
    </row>
    <row r="314" spans="2:7">
      <c r="B314" s="164"/>
      <c r="C314" s="164"/>
      <c r="D314" s="378"/>
      <c r="E314" s="379"/>
      <c r="F314" s="379"/>
      <c r="G314" s="379"/>
    </row>
    <row r="315" spans="2:7">
      <c r="B315" s="164"/>
      <c r="C315" s="164"/>
      <c r="D315" s="378"/>
      <c r="E315" s="379"/>
      <c r="F315" s="379"/>
      <c r="G315" s="379"/>
    </row>
    <row r="316" spans="2:7">
      <c r="B316" s="164"/>
      <c r="C316" s="164"/>
      <c r="D316" s="378"/>
      <c r="E316" s="379"/>
      <c r="F316" s="379"/>
      <c r="G316" s="379"/>
    </row>
    <row r="317" spans="2:7">
      <c r="B317" s="164"/>
      <c r="C317" s="164"/>
      <c r="D317" s="378"/>
      <c r="E317" s="379"/>
      <c r="F317" s="379"/>
      <c r="G317" s="379"/>
    </row>
    <row r="318" spans="2:7">
      <c r="B318" s="164"/>
      <c r="C318" s="164"/>
      <c r="D318" s="378"/>
      <c r="E318" s="379"/>
      <c r="F318" s="379"/>
      <c r="G318" s="379"/>
    </row>
    <row r="319" spans="2:7">
      <c r="B319" s="164"/>
      <c r="C319" s="164"/>
      <c r="D319" s="378"/>
      <c r="E319" s="379"/>
      <c r="F319" s="379"/>
      <c r="G319" s="379"/>
    </row>
    <row r="320" spans="2:7">
      <c r="B320" s="164"/>
      <c r="C320" s="164"/>
      <c r="D320" s="378"/>
      <c r="E320" s="379"/>
      <c r="F320" s="379"/>
      <c r="G320" s="379"/>
    </row>
    <row r="321" spans="2:7">
      <c r="B321" s="164"/>
      <c r="C321" s="164"/>
      <c r="D321" s="378"/>
      <c r="E321" s="379"/>
      <c r="F321" s="379"/>
      <c r="G321" s="379"/>
    </row>
    <row r="322" spans="2:7">
      <c r="B322" s="164"/>
      <c r="C322" s="164"/>
      <c r="D322" s="378"/>
      <c r="E322" s="379"/>
      <c r="F322" s="379"/>
      <c r="G322" s="379"/>
    </row>
    <row r="323" spans="2:7">
      <c r="B323" s="164"/>
      <c r="C323" s="164"/>
      <c r="D323" s="378"/>
      <c r="E323" s="379"/>
      <c r="F323" s="379"/>
      <c r="G323" s="379"/>
    </row>
    <row r="324" spans="2:7">
      <c r="B324" s="164"/>
      <c r="C324" s="164"/>
      <c r="D324" s="378"/>
      <c r="E324" s="379"/>
      <c r="F324" s="379"/>
      <c r="G324" s="379"/>
    </row>
    <row r="325" spans="2:7">
      <c r="B325" s="164"/>
      <c r="C325" s="164"/>
      <c r="D325" s="378"/>
      <c r="E325" s="379"/>
      <c r="F325" s="379"/>
      <c r="G325" s="379"/>
    </row>
    <row r="326" spans="2:7">
      <c r="B326" s="164"/>
      <c r="C326" s="164"/>
      <c r="D326" s="378"/>
      <c r="E326" s="379"/>
      <c r="F326" s="379"/>
      <c r="G326" s="379"/>
    </row>
    <row r="327" spans="2:7">
      <c r="B327" s="164"/>
      <c r="C327" s="164"/>
      <c r="D327" s="378"/>
      <c r="E327" s="379"/>
      <c r="F327" s="379"/>
      <c r="G327" s="379"/>
    </row>
    <row r="328" spans="2:7">
      <c r="B328" s="164"/>
      <c r="C328" s="164"/>
      <c r="D328" s="378"/>
      <c r="E328" s="379"/>
      <c r="F328" s="379"/>
      <c r="G328" s="379"/>
    </row>
    <row r="329" spans="2:7">
      <c r="B329" s="164"/>
      <c r="C329" s="164"/>
      <c r="D329" s="378"/>
      <c r="E329" s="379"/>
      <c r="F329" s="379"/>
      <c r="G329" s="379"/>
    </row>
    <row r="330" spans="2:7">
      <c r="B330" s="164"/>
      <c r="C330" s="164"/>
      <c r="D330" s="378"/>
      <c r="E330" s="379"/>
      <c r="F330" s="379"/>
      <c r="G330" s="379"/>
    </row>
    <row r="331" spans="2:7">
      <c r="B331" s="164"/>
      <c r="C331" s="164"/>
      <c r="D331" s="378"/>
      <c r="E331" s="379"/>
      <c r="F331" s="379"/>
      <c r="G331" s="379"/>
    </row>
    <row r="332" spans="2:7">
      <c r="B332" s="164"/>
      <c r="C332" s="164"/>
      <c r="D332" s="378"/>
      <c r="E332" s="379"/>
      <c r="F332" s="379"/>
      <c r="G332" s="379"/>
    </row>
    <row r="333" spans="2:7">
      <c r="B333" s="164"/>
      <c r="C333" s="164"/>
      <c r="D333" s="378"/>
      <c r="E333" s="379"/>
      <c r="F333" s="379"/>
      <c r="G333" s="379"/>
    </row>
    <row r="334" spans="2:7">
      <c r="B334" s="164"/>
      <c r="C334" s="164"/>
      <c r="D334" s="378"/>
      <c r="E334" s="379"/>
      <c r="F334" s="379"/>
      <c r="G334" s="379"/>
    </row>
    <row r="335" spans="2:7">
      <c r="B335" s="164"/>
      <c r="C335" s="164"/>
      <c r="D335" s="378"/>
      <c r="E335" s="379"/>
      <c r="F335" s="379"/>
      <c r="G335" s="379"/>
    </row>
    <row r="336" spans="2:7">
      <c r="B336" s="164"/>
      <c r="C336" s="164"/>
      <c r="D336" s="378"/>
      <c r="E336" s="379"/>
      <c r="F336" s="379"/>
      <c r="G336" s="379"/>
    </row>
    <row r="337" spans="2:7">
      <c r="B337" s="164"/>
      <c r="C337" s="164"/>
      <c r="D337" s="378"/>
      <c r="E337" s="379"/>
      <c r="F337" s="379"/>
      <c r="G337" s="379"/>
    </row>
    <row r="338" spans="2:7">
      <c r="B338" s="164"/>
      <c r="C338" s="164"/>
      <c r="D338" s="378"/>
      <c r="E338" s="379"/>
      <c r="F338" s="379"/>
      <c r="G338" s="379"/>
    </row>
    <row r="339" spans="2:7">
      <c r="B339" s="164"/>
      <c r="C339" s="164"/>
      <c r="D339" s="378"/>
      <c r="E339" s="379"/>
      <c r="F339" s="379"/>
      <c r="G339" s="379"/>
    </row>
    <row r="340" spans="2:7">
      <c r="B340" s="164"/>
      <c r="C340" s="164"/>
      <c r="D340" s="378"/>
      <c r="E340" s="379"/>
      <c r="F340" s="379"/>
      <c r="G340" s="379"/>
    </row>
    <row r="341" spans="2:7">
      <c r="B341" s="164"/>
      <c r="C341" s="164"/>
      <c r="D341" s="378"/>
      <c r="E341" s="379"/>
      <c r="F341" s="379"/>
      <c r="G341" s="379"/>
    </row>
    <row r="342" spans="2:7">
      <c r="B342" s="164"/>
      <c r="C342" s="164"/>
      <c r="D342" s="378"/>
      <c r="E342" s="379"/>
      <c r="F342" s="379"/>
      <c r="G342" s="379"/>
    </row>
    <row r="343" spans="2:7">
      <c r="B343" s="164"/>
      <c r="C343" s="164"/>
      <c r="D343" s="378"/>
      <c r="E343" s="379"/>
      <c r="F343" s="379"/>
      <c r="G343" s="379"/>
    </row>
    <row r="344" spans="2:7">
      <c r="B344" s="164"/>
      <c r="C344" s="164"/>
      <c r="D344" s="378"/>
      <c r="E344" s="379"/>
      <c r="F344" s="379"/>
      <c r="G344" s="379"/>
    </row>
    <row r="345" spans="2:7">
      <c r="B345" s="164"/>
      <c r="C345" s="164"/>
      <c r="D345" s="378"/>
      <c r="E345" s="379"/>
      <c r="F345" s="379"/>
      <c r="G345" s="379"/>
    </row>
    <row r="346" spans="2:7">
      <c r="B346" s="164"/>
      <c r="C346" s="164"/>
      <c r="D346" s="378"/>
      <c r="E346" s="379"/>
      <c r="F346" s="379"/>
      <c r="G346" s="379"/>
    </row>
    <row r="347" spans="2:7">
      <c r="B347" s="164"/>
      <c r="C347" s="164"/>
      <c r="D347" s="378"/>
      <c r="E347" s="379"/>
      <c r="F347" s="379"/>
      <c r="G347" s="379"/>
    </row>
    <row r="348" spans="2:7">
      <c r="B348" s="164"/>
      <c r="C348" s="164"/>
      <c r="D348" s="378"/>
      <c r="E348" s="379"/>
      <c r="F348" s="379"/>
      <c r="G348" s="379"/>
    </row>
    <row r="349" spans="2:7">
      <c r="B349" s="164"/>
      <c r="C349" s="164"/>
      <c r="D349" s="378"/>
      <c r="E349" s="379"/>
      <c r="F349" s="379"/>
      <c r="G349" s="379"/>
    </row>
    <row r="350" spans="2:7">
      <c r="B350" s="164"/>
      <c r="C350" s="164"/>
      <c r="D350" s="378"/>
      <c r="E350" s="379"/>
      <c r="F350" s="379"/>
      <c r="G350" s="379"/>
    </row>
    <row r="351" spans="2:7">
      <c r="B351" s="164"/>
      <c r="C351" s="164"/>
      <c r="D351" s="378"/>
      <c r="E351" s="379"/>
      <c r="F351" s="379"/>
      <c r="G351" s="379"/>
    </row>
    <row r="352" spans="2:7">
      <c r="B352" s="164"/>
      <c r="C352" s="164"/>
      <c r="D352" s="378"/>
      <c r="E352" s="379"/>
      <c r="F352" s="379"/>
      <c r="G352" s="379"/>
    </row>
    <row r="353" spans="2:7">
      <c r="B353" s="164"/>
      <c r="C353" s="164"/>
      <c r="D353" s="378"/>
      <c r="E353" s="379"/>
      <c r="F353" s="379"/>
      <c r="G353" s="379"/>
    </row>
    <row r="354" spans="2:7">
      <c r="B354" s="164"/>
      <c r="C354" s="164"/>
      <c r="D354" s="378"/>
      <c r="E354" s="379"/>
      <c r="F354" s="379"/>
      <c r="G354" s="379"/>
    </row>
    <row r="355" spans="2:7">
      <c r="B355" s="164"/>
      <c r="C355" s="164"/>
      <c r="D355" s="378"/>
      <c r="E355" s="379"/>
      <c r="F355" s="379"/>
      <c r="G355" s="379"/>
    </row>
    <row r="356" spans="2:7">
      <c r="B356" s="164"/>
      <c r="C356" s="164"/>
      <c r="D356" s="378"/>
      <c r="E356" s="379"/>
      <c r="F356" s="379"/>
      <c r="G356" s="379"/>
    </row>
    <row r="357" spans="2:7">
      <c r="B357" s="164"/>
      <c r="C357" s="164"/>
      <c r="D357" s="378"/>
      <c r="E357" s="379"/>
      <c r="F357" s="379"/>
      <c r="G357" s="379"/>
    </row>
    <row r="358" spans="2:7">
      <c r="B358" s="164"/>
      <c r="C358" s="164"/>
      <c r="D358" s="378"/>
      <c r="E358" s="379"/>
      <c r="F358" s="379"/>
      <c r="G358" s="379"/>
    </row>
    <row r="359" spans="2:7">
      <c r="B359" s="164"/>
      <c r="C359" s="164"/>
      <c r="D359" s="378"/>
      <c r="E359" s="379"/>
      <c r="F359" s="379"/>
      <c r="G359" s="379"/>
    </row>
    <row r="360" spans="2:7">
      <c r="B360" s="164"/>
      <c r="C360" s="164"/>
      <c r="D360" s="378"/>
      <c r="E360" s="379"/>
      <c r="F360" s="379"/>
      <c r="G360" s="379"/>
    </row>
    <row r="361" spans="2:7">
      <c r="B361" s="164"/>
      <c r="C361" s="164"/>
      <c r="D361" s="378"/>
      <c r="E361" s="379"/>
      <c r="F361" s="379"/>
      <c r="G361" s="379"/>
    </row>
    <row r="362" spans="2:7">
      <c r="B362" s="164"/>
      <c r="C362" s="164"/>
      <c r="D362" s="378"/>
      <c r="E362" s="379"/>
      <c r="F362" s="379"/>
      <c r="G362" s="379"/>
    </row>
    <row r="363" spans="2:7">
      <c r="B363" s="164"/>
      <c r="C363" s="164"/>
      <c r="D363" s="378"/>
      <c r="E363" s="379"/>
      <c r="F363" s="379"/>
      <c r="G363" s="379"/>
    </row>
    <row r="364" spans="2:7">
      <c r="B364" s="164"/>
      <c r="C364" s="164"/>
      <c r="D364" s="378"/>
      <c r="E364" s="379"/>
      <c r="F364" s="379"/>
      <c r="G364" s="379"/>
    </row>
    <row r="365" spans="2:7">
      <c r="B365" s="164"/>
      <c r="C365" s="164"/>
      <c r="D365" s="378"/>
      <c r="E365" s="379"/>
      <c r="F365" s="379"/>
      <c r="G365" s="379"/>
    </row>
    <row r="366" spans="2:7">
      <c r="B366" s="164"/>
      <c r="C366" s="164"/>
      <c r="D366" s="378"/>
      <c r="E366" s="379"/>
      <c r="F366" s="379"/>
      <c r="G366" s="379"/>
    </row>
    <row r="367" spans="2:7">
      <c r="B367" s="164"/>
      <c r="C367" s="164"/>
      <c r="D367" s="378"/>
      <c r="E367" s="379"/>
      <c r="F367" s="379"/>
      <c r="G367" s="379"/>
    </row>
    <row r="368" spans="2:7">
      <c r="B368" s="164"/>
      <c r="C368" s="164"/>
      <c r="D368" s="378"/>
      <c r="E368" s="379"/>
      <c r="F368" s="379"/>
      <c r="G368" s="379"/>
    </row>
    <row r="369" spans="2:7">
      <c r="B369" s="164"/>
      <c r="C369" s="164"/>
      <c r="D369" s="378"/>
      <c r="E369" s="379"/>
      <c r="F369" s="379"/>
      <c r="G369" s="379"/>
    </row>
    <row r="370" spans="2:7">
      <c r="B370" s="164"/>
      <c r="C370" s="164"/>
      <c r="D370" s="378"/>
      <c r="E370" s="379"/>
      <c r="F370" s="379"/>
      <c r="G370" s="379"/>
    </row>
    <row r="371" spans="2:7">
      <c r="B371" s="164"/>
      <c r="C371" s="164"/>
      <c r="D371" s="378"/>
      <c r="E371" s="379"/>
      <c r="F371" s="379"/>
      <c r="G371" s="379"/>
    </row>
    <row r="372" spans="2:7">
      <c r="B372" s="164"/>
      <c r="C372" s="164"/>
      <c r="D372" s="378"/>
      <c r="E372" s="379"/>
      <c r="F372" s="379"/>
      <c r="G372" s="379"/>
    </row>
    <row r="373" spans="2:7">
      <c r="B373" s="164"/>
      <c r="C373" s="164"/>
      <c r="D373" s="378"/>
      <c r="E373" s="379"/>
      <c r="F373" s="379"/>
      <c r="G373" s="379"/>
    </row>
    <row r="374" spans="2:7">
      <c r="B374" s="164"/>
      <c r="C374" s="164"/>
      <c r="D374" s="378"/>
      <c r="E374" s="379"/>
      <c r="F374" s="379"/>
      <c r="G374" s="379"/>
    </row>
    <row r="375" spans="2:7">
      <c r="B375" s="164"/>
      <c r="C375" s="164"/>
      <c r="D375" s="378"/>
      <c r="E375" s="379"/>
      <c r="F375" s="379"/>
      <c r="G375" s="379"/>
    </row>
    <row r="376" spans="2:7">
      <c r="B376" s="164"/>
      <c r="C376" s="164"/>
      <c r="D376" s="378"/>
      <c r="E376" s="379"/>
      <c r="F376" s="379"/>
      <c r="G376" s="379"/>
    </row>
    <row r="377" spans="2:7">
      <c r="B377" s="164"/>
      <c r="C377" s="164"/>
      <c r="D377" s="378"/>
      <c r="E377" s="379"/>
      <c r="F377" s="379"/>
      <c r="G377" s="379"/>
    </row>
    <row r="378" spans="2:7">
      <c r="B378" s="164"/>
      <c r="C378" s="164"/>
      <c r="D378" s="378"/>
      <c r="E378" s="379"/>
      <c r="F378" s="379"/>
      <c r="G378" s="379"/>
    </row>
    <row r="379" spans="2:7">
      <c r="B379" s="164"/>
      <c r="C379" s="164"/>
      <c r="D379" s="378"/>
      <c r="E379" s="379"/>
      <c r="F379" s="379"/>
      <c r="G379" s="379"/>
    </row>
    <row r="380" spans="2:7">
      <c r="B380" s="164"/>
      <c r="C380" s="164"/>
      <c r="D380" s="378"/>
      <c r="E380" s="379"/>
      <c r="F380" s="379"/>
      <c r="G380" s="379"/>
    </row>
    <row r="381" spans="2:7">
      <c r="B381" s="164"/>
      <c r="C381" s="164"/>
      <c r="D381" s="378"/>
      <c r="E381" s="379"/>
      <c r="F381" s="379"/>
      <c r="G381" s="379"/>
    </row>
    <row r="382" spans="2:7">
      <c r="B382" s="164"/>
      <c r="C382" s="164"/>
      <c r="D382" s="378"/>
      <c r="E382" s="379"/>
      <c r="F382" s="379"/>
      <c r="G382" s="379"/>
    </row>
    <row r="383" spans="2:7">
      <c r="B383" s="164"/>
      <c r="C383" s="164"/>
      <c r="D383" s="378"/>
      <c r="E383" s="379"/>
      <c r="F383" s="379"/>
      <c r="G383" s="379"/>
    </row>
    <row r="384" spans="2:7">
      <c r="B384" s="164"/>
      <c r="C384" s="164"/>
      <c r="D384" s="378"/>
      <c r="E384" s="379"/>
      <c r="F384" s="379"/>
      <c r="G384" s="379"/>
    </row>
    <row r="385" spans="2:7">
      <c r="B385" s="164"/>
      <c r="C385" s="164"/>
      <c r="D385" s="378"/>
      <c r="E385" s="379"/>
      <c r="F385" s="379"/>
      <c r="G385" s="379"/>
    </row>
    <row r="386" spans="2:7">
      <c r="B386" s="164"/>
      <c r="C386" s="164"/>
      <c r="D386" s="378"/>
      <c r="E386" s="379"/>
      <c r="F386" s="379"/>
      <c r="G386" s="379"/>
    </row>
    <row r="387" spans="2:7">
      <c r="B387" s="164"/>
      <c r="C387" s="164"/>
      <c r="D387" s="378"/>
      <c r="E387" s="379"/>
      <c r="F387" s="379"/>
      <c r="G387" s="379"/>
    </row>
    <row r="388" spans="2:7">
      <c r="B388" s="164"/>
      <c r="C388" s="164"/>
      <c r="D388" s="378"/>
      <c r="E388" s="379"/>
      <c r="F388" s="379"/>
      <c r="G388" s="379"/>
    </row>
    <row r="389" spans="2:7">
      <c r="B389" s="164"/>
      <c r="C389" s="164"/>
      <c r="D389" s="378"/>
      <c r="E389" s="379"/>
      <c r="F389" s="379"/>
      <c r="G389" s="379"/>
    </row>
    <row r="390" spans="2:7">
      <c r="B390" s="164"/>
      <c r="C390" s="164"/>
      <c r="D390" s="378"/>
      <c r="E390" s="379"/>
      <c r="F390" s="379"/>
      <c r="G390" s="379"/>
    </row>
    <row r="391" spans="2:7">
      <c r="B391" s="164"/>
      <c r="C391" s="164"/>
      <c r="D391" s="378"/>
      <c r="E391" s="379"/>
      <c r="F391" s="379"/>
      <c r="G391" s="379"/>
    </row>
    <row r="392" spans="2:7">
      <c r="B392" s="164"/>
      <c r="C392" s="164"/>
      <c r="D392" s="378"/>
      <c r="E392" s="379"/>
      <c r="F392" s="379"/>
      <c r="G392" s="379"/>
    </row>
    <row r="393" spans="2:7">
      <c r="B393" s="164"/>
      <c r="C393" s="164"/>
      <c r="D393" s="378"/>
      <c r="E393" s="379"/>
      <c r="F393" s="379"/>
      <c r="G393" s="379"/>
    </row>
    <row r="394" spans="2:7">
      <c r="B394" s="164"/>
      <c r="C394" s="164"/>
      <c r="D394" s="378"/>
      <c r="E394" s="379"/>
      <c r="F394" s="379"/>
      <c r="G394" s="379"/>
    </row>
    <row r="395" spans="2:7">
      <c r="B395" s="164"/>
      <c r="C395" s="164"/>
      <c r="D395" s="378"/>
      <c r="E395" s="379"/>
      <c r="F395" s="379"/>
      <c r="G395" s="379"/>
    </row>
    <row r="396" spans="2:7">
      <c r="B396" s="164"/>
      <c r="C396" s="164"/>
      <c r="D396" s="378"/>
      <c r="E396" s="379"/>
      <c r="F396" s="379"/>
      <c r="G396" s="379"/>
    </row>
    <row r="397" spans="2:7">
      <c r="B397" s="164"/>
      <c r="C397" s="164"/>
      <c r="D397" s="378"/>
      <c r="E397" s="379"/>
      <c r="F397" s="379"/>
      <c r="G397" s="379"/>
    </row>
    <row r="398" spans="2:7">
      <c r="B398" s="164"/>
      <c r="C398" s="164"/>
      <c r="D398" s="378"/>
      <c r="E398" s="379"/>
      <c r="F398" s="379"/>
      <c r="G398" s="379"/>
    </row>
    <row r="399" spans="2:7">
      <c r="B399" s="164"/>
      <c r="C399" s="164"/>
      <c r="D399" s="378"/>
      <c r="E399" s="379"/>
      <c r="F399" s="379"/>
      <c r="G399" s="379"/>
    </row>
    <row r="400" spans="2:7">
      <c r="B400" s="164"/>
      <c r="C400" s="164"/>
      <c r="D400" s="378"/>
      <c r="E400" s="379"/>
      <c r="F400" s="379"/>
      <c r="G400" s="379"/>
    </row>
    <row r="401" spans="2:7">
      <c r="B401" s="164"/>
      <c r="C401" s="164"/>
      <c r="D401" s="378"/>
      <c r="E401" s="379"/>
      <c r="F401" s="379"/>
      <c r="G401" s="379"/>
    </row>
    <row r="402" spans="2:7">
      <c r="B402" s="164"/>
      <c r="C402" s="164"/>
      <c r="D402" s="378"/>
      <c r="E402" s="379"/>
      <c r="F402" s="379"/>
      <c r="G402" s="379"/>
    </row>
    <row r="403" spans="2:7">
      <c r="B403" s="164"/>
      <c r="C403" s="164"/>
      <c r="D403" s="378"/>
      <c r="E403" s="379"/>
      <c r="F403" s="379"/>
      <c r="G403" s="379"/>
    </row>
    <row r="404" spans="2:7">
      <c r="B404" s="164"/>
      <c r="C404" s="164"/>
      <c r="D404" s="378"/>
      <c r="E404" s="379"/>
      <c r="F404" s="379"/>
      <c r="G404" s="379"/>
    </row>
    <row r="405" spans="2:7">
      <c r="B405" s="164"/>
      <c r="C405" s="164"/>
      <c r="D405" s="378"/>
      <c r="E405" s="379"/>
      <c r="F405" s="379"/>
      <c r="G405" s="379"/>
    </row>
    <row r="406" spans="2:7">
      <c r="B406" s="164"/>
      <c r="C406" s="164"/>
      <c r="D406" s="378"/>
      <c r="E406" s="379"/>
      <c r="F406" s="379"/>
      <c r="G406" s="379"/>
    </row>
    <row r="407" spans="2:7">
      <c r="B407" s="164"/>
      <c r="C407" s="164"/>
      <c r="D407" s="378"/>
      <c r="E407" s="379"/>
      <c r="F407" s="379"/>
      <c r="G407" s="379"/>
    </row>
    <row r="408" spans="2:7">
      <c r="B408" s="164"/>
      <c r="C408" s="164"/>
      <c r="D408" s="378"/>
      <c r="E408" s="379"/>
      <c r="F408" s="379"/>
      <c r="G408" s="379"/>
    </row>
    <row r="409" spans="2:7">
      <c r="B409" s="164"/>
      <c r="C409" s="164"/>
      <c r="D409" s="378"/>
      <c r="E409" s="379"/>
      <c r="F409" s="379"/>
      <c r="G409" s="379"/>
    </row>
    <row r="410" spans="2:7">
      <c r="B410" s="164"/>
      <c r="C410" s="164"/>
      <c r="D410" s="378"/>
      <c r="E410" s="379"/>
      <c r="F410" s="379"/>
      <c r="G410" s="379"/>
    </row>
    <row r="411" spans="2:7">
      <c r="B411" s="164"/>
      <c r="C411" s="164"/>
      <c r="D411" s="378"/>
      <c r="E411" s="379"/>
      <c r="F411" s="379"/>
      <c r="G411" s="379"/>
    </row>
    <row r="412" spans="2:7">
      <c r="B412" s="164"/>
      <c r="C412" s="164"/>
      <c r="D412" s="378"/>
      <c r="E412" s="379"/>
      <c r="F412" s="379"/>
      <c r="G412" s="379"/>
    </row>
    <row r="413" spans="2:7">
      <c r="B413" s="164"/>
      <c r="C413" s="164"/>
      <c r="D413" s="378"/>
      <c r="E413" s="379"/>
      <c r="F413" s="379"/>
      <c r="G413" s="379"/>
    </row>
    <row r="414" spans="2:7">
      <c r="B414" s="164"/>
      <c r="C414" s="164"/>
      <c r="D414" s="378"/>
      <c r="E414" s="379"/>
      <c r="F414" s="379"/>
      <c r="G414" s="379"/>
    </row>
    <row r="415" spans="2:7">
      <c r="B415" s="164"/>
      <c r="C415" s="164"/>
      <c r="D415" s="378"/>
      <c r="E415" s="379"/>
      <c r="F415" s="379"/>
      <c r="G415" s="379"/>
    </row>
    <row r="416" spans="2:7">
      <c r="B416" s="164"/>
      <c r="C416" s="164"/>
      <c r="D416" s="378"/>
      <c r="E416" s="379"/>
      <c r="F416" s="379"/>
      <c r="G416" s="379"/>
    </row>
    <row r="417" spans="2:7">
      <c r="B417" s="164"/>
      <c r="C417" s="164"/>
      <c r="D417" s="378"/>
      <c r="E417" s="379"/>
      <c r="F417" s="379"/>
      <c r="G417" s="379"/>
    </row>
    <row r="418" spans="2:7">
      <c r="B418" s="164"/>
      <c r="C418" s="164"/>
      <c r="D418" s="378"/>
      <c r="E418" s="379"/>
      <c r="F418" s="379"/>
      <c r="G418" s="379"/>
    </row>
    <row r="419" spans="2:7">
      <c r="B419" s="164"/>
      <c r="C419" s="164"/>
      <c r="D419" s="378"/>
      <c r="E419" s="379"/>
      <c r="F419" s="379"/>
      <c r="G419" s="379"/>
    </row>
    <row r="420" spans="2:7">
      <c r="B420" s="164"/>
      <c r="C420" s="164"/>
      <c r="D420" s="378"/>
      <c r="E420" s="379"/>
      <c r="F420" s="379"/>
      <c r="G420" s="379"/>
    </row>
    <row r="421" spans="2:7">
      <c r="B421" s="164"/>
      <c r="C421" s="164"/>
      <c r="D421" s="378"/>
      <c r="E421" s="379"/>
      <c r="F421" s="379"/>
      <c r="G421" s="379"/>
    </row>
    <row r="422" spans="2:7">
      <c r="B422" s="164"/>
      <c r="C422" s="164"/>
      <c r="D422" s="378"/>
      <c r="E422" s="379"/>
      <c r="F422" s="379"/>
      <c r="G422" s="379"/>
    </row>
    <row r="423" spans="2:7">
      <c r="B423" s="164"/>
      <c r="C423" s="164"/>
      <c r="D423" s="378"/>
      <c r="E423" s="379"/>
      <c r="F423" s="379"/>
      <c r="G423" s="379"/>
    </row>
    <row r="424" spans="2:7">
      <c r="B424" s="164"/>
      <c r="C424" s="164"/>
      <c r="D424" s="378"/>
      <c r="E424" s="379"/>
      <c r="F424" s="379"/>
      <c r="G424" s="379"/>
    </row>
    <row r="425" spans="2:7">
      <c r="B425" s="164"/>
      <c r="C425" s="164"/>
      <c r="D425" s="378"/>
      <c r="E425" s="379"/>
      <c r="F425" s="379"/>
      <c r="G425" s="379"/>
    </row>
    <row r="426" spans="2:7">
      <c r="B426" s="164"/>
      <c r="C426" s="164"/>
      <c r="D426" s="378"/>
      <c r="E426" s="379"/>
      <c r="F426" s="379"/>
      <c r="G426" s="379"/>
    </row>
    <row r="427" spans="2:7">
      <c r="B427" s="164"/>
      <c r="C427" s="164"/>
      <c r="D427" s="378"/>
      <c r="E427" s="379"/>
      <c r="F427" s="379"/>
      <c r="G427" s="379"/>
    </row>
    <row r="428" spans="2:7">
      <c r="B428" s="164"/>
      <c r="C428" s="164"/>
      <c r="D428" s="378"/>
      <c r="E428" s="379"/>
      <c r="F428" s="379"/>
      <c r="G428" s="379"/>
    </row>
    <row r="429" spans="2:7">
      <c r="B429" s="164"/>
      <c r="C429" s="164"/>
      <c r="D429" s="378"/>
      <c r="E429" s="379"/>
      <c r="F429" s="379"/>
      <c r="G429" s="379"/>
    </row>
    <row r="430" spans="2:7">
      <c r="B430" s="164"/>
      <c r="C430" s="164"/>
      <c r="D430" s="378"/>
      <c r="E430" s="379"/>
      <c r="F430" s="379"/>
      <c r="G430" s="379"/>
    </row>
    <row r="431" spans="2:7">
      <c r="B431" s="164"/>
      <c r="C431" s="164"/>
      <c r="D431" s="378"/>
      <c r="E431" s="379"/>
      <c r="F431" s="379"/>
      <c r="G431" s="379"/>
    </row>
    <row r="432" spans="2:7">
      <c r="B432" s="164"/>
      <c r="C432" s="164"/>
      <c r="D432" s="378"/>
      <c r="E432" s="379"/>
      <c r="F432" s="379"/>
      <c r="G432" s="379"/>
    </row>
    <row r="433" spans="2:7">
      <c r="B433" s="164"/>
      <c r="C433" s="164"/>
      <c r="D433" s="378"/>
      <c r="E433" s="379"/>
      <c r="F433" s="379"/>
      <c r="G433" s="379"/>
    </row>
    <row r="434" spans="2:7">
      <c r="B434" s="164"/>
      <c r="C434" s="164"/>
      <c r="D434" s="378"/>
      <c r="E434" s="379"/>
      <c r="F434" s="379"/>
      <c r="G434" s="379"/>
    </row>
    <row r="435" spans="2:7">
      <c r="B435" s="164"/>
      <c r="C435" s="164"/>
      <c r="D435" s="378"/>
      <c r="E435" s="379"/>
      <c r="F435" s="379"/>
      <c r="G435" s="379"/>
    </row>
    <row r="436" spans="2:7">
      <c r="B436" s="164"/>
      <c r="C436" s="164"/>
      <c r="D436" s="378"/>
      <c r="E436" s="379"/>
      <c r="F436" s="379"/>
      <c r="G436" s="379"/>
    </row>
    <row r="437" spans="2:7">
      <c r="B437" s="164"/>
      <c r="C437" s="164"/>
      <c r="D437" s="378"/>
      <c r="E437" s="379"/>
      <c r="F437" s="379"/>
      <c r="G437" s="379"/>
    </row>
    <row r="438" spans="2:7">
      <c r="B438" s="164"/>
      <c r="C438" s="164"/>
      <c r="D438" s="378"/>
      <c r="E438" s="379"/>
      <c r="F438" s="379"/>
      <c r="G438" s="379"/>
    </row>
    <row r="439" spans="2:7">
      <c r="B439" s="164"/>
      <c r="C439" s="164"/>
      <c r="D439" s="378"/>
      <c r="E439" s="379"/>
      <c r="F439" s="379"/>
      <c r="G439" s="379"/>
    </row>
    <row r="440" spans="2:7">
      <c r="B440" s="164"/>
      <c r="C440" s="164"/>
      <c r="D440" s="378"/>
      <c r="E440" s="379"/>
      <c r="F440" s="379"/>
      <c r="G440" s="379"/>
    </row>
    <row r="441" spans="2:7">
      <c r="B441" s="164"/>
      <c r="C441" s="164"/>
      <c r="D441" s="378"/>
      <c r="E441" s="379"/>
      <c r="F441" s="379"/>
      <c r="G441" s="379"/>
    </row>
    <row r="442" spans="2:7">
      <c r="B442" s="164"/>
      <c r="C442" s="164"/>
      <c r="D442" s="378"/>
      <c r="E442" s="379"/>
      <c r="F442" s="379"/>
      <c r="G442" s="379"/>
    </row>
    <row r="443" spans="2:7">
      <c r="B443" s="164"/>
      <c r="C443" s="164"/>
      <c r="D443" s="378"/>
      <c r="E443" s="379"/>
      <c r="F443" s="379"/>
      <c r="G443" s="379"/>
    </row>
    <row r="444" spans="2:7">
      <c r="B444" s="164"/>
      <c r="C444" s="164"/>
      <c r="D444" s="378"/>
      <c r="E444" s="379"/>
      <c r="F444" s="379"/>
      <c r="G444" s="379"/>
    </row>
    <row r="445" spans="2:7">
      <c r="B445" s="164"/>
      <c r="C445" s="164"/>
      <c r="D445" s="378"/>
      <c r="E445" s="379"/>
      <c r="F445" s="379"/>
      <c r="G445" s="379"/>
    </row>
    <row r="446" spans="2:7">
      <c r="B446" s="164"/>
      <c r="C446" s="164"/>
      <c r="D446" s="378"/>
      <c r="E446" s="379"/>
      <c r="F446" s="379"/>
      <c r="G446" s="379"/>
    </row>
    <row r="447" spans="2:7">
      <c r="B447" s="164"/>
      <c r="C447" s="164"/>
      <c r="D447" s="378"/>
      <c r="E447" s="379"/>
      <c r="F447" s="379"/>
      <c r="G447" s="379"/>
    </row>
    <row r="448" spans="2:7">
      <c r="B448" s="164"/>
      <c r="C448" s="164"/>
      <c r="D448" s="378"/>
      <c r="E448" s="379"/>
      <c r="F448" s="379"/>
      <c r="G448" s="379"/>
    </row>
    <row r="449" spans="2:7">
      <c r="B449" s="164"/>
      <c r="C449" s="164"/>
      <c r="D449" s="378"/>
      <c r="E449" s="379"/>
      <c r="F449" s="379"/>
      <c r="G449" s="379"/>
    </row>
    <row r="450" spans="2:7">
      <c r="B450" s="164"/>
      <c r="C450" s="164"/>
      <c r="D450" s="378"/>
      <c r="E450" s="379"/>
      <c r="F450" s="379"/>
      <c r="G450" s="379"/>
    </row>
    <row r="451" spans="2:7">
      <c r="B451" s="164"/>
      <c r="C451" s="164"/>
      <c r="D451" s="378"/>
      <c r="E451" s="379"/>
      <c r="F451" s="379"/>
      <c r="G451" s="379"/>
    </row>
    <row r="452" spans="2:7">
      <c r="B452" s="164"/>
      <c r="C452" s="164"/>
      <c r="D452" s="378"/>
      <c r="E452" s="379"/>
      <c r="F452" s="379"/>
      <c r="G452" s="379"/>
    </row>
    <row r="453" spans="2:7">
      <c r="B453" s="164"/>
      <c r="C453" s="164"/>
      <c r="D453" s="378"/>
      <c r="E453" s="379"/>
      <c r="F453" s="379"/>
      <c r="G453" s="379"/>
    </row>
    <row r="454" spans="2:7">
      <c r="B454" s="164"/>
      <c r="C454" s="164"/>
      <c r="D454" s="378"/>
      <c r="E454" s="379"/>
      <c r="F454" s="379"/>
      <c r="G454" s="379"/>
    </row>
    <row r="455" spans="2:7">
      <c r="B455" s="164"/>
      <c r="C455" s="164"/>
      <c r="D455" s="378"/>
      <c r="E455" s="379"/>
      <c r="F455" s="379"/>
      <c r="G455" s="379"/>
    </row>
    <row r="456" spans="2:7">
      <c r="B456" s="164"/>
      <c r="C456" s="164"/>
      <c r="D456" s="378"/>
      <c r="E456" s="379"/>
      <c r="F456" s="379"/>
      <c r="G456" s="379"/>
    </row>
    <row r="457" spans="2:7">
      <c r="B457" s="164"/>
      <c r="C457" s="164"/>
      <c r="D457" s="378"/>
      <c r="E457" s="379"/>
      <c r="F457" s="379"/>
      <c r="G457" s="379"/>
    </row>
    <row r="458" spans="2:7">
      <c r="B458" s="164"/>
      <c r="C458" s="164"/>
      <c r="D458" s="378"/>
      <c r="E458" s="379"/>
      <c r="F458" s="379"/>
      <c r="G458" s="379"/>
    </row>
    <row r="459" spans="2:7">
      <c r="B459" s="164"/>
      <c r="C459" s="164"/>
      <c r="D459" s="378"/>
      <c r="E459" s="379"/>
      <c r="F459" s="379"/>
      <c r="G459" s="379"/>
    </row>
    <row r="460" spans="2:7">
      <c r="B460" s="164"/>
      <c r="C460" s="164"/>
      <c r="D460" s="378"/>
      <c r="E460" s="379"/>
      <c r="F460" s="379"/>
      <c r="G460" s="379"/>
    </row>
    <row r="461" spans="2:7">
      <c r="B461" s="164"/>
      <c r="C461" s="164"/>
      <c r="D461" s="378"/>
      <c r="E461" s="379"/>
      <c r="F461" s="379"/>
      <c r="G461" s="379"/>
    </row>
    <row r="462" spans="2:7">
      <c r="B462" s="164"/>
      <c r="C462" s="164"/>
      <c r="D462" s="378"/>
      <c r="E462" s="379"/>
      <c r="F462" s="379"/>
      <c r="G462" s="379"/>
    </row>
    <row r="463" spans="2:7">
      <c r="B463" s="164"/>
      <c r="C463" s="164"/>
      <c r="D463" s="378"/>
      <c r="E463" s="379"/>
      <c r="F463" s="379"/>
      <c r="G463" s="379"/>
    </row>
    <row r="464" spans="2:7">
      <c r="B464" s="164"/>
      <c r="C464" s="164"/>
      <c r="D464" s="378"/>
      <c r="E464" s="379"/>
      <c r="F464" s="379"/>
      <c r="G464" s="379"/>
    </row>
    <row r="465" spans="2:7">
      <c r="B465" s="164"/>
      <c r="C465" s="164"/>
      <c r="D465" s="378"/>
      <c r="E465" s="379"/>
      <c r="F465" s="379"/>
      <c r="G465" s="379"/>
    </row>
    <row r="466" spans="2:7">
      <c r="B466" s="164"/>
      <c r="C466" s="164"/>
      <c r="D466" s="378"/>
      <c r="E466" s="379"/>
      <c r="F466" s="379"/>
      <c r="G466" s="379"/>
    </row>
    <row r="467" spans="2:7">
      <c r="B467" s="164"/>
      <c r="C467" s="164"/>
      <c r="D467" s="378"/>
      <c r="E467" s="379"/>
      <c r="F467" s="379"/>
      <c r="G467" s="379"/>
    </row>
    <row r="468" spans="2:7">
      <c r="B468" s="164"/>
      <c r="C468" s="164"/>
      <c r="D468" s="378"/>
      <c r="E468" s="379"/>
      <c r="F468" s="379"/>
      <c r="G468" s="379"/>
    </row>
    <row r="469" spans="2:7">
      <c r="B469" s="164"/>
      <c r="C469" s="164"/>
      <c r="D469" s="378"/>
      <c r="E469" s="379"/>
      <c r="F469" s="379"/>
      <c r="G469" s="379"/>
    </row>
    <row r="470" spans="2:7">
      <c r="B470" s="164"/>
      <c r="C470" s="164"/>
      <c r="D470" s="378"/>
      <c r="E470" s="379"/>
      <c r="F470" s="379"/>
      <c r="G470" s="379"/>
    </row>
    <row r="471" spans="2:7">
      <c r="B471" s="164"/>
      <c r="C471" s="164"/>
      <c r="D471" s="378"/>
      <c r="E471" s="379"/>
      <c r="F471" s="379"/>
      <c r="G471" s="379"/>
    </row>
    <row r="472" spans="2:7">
      <c r="B472" s="164"/>
      <c r="C472" s="164"/>
      <c r="D472" s="378"/>
      <c r="E472" s="379"/>
      <c r="F472" s="379"/>
      <c r="G472" s="379"/>
    </row>
    <row r="473" spans="2:7">
      <c r="B473" s="164"/>
      <c r="C473" s="164"/>
      <c r="D473" s="378"/>
      <c r="E473" s="379"/>
      <c r="F473" s="379"/>
      <c r="G473" s="379"/>
    </row>
    <row r="474" spans="2:7">
      <c r="B474" s="164"/>
      <c r="C474" s="164"/>
      <c r="D474" s="378"/>
      <c r="E474" s="379"/>
      <c r="F474" s="379"/>
      <c r="G474" s="379"/>
    </row>
    <row r="475" spans="2:7">
      <c r="B475" s="164"/>
      <c r="C475" s="164"/>
      <c r="D475" s="378"/>
      <c r="E475" s="379"/>
      <c r="F475" s="379"/>
      <c r="G475" s="379"/>
    </row>
    <row r="476" spans="2:7">
      <c r="B476" s="164"/>
      <c r="C476" s="164"/>
      <c r="D476" s="378"/>
      <c r="E476" s="379"/>
      <c r="F476" s="379"/>
      <c r="G476" s="379"/>
    </row>
    <row r="477" spans="2:7">
      <c r="B477" s="164"/>
      <c r="C477" s="164"/>
      <c r="D477" s="378"/>
      <c r="E477" s="379"/>
      <c r="F477" s="379"/>
      <c r="G477" s="379"/>
    </row>
    <row r="478" spans="2:7">
      <c r="B478" s="164"/>
      <c r="C478" s="164"/>
      <c r="D478" s="378"/>
      <c r="E478" s="379"/>
      <c r="F478" s="379"/>
      <c r="G478" s="379"/>
    </row>
    <row r="479" spans="2:7">
      <c r="B479" s="164"/>
      <c r="C479" s="164"/>
      <c r="D479" s="378"/>
      <c r="E479" s="379"/>
      <c r="F479" s="379"/>
      <c r="G479" s="379"/>
    </row>
    <row r="480" spans="2:7">
      <c r="B480" s="164"/>
      <c r="C480" s="164"/>
      <c r="D480" s="378"/>
      <c r="E480" s="379"/>
      <c r="F480" s="379"/>
      <c r="G480" s="379"/>
    </row>
    <row r="481" spans="2:7">
      <c r="B481" s="164"/>
      <c r="C481" s="164"/>
      <c r="D481" s="378"/>
      <c r="E481" s="379"/>
      <c r="F481" s="379"/>
      <c r="G481" s="379"/>
    </row>
    <row r="482" spans="2:7">
      <c r="B482" s="164"/>
      <c r="C482" s="164"/>
      <c r="D482" s="378"/>
      <c r="E482" s="379"/>
      <c r="F482" s="379"/>
      <c r="G482" s="379"/>
    </row>
    <row r="483" spans="2:7">
      <c r="B483" s="164"/>
      <c r="C483" s="164"/>
      <c r="D483" s="378"/>
      <c r="E483" s="379"/>
      <c r="F483" s="379"/>
      <c r="G483" s="379"/>
    </row>
    <row r="484" spans="2:7">
      <c r="B484" s="164"/>
      <c r="C484" s="164"/>
      <c r="D484" s="378"/>
      <c r="E484" s="379"/>
      <c r="F484" s="379"/>
      <c r="G484" s="379"/>
    </row>
    <row r="485" spans="2:7">
      <c r="B485" s="164"/>
      <c r="C485" s="164"/>
      <c r="D485" s="378"/>
      <c r="E485" s="379"/>
      <c r="F485" s="379"/>
      <c r="G485" s="379"/>
    </row>
    <row r="486" spans="2:7">
      <c r="B486" s="164"/>
      <c r="C486" s="164"/>
      <c r="D486" s="378"/>
      <c r="E486" s="379"/>
      <c r="F486" s="379"/>
      <c r="G486" s="379"/>
    </row>
    <row r="487" spans="2:7">
      <c r="B487" s="164"/>
      <c r="C487" s="164"/>
      <c r="D487" s="378"/>
      <c r="E487" s="379"/>
      <c r="F487" s="379"/>
      <c r="G487" s="379"/>
    </row>
    <row r="488" spans="2:7">
      <c r="B488" s="164"/>
      <c r="C488" s="164"/>
      <c r="D488" s="378"/>
      <c r="E488" s="379"/>
      <c r="F488" s="379"/>
      <c r="G488" s="379"/>
    </row>
    <row r="489" spans="2:7">
      <c r="B489" s="164"/>
      <c r="C489" s="164"/>
      <c r="D489" s="378"/>
      <c r="E489" s="379"/>
      <c r="F489" s="379"/>
      <c r="G489" s="379"/>
    </row>
    <row r="490" spans="2:7">
      <c r="B490" s="164"/>
      <c r="C490" s="164"/>
      <c r="D490" s="378"/>
      <c r="E490" s="379"/>
      <c r="F490" s="379"/>
      <c r="G490" s="379"/>
    </row>
    <row r="491" spans="2:7">
      <c r="B491" s="164"/>
      <c r="C491" s="164"/>
      <c r="D491" s="378"/>
      <c r="E491" s="379"/>
      <c r="F491" s="379"/>
      <c r="G491" s="379"/>
    </row>
    <row r="492" spans="2:7">
      <c r="B492" s="164"/>
      <c r="C492" s="164"/>
      <c r="D492" s="378"/>
      <c r="E492" s="379"/>
      <c r="F492" s="379"/>
      <c r="G492" s="379"/>
    </row>
    <row r="493" spans="2:7">
      <c r="B493" s="164"/>
      <c r="C493" s="164"/>
      <c r="D493" s="378"/>
      <c r="E493" s="379"/>
      <c r="F493" s="379"/>
      <c r="G493" s="379"/>
    </row>
    <row r="494" spans="2:7">
      <c r="B494" s="164"/>
      <c r="C494" s="164"/>
      <c r="D494" s="378"/>
      <c r="E494" s="379"/>
      <c r="F494" s="379"/>
      <c r="G494" s="379"/>
    </row>
    <row r="495" spans="2:7">
      <c r="B495" s="164"/>
      <c r="C495" s="164"/>
      <c r="D495" s="378"/>
      <c r="E495" s="379"/>
      <c r="F495" s="379"/>
      <c r="G495" s="379"/>
    </row>
    <row r="496" spans="2:7">
      <c r="B496" s="164"/>
      <c r="C496" s="164"/>
      <c r="D496" s="378"/>
      <c r="E496" s="379"/>
      <c r="F496" s="379"/>
      <c r="G496" s="379"/>
    </row>
    <row r="497" spans="2:7">
      <c r="B497" s="164"/>
      <c r="C497" s="164"/>
      <c r="D497" s="378"/>
      <c r="E497" s="379"/>
      <c r="F497" s="379"/>
      <c r="G497" s="379"/>
    </row>
    <row r="498" spans="2:7">
      <c r="B498" s="164"/>
      <c r="C498" s="164"/>
      <c r="D498" s="378"/>
      <c r="E498" s="379"/>
      <c r="F498" s="379"/>
      <c r="G498" s="379"/>
    </row>
    <row r="499" spans="2:7">
      <c r="B499" s="164"/>
      <c r="C499" s="164"/>
      <c r="D499" s="378"/>
      <c r="E499" s="379"/>
      <c r="F499" s="379"/>
      <c r="G499" s="379"/>
    </row>
    <row r="500" spans="2:7">
      <c r="B500" s="164"/>
      <c r="C500" s="164"/>
      <c r="D500" s="378"/>
      <c r="E500" s="379"/>
      <c r="F500" s="379"/>
      <c r="G500" s="379"/>
    </row>
    <row r="501" spans="2:7">
      <c r="B501" s="164"/>
      <c r="C501" s="164"/>
      <c r="D501" s="378"/>
      <c r="E501" s="379"/>
      <c r="F501" s="379"/>
      <c r="G501" s="379"/>
    </row>
    <row r="502" spans="2:7">
      <c r="B502" s="164"/>
      <c r="C502" s="164"/>
      <c r="D502" s="378"/>
      <c r="E502" s="379"/>
      <c r="F502" s="379"/>
      <c r="G502" s="379"/>
    </row>
    <row r="503" spans="2:7">
      <c r="B503" s="164"/>
      <c r="C503" s="164"/>
      <c r="D503" s="378"/>
      <c r="E503" s="379"/>
      <c r="F503" s="379"/>
      <c r="G503" s="379"/>
    </row>
    <row r="504" spans="2:7">
      <c r="B504" s="164"/>
      <c r="C504" s="164"/>
      <c r="D504" s="378"/>
      <c r="E504" s="379"/>
      <c r="F504" s="379"/>
      <c r="G504" s="379"/>
    </row>
    <row r="505" spans="2:7">
      <c r="B505" s="164"/>
      <c r="C505" s="164"/>
      <c r="D505" s="378"/>
      <c r="E505" s="379"/>
      <c r="F505" s="379"/>
      <c r="G505" s="379"/>
    </row>
    <row r="506" spans="2:7">
      <c r="B506" s="164"/>
      <c r="C506" s="164"/>
      <c r="D506" s="378"/>
      <c r="E506" s="379"/>
      <c r="F506" s="379"/>
      <c r="G506" s="379"/>
    </row>
    <row r="507" spans="2:7">
      <c r="B507" s="164"/>
      <c r="C507" s="164"/>
      <c r="D507" s="378"/>
      <c r="E507" s="379"/>
      <c r="F507" s="379"/>
      <c r="G507" s="379"/>
    </row>
    <row r="508" spans="2:7">
      <c r="B508" s="164"/>
      <c r="C508" s="164"/>
      <c r="D508" s="378"/>
      <c r="E508" s="379"/>
      <c r="F508" s="379"/>
      <c r="G508" s="379"/>
    </row>
    <row r="509" spans="2:7">
      <c r="B509" s="164"/>
      <c r="C509" s="164"/>
      <c r="D509" s="378"/>
      <c r="E509" s="379"/>
      <c r="F509" s="379"/>
      <c r="G509" s="379"/>
    </row>
    <row r="510" spans="2:7">
      <c r="B510" s="164"/>
      <c r="C510" s="164"/>
      <c r="D510" s="378"/>
      <c r="E510" s="379"/>
      <c r="F510" s="379"/>
      <c r="G510" s="379"/>
    </row>
    <row r="511" spans="2:7">
      <c r="B511" s="164"/>
      <c r="C511" s="164"/>
      <c r="D511" s="378"/>
      <c r="E511" s="379"/>
      <c r="F511" s="379"/>
      <c r="G511" s="379"/>
    </row>
    <row r="512" spans="2:7">
      <c r="B512" s="164"/>
      <c r="C512" s="164"/>
      <c r="D512" s="378"/>
      <c r="E512" s="379"/>
      <c r="F512" s="379"/>
      <c r="G512" s="379"/>
    </row>
    <row r="513" spans="2:7">
      <c r="B513" s="164"/>
      <c r="C513" s="164"/>
      <c r="D513" s="378"/>
      <c r="E513" s="379"/>
      <c r="F513" s="379"/>
      <c r="G513" s="379"/>
    </row>
    <row r="514" spans="2:7">
      <c r="B514" s="164"/>
      <c r="C514" s="164"/>
      <c r="D514" s="378"/>
      <c r="E514" s="379"/>
      <c r="F514" s="379"/>
      <c r="G514" s="379"/>
    </row>
    <row r="515" spans="2:7">
      <c r="B515" s="164"/>
      <c r="C515" s="164"/>
      <c r="D515" s="378"/>
      <c r="E515" s="379"/>
      <c r="F515" s="379"/>
      <c r="G515" s="379"/>
    </row>
    <row r="516" spans="2:7">
      <c r="B516" s="164"/>
      <c r="C516" s="164"/>
      <c r="D516" s="378"/>
      <c r="E516" s="379"/>
      <c r="F516" s="379"/>
      <c r="G516" s="379"/>
    </row>
    <row r="517" spans="2:7">
      <c r="B517" s="164"/>
      <c r="C517" s="164"/>
      <c r="D517" s="378"/>
      <c r="E517" s="379"/>
      <c r="F517" s="379"/>
      <c r="G517" s="379"/>
    </row>
    <row r="518" spans="2:7">
      <c r="B518" s="164"/>
      <c r="C518" s="164"/>
      <c r="D518" s="378"/>
      <c r="E518" s="379"/>
      <c r="F518" s="379"/>
      <c r="G518" s="379"/>
    </row>
    <row r="519" spans="2:7">
      <c r="B519" s="164"/>
      <c r="C519" s="164"/>
      <c r="D519" s="378"/>
      <c r="E519" s="379"/>
      <c r="F519" s="379"/>
      <c r="G519" s="379"/>
    </row>
    <row r="520" spans="2:7">
      <c r="B520" s="164"/>
      <c r="C520" s="164"/>
      <c r="D520" s="378"/>
      <c r="E520" s="379"/>
      <c r="F520" s="379"/>
      <c r="G520" s="379"/>
    </row>
    <row r="521" spans="2:7">
      <c r="B521" s="164"/>
      <c r="C521" s="164"/>
      <c r="D521" s="378"/>
      <c r="E521" s="379"/>
      <c r="F521" s="379"/>
      <c r="G521" s="379"/>
    </row>
    <row r="522" spans="2:7">
      <c r="B522" s="164"/>
      <c r="C522" s="164"/>
      <c r="D522" s="378"/>
      <c r="E522" s="379"/>
      <c r="F522" s="379"/>
      <c r="G522" s="379"/>
    </row>
    <row r="523" spans="2:7">
      <c r="B523" s="164"/>
      <c r="C523" s="164"/>
      <c r="D523" s="378"/>
      <c r="E523" s="379"/>
      <c r="F523" s="379"/>
      <c r="G523" s="379"/>
    </row>
    <row r="524" spans="2:7">
      <c r="B524" s="164"/>
      <c r="C524" s="164"/>
      <c r="D524" s="378"/>
      <c r="E524" s="379"/>
      <c r="F524" s="379"/>
      <c r="G524" s="379"/>
    </row>
    <row r="525" spans="2:7">
      <c r="B525" s="164"/>
      <c r="C525" s="164"/>
      <c r="D525" s="378"/>
      <c r="E525" s="379"/>
      <c r="F525" s="379"/>
      <c r="G525" s="379"/>
    </row>
    <row r="526" spans="2:7">
      <c r="B526" s="164"/>
      <c r="C526" s="164"/>
      <c r="D526" s="378"/>
      <c r="E526" s="379"/>
      <c r="F526" s="379"/>
      <c r="G526" s="379"/>
    </row>
    <row r="527" spans="2:7">
      <c r="B527" s="164"/>
      <c r="C527" s="164"/>
      <c r="D527" s="378"/>
      <c r="E527" s="379"/>
      <c r="F527" s="379"/>
      <c r="G527" s="379"/>
    </row>
    <row r="528" spans="2:7">
      <c r="B528" s="164"/>
      <c r="C528" s="164"/>
      <c r="D528" s="378"/>
      <c r="E528" s="379"/>
      <c r="F528" s="379"/>
      <c r="G528" s="379"/>
    </row>
    <row r="529" spans="2:7">
      <c r="B529" s="164"/>
      <c r="C529" s="164"/>
      <c r="D529" s="378"/>
      <c r="E529" s="379"/>
      <c r="F529" s="379"/>
      <c r="G529" s="379"/>
    </row>
    <row r="530" spans="2:7">
      <c r="B530" s="164"/>
      <c r="C530" s="164"/>
      <c r="D530" s="378"/>
      <c r="E530" s="379"/>
      <c r="F530" s="379"/>
      <c r="G530" s="379"/>
    </row>
    <row r="531" spans="2:7">
      <c r="B531" s="164"/>
      <c r="C531" s="164"/>
      <c r="D531" s="378"/>
      <c r="E531" s="379"/>
      <c r="F531" s="379"/>
      <c r="G531" s="379"/>
    </row>
    <row r="532" spans="2:7">
      <c r="B532" s="164"/>
      <c r="C532" s="164"/>
      <c r="D532" s="378"/>
      <c r="E532" s="379"/>
      <c r="F532" s="379"/>
      <c r="G532" s="379"/>
    </row>
    <row r="533" spans="2:7">
      <c r="B533" s="164"/>
      <c r="C533" s="164"/>
      <c r="D533" s="378"/>
      <c r="E533" s="379"/>
      <c r="F533" s="379"/>
      <c r="G533" s="379"/>
    </row>
    <row r="534" spans="2:7">
      <c r="B534" s="164"/>
      <c r="C534" s="164"/>
      <c r="D534" s="378"/>
      <c r="E534" s="379"/>
      <c r="F534" s="379"/>
      <c r="G534" s="379"/>
    </row>
    <row r="535" spans="2:7">
      <c r="B535" s="164"/>
      <c r="C535" s="164"/>
      <c r="D535" s="378"/>
      <c r="E535" s="379"/>
      <c r="F535" s="379"/>
      <c r="G535" s="379"/>
    </row>
    <row r="536" spans="2:7">
      <c r="B536" s="164"/>
      <c r="C536" s="164"/>
      <c r="D536" s="378"/>
      <c r="E536" s="379"/>
      <c r="F536" s="379"/>
      <c r="G536" s="379"/>
    </row>
    <row r="537" spans="2:7">
      <c r="B537" s="164"/>
      <c r="C537" s="164"/>
      <c r="D537" s="378"/>
      <c r="E537" s="379"/>
      <c r="F537" s="379"/>
      <c r="G537" s="379"/>
    </row>
    <row r="538" spans="2:7">
      <c r="B538" s="164"/>
      <c r="C538" s="164"/>
      <c r="D538" s="378"/>
      <c r="E538" s="379"/>
      <c r="F538" s="379"/>
      <c r="G538" s="379"/>
    </row>
    <row r="539" spans="2:7">
      <c r="B539" s="164"/>
      <c r="C539" s="164"/>
      <c r="D539" s="378"/>
      <c r="E539" s="379"/>
      <c r="F539" s="379"/>
      <c r="G539" s="379"/>
    </row>
    <row r="540" spans="2:7">
      <c r="B540" s="164"/>
      <c r="C540" s="164"/>
      <c r="D540" s="378"/>
      <c r="E540" s="379"/>
      <c r="F540" s="379"/>
      <c r="G540" s="379"/>
    </row>
    <row r="541" spans="2:7">
      <c r="B541" s="164"/>
      <c r="C541" s="164"/>
      <c r="D541" s="378"/>
      <c r="E541" s="379"/>
      <c r="F541" s="379"/>
      <c r="G541" s="379"/>
    </row>
    <row r="542" spans="2:7">
      <c r="B542" s="164"/>
      <c r="C542" s="164"/>
      <c r="D542" s="378"/>
      <c r="E542" s="379"/>
      <c r="F542" s="379"/>
      <c r="G542" s="379"/>
    </row>
    <row r="543" spans="2:7">
      <c r="B543" s="164"/>
      <c r="C543" s="164"/>
      <c r="D543" s="378"/>
      <c r="E543" s="379"/>
      <c r="F543" s="379"/>
      <c r="G543" s="379"/>
    </row>
    <row r="544" spans="2:7">
      <c r="B544" s="164"/>
      <c r="C544" s="164"/>
      <c r="D544" s="378"/>
      <c r="E544" s="379"/>
      <c r="F544" s="379"/>
      <c r="G544" s="379"/>
    </row>
    <row r="545" spans="2:7">
      <c r="B545" s="164"/>
      <c r="C545" s="164"/>
      <c r="D545" s="378"/>
      <c r="E545" s="379"/>
      <c r="F545" s="379"/>
      <c r="G545" s="379"/>
    </row>
    <row r="546" spans="2:7">
      <c r="B546" s="164"/>
      <c r="C546" s="164"/>
      <c r="D546" s="378"/>
      <c r="E546" s="379"/>
      <c r="F546" s="379"/>
      <c r="G546" s="379"/>
    </row>
    <row r="547" spans="2:7">
      <c r="B547" s="164"/>
      <c r="C547" s="164"/>
      <c r="D547" s="378"/>
      <c r="E547" s="379"/>
      <c r="F547" s="379"/>
      <c r="G547" s="379"/>
    </row>
    <row r="548" spans="2:7">
      <c r="B548" s="164"/>
      <c r="C548" s="164"/>
      <c r="D548" s="378"/>
      <c r="E548" s="379"/>
      <c r="F548" s="379"/>
      <c r="G548" s="379"/>
    </row>
    <row r="549" spans="2:7">
      <c r="B549" s="164"/>
      <c r="C549" s="164"/>
      <c r="D549" s="378"/>
      <c r="E549" s="379"/>
      <c r="F549" s="379"/>
      <c r="G549" s="379"/>
    </row>
    <row r="550" spans="2:7">
      <c r="B550" s="164"/>
      <c r="C550" s="164"/>
      <c r="D550" s="378"/>
      <c r="E550" s="379"/>
      <c r="F550" s="379"/>
      <c r="G550" s="379"/>
    </row>
    <row r="551" spans="2:7">
      <c r="B551" s="164"/>
      <c r="C551" s="164"/>
      <c r="D551" s="378"/>
      <c r="E551" s="379"/>
      <c r="F551" s="379"/>
      <c r="G551" s="379"/>
    </row>
    <row r="552" spans="2:7">
      <c r="B552" s="164"/>
      <c r="C552" s="164"/>
      <c r="D552" s="378"/>
      <c r="E552" s="379"/>
      <c r="F552" s="379"/>
      <c r="G552" s="379"/>
    </row>
    <row r="553" spans="2:7">
      <c r="B553" s="164"/>
      <c r="C553" s="164"/>
      <c r="D553" s="378"/>
      <c r="E553" s="379"/>
      <c r="F553" s="379"/>
      <c r="G553" s="379"/>
    </row>
    <row r="554" spans="2:7">
      <c r="B554" s="164"/>
      <c r="C554" s="164"/>
      <c r="D554" s="378"/>
      <c r="E554" s="379"/>
      <c r="F554" s="379"/>
      <c r="G554" s="379"/>
    </row>
    <row r="555" spans="2:7">
      <c r="B555" s="164"/>
      <c r="C555" s="164"/>
      <c r="D555" s="378"/>
      <c r="E555" s="379"/>
      <c r="F555" s="379"/>
      <c r="G555" s="379"/>
    </row>
    <row r="556" spans="2:7">
      <c r="B556" s="164"/>
      <c r="C556" s="164"/>
      <c r="D556" s="378"/>
      <c r="E556" s="379"/>
      <c r="F556" s="379"/>
      <c r="G556" s="379"/>
    </row>
    <row r="557" spans="2:7">
      <c r="B557" s="164"/>
      <c r="C557" s="164"/>
      <c r="D557" s="378"/>
      <c r="E557" s="379"/>
      <c r="F557" s="379"/>
      <c r="G557" s="379"/>
    </row>
    <row r="558" spans="2:7">
      <c r="B558" s="164"/>
      <c r="C558" s="164"/>
      <c r="D558" s="378"/>
      <c r="E558" s="379"/>
      <c r="F558" s="379"/>
      <c r="G558" s="379"/>
    </row>
    <row r="559" spans="2:7">
      <c r="B559" s="164"/>
      <c r="C559" s="164"/>
      <c r="D559" s="378"/>
      <c r="E559" s="379"/>
      <c r="F559" s="379"/>
      <c r="G559" s="379"/>
    </row>
    <row r="560" spans="2:7">
      <c r="B560" s="164"/>
      <c r="C560" s="164"/>
      <c r="D560" s="378"/>
      <c r="E560" s="379"/>
      <c r="F560" s="379"/>
      <c r="G560" s="379"/>
    </row>
    <row r="561" spans="2:7">
      <c r="B561" s="164"/>
      <c r="C561" s="164"/>
      <c r="D561" s="378"/>
      <c r="E561" s="379"/>
      <c r="F561" s="379"/>
      <c r="G561" s="379"/>
    </row>
    <row r="562" spans="2:7">
      <c r="B562" s="164"/>
      <c r="C562" s="164"/>
      <c r="D562" s="378"/>
      <c r="E562" s="379"/>
      <c r="F562" s="379"/>
      <c r="G562" s="379"/>
    </row>
    <row r="563" spans="2:7">
      <c r="B563" s="164"/>
      <c r="C563" s="164"/>
      <c r="D563" s="378"/>
      <c r="E563" s="379"/>
      <c r="F563" s="379"/>
      <c r="G563" s="379"/>
    </row>
    <row r="564" spans="2:7">
      <c r="B564" s="164"/>
      <c r="C564" s="164"/>
      <c r="D564" s="378"/>
      <c r="E564" s="379"/>
      <c r="F564" s="379"/>
      <c r="G564" s="379"/>
    </row>
    <row r="565" spans="2:7">
      <c r="B565" s="164"/>
      <c r="C565" s="164"/>
      <c r="D565" s="378"/>
      <c r="E565" s="379"/>
      <c r="F565" s="379"/>
      <c r="G565" s="379"/>
    </row>
    <row r="566" spans="2:7">
      <c r="B566" s="164"/>
      <c r="C566" s="164"/>
      <c r="D566" s="378"/>
      <c r="E566" s="379"/>
      <c r="F566" s="379"/>
      <c r="G566" s="379"/>
    </row>
    <row r="567" spans="2:7">
      <c r="B567" s="164"/>
      <c r="C567" s="164"/>
      <c r="D567" s="378"/>
      <c r="E567" s="379"/>
      <c r="F567" s="379"/>
      <c r="G567" s="379"/>
    </row>
    <row r="568" spans="2:7">
      <c r="B568" s="164"/>
      <c r="C568" s="164"/>
      <c r="D568" s="378"/>
      <c r="E568" s="379"/>
      <c r="F568" s="379"/>
      <c r="G568" s="379"/>
    </row>
    <row r="569" spans="2:7">
      <c r="B569" s="164"/>
      <c r="C569" s="164"/>
      <c r="D569" s="378"/>
      <c r="E569" s="379"/>
      <c r="F569" s="379"/>
      <c r="G569" s="379"/>
    </row>
    <row r="570" spans="2:7">
      <c r="B570" s="164"/>
      <c r="C570" s="164"/>
      <c r="D570" s="378"/>
      <c r="E570" s="379"/>
      <c r="F570" s="379"/>
      <c r="G570" s="379"/>
    </row>
    <row r="571" spans="2:7">
      <c r="B571" s="164"/>
      <c r="C571" s="164"/>
      <c r="D571" s="378"/>
      <c r="E571" s="379"/>
      <c r="F571" s="379"/>
      <c r="G571" s="379"/>
    </row>
    <row r="572" spans="2:7">
      <c r="B572" s="164"/>
      <c r="C572" s="164"/>
      <c r="D572" s="378"/>
      <c r="E572" s="379"/>
      <c r="F572" s="379"/>
      <c r="G572" s="379"/>
    </row>
    <row r="573" spans="2:7">
      <c r="B573" s="164"/>
      <c r="C573" s="164"/>
      <c r="D573" s="378"/>
      <c r="E573" s="379"/>
      <c r="F573" s="379"/>
      <c r="G573" s="379"/>
    </row>
    <row r="574" spans="2:7">
      <c r="B574" s="164"/>
      <c r="C574" s="164"/>
      <c r="D574" s="378"/>
      <c r="E574" s="379"/>
      <c r="F574" s="379"/>
      <c r="G574" s="379"/>
    </row>
    <row r="575" spans="2:7">
      <c r="B575" s="164"/>
      <c r="C575" s="164"/>
      <c r="D575" s="378"/>
      <c r="E575" s="379"/>
      <c r="F575" s="379"/>
      <c r="G575" s="379"/>
    </row>
    <row r="576" spans="2:7">
      <c r="B576" s="164"/>
      <c r="C576" s="164"/>
      <c r="D576" s="378"/>
      <c r="E576" s="379"/>
      <c r="F576" s="379"/>
      <c r="G576" s="379"/>
    </row>
    <row r="577" spans="2:7">
      <c r="B577" s="164"/>
      <c r="C577" s="164"/>
      <c r="D577" s="378"/>
      <c r="E577" s="379"/>
      <c r="F577" s="379"/>
      <c r="G577" s="379"/>
    </row>
    <row r="578" spans="2:7">
      <c r="B578" s="164"/>
      <c r="C578" s="164"/>
      <c r="D578" s="378"/>
      <c r="E578" s="379"/>
      <c r="F578" s="379"/>
      <c r="G578" s="379"/>
    </row>
    <row r="579" spans="2:7">
      <c r="B579" s="164"/>
      <c r="C579" s="164"/>
      <c r="D579" s="378"/>
      <c r="E579" s="379"/>
      <c r="F579" s="379"/>
      <c r="G579" s="379"/>
    </row>
    <row r="580" spans="2:7">
      <c r="B580" s="164"/>
      <c r="C580" s="164"/>
      <c r="D580" s="378"/>
      <c r="E580" s="379"/>
      <c r="F580" s="379"/>
      <c r="G580" s="379"/>
    </row>
    <row r="581" spans="2:7">
      <c r="B581" s="164"/>
      <c r="C581" s="164"/>
      <c r="D581" s="378"/>
      <c r="E581" s="379"/>
      <c r="F581" s="379"/>
      <c r="G581" s="379"/>
    </row>
    <row r="582" spans="2:7">
      <c r="B582" s="164"/>
      <c r="C582" s="164"/>
      <c r="D582" s="378"/>
      <c r="E582" s="379"/>
      <c r="F582" s="379"/>
      <c r="G582" s="379"/>
    </row>
    <row r="583" spans="2:7">
      <c r="B583" s="164"/>
      <c r="C583" s="164"/>
      <c r="D583" s="378"/>
      <c r="E583" s="379"/>
      <c r="F583" s="379"/>
      <c r="G583" s="379"/>
    </row>
    <row r="584" spans="2:7">
      <c r="B584" s="164"/>
      <c r="C584" s="164"/>
      <c r="D584" s="378"/>
      <c r="E584" s="379"/>
      <c r="F584" s="379"/>
      <c r="G584" s="379"/>
    </row>
    <row r="585" spans="2:7">
      <c r="B585" s="164"/>
      <c r="C585" s="164"/>
      <c r="D585" s="378"/>
      <c r="E585" s="379"/>
      <c r="F585" s="379"/>
      <c r="G585" s="379"/>
    </row>
    <row r="586" spans="2:7">
      <c r="B586" s="164"/>
      <c r="C586" s="164"/>
      <c r="D586" s="378"/>
      <c r="E586" s="379"/>
      <c r="F586" s="379"/>
      <c r="G586" s="379"/>
    </row>
    <row r="587" spans="2:7">
      <c r="B587" s="164"/>
      <c r="C587" s="164"/>
      <c r="D587" s="378"/>
      <c r="E587" s="379"/>
      <c r="F587" s="379"/>
      <c r="G587" s="379"/>
    </row>
    <row r="588" spans="2:7">
      <c r="B588" s="164"/>
      <c r="C588" s="164"/>
      <c r="D588" s="378"/>
      <c r="E588" s="379"/>
      <c r="F588" s="379"/>
      <c r="G588" s="379"/>
    </row>
    <row r="589" spans="2:7">
      <c r="B589" s="164"/>
      <c r="C589" s="164"/>
      <c r="D589" s="378"/>
      <c r="E589" s="379"/>
      <c r="F589" s="379"/>
      <c r="G589" s="379"/>
    </row>
    <row r="590" spans="2:7">
      <c r="B590" s="164"/>
      <c r="C590" s="164"/>
      <c r="D590" s="378"/>
      <c r="E590" s="379"/>
      <c r="F590" s="379"/>
      <c r="G590" s="379"/>
    </row>
    <row r="591" spans="2:7">
      <c r="B591" s="164"/>
      <c r="C591" s="164"/>
      <c r="D591" s="378"/>
      <c r="E591" s="379"/>
      <c r="F591" s="379"/>
      <c r="G591" s="379"/>
    </row>
    <row r="592" spans="2:7">
      <c r="B592" s="164"/>
      <c r="C592" s="164"/>
      <c r="D592" s="378"/>
      <c r="E592" s="379"/>
      <c r="F592" s="379"/>
      <c r="G592" s="379"/>
    </row>
    <row r="593" spans="2:7">
      <c r="B593" s="164"/>
      <c r="C593" s="164"/>
      <c r="D593" s="378"/>
      <c r="E593" s="379"/>
      <c r="F593" s="379"/>
      <c r="G593" s="379"/>
    </row>
    <row r="594" spans="2:7">
      <c r="B594" s="164"/>
      <c r="C594" s="164"/>
      <c r="D594" s="378"/>
      <c r="E594" s="379"/>
      <c r="F594" s="379"/>
      <c r="G594" s="379"/>
    </row>
    <row r="595" spans="2:7">
      <c r="B595" s="164"/>
      <c r="C595" s="164"/>
      <c r="D595" s="378"/>
      <c r="E595" s="379"/>
      <c r="F595" s="379"/>
      <c r="G595" s="379"/>
    </row>
    <row r="596" spans="2:7">
      <c r="B596" s="164"/>
      <c r="C596" s="164"/>
      <c r="D596" s="378"/>
      <c r="E596" s="379"/>
      <c r="F596" s="379"/>
      <c r="G596" s="379"/>
    </row>
    <row r="597" spans="2:7">
      <c r="B597" s="164"/>
      <c r="C597" s="164"/>
      <c r="D597" s="378"/>
      <c r="E597" s="379"/>
      <c r="F597" s="379"/>
      <c r="G597" s="379"/>
    </row>
    <row r="598" spans="2:7">
      <c r="B598" s="164"/>
      <c r="C598" s="164"/>
      <c r="D598" s="378"/>
      <c r="E598" s="379"/>
      <c r="F598" s="379"/>
      <c r="G598" s="379"/>
    </row>
    <row r="599" spans="2:7">
      <c r="B599" s="165"/>
      <c r="C599" s="166"/>
      <c r="D599" s="378"/>
      <c r="E599" s="379"/>
      <c r="F599" s="379"/>
      <c r="G599" s="379"/>
    </row>
    <row r="600" spans="2:7">
      <c r="B600" s="165"/>
      <c r="C600" s="166"/>
      <c r="D600" s="378"/>
      <c r="E600" s="379"/>
      <c r="F600" s="379"/>
      <c r="G600" s="379"/>
    </row>
    <row r="601" spans="2:7">
      <c r="B601" s="165"/>
      <c r="C601" s="166"/>
      <c r="D601" s="378"/>
      <c r="E601" s="379"/>
      <c r="F601" s="379"/>
      <c r="G601" s="379"/>
    </row>
    <row r="602" spans="2:7">
      <c r="B602" s="165"/>
      <c r="C602" s="166"/>
      <c r="D602" s="378"/>
      <c r="E602" s="379"/>
      <c r="F602" s="379"/>
      <c r="G602" s="379"/>
    </row>
    <row r="603" spans="2:7">
      <c r="B603" s="165"/>
      <c r="C603" s="166"/>
      <c r="D603" s="378"/>
      <c r="E603" s="379"/>
      <c r="F603" s="379"/>
      <c r="G603" s="379"/>
    </row>
    <row r="604" spans="2:7">
      <c r="B604" s="165"/>
      <c r="C604" s="166"/>
      <c r="D604" s="378"/>
      <c r="E604" s="379"/>
      <c r="F604" s="379"/>
      <c r="G604" s="379"/>
    </row>
    <row r="605" spans="2:7">
      <c r="B605" s="165"/>
      <c r="C605" s="166"/>
      <c r="D605" s="378"/>
      <c r="E605" s="379"/>
      <c r="F605" s="379"/>
      <c r="G605" s="379"/>
    </row>
    <row r="606" spans="2:7">
      <c r="B606" s="165"/>
      <c r="C606" s="166"/>
      <c r="D606" s="378"/>
      <c r="E606" s="379"/>
      <c r="F606" s="379"/>
      <c r="G606" s="379"/>
    </row>
    <row r="607" spans="2:7">
      <c r="B607" s="165"/>
      <c r="C607" s="166"/>
      <c r="D607" s="378"/>
      <c r="E607" s="379"/>
      <c r="F607" s="379"/>
      <c r="G607" s="379"/>
    </row>
    <row r="608" spans="2:7">
      <c r="B608" s="165"/>
      <c r="C608" s="166"/>
      <c r="D608" s="378"/>
      <c r="E608" s="379"/>
      <c r="F608" s="379"/>
      <c r="G608" s="379"/>
    </row>
    <row r="609" spans="2:7">
      <c r="B609" s="165"/>
      <c r="C609" s="166"/>
      <c r="D609" s="378"/>
      <c r="E609" s="379"/>
      <c r="F609" s="379"/>
      <c r="G609" s="379"/>
    </row>
    <row r="610" spans="2:7">
      <c r="B610" s="165"/>
      <c r="C610" s="166"/>
      <c r="D610" s="378"/>
      <c r="E610" s="379"/>
      <c r="F610" s="379"/>
      <c r="G610" s="379"/>
    </row>
    <row r="611" spans="2:7">
      <c r="B611" s="165"/>
      <c r="C611" s="166"/>
      <c r="D611" s="378"/>
      <c r="E611" s="379"/>
      <c r="F611" s="379"/>
      <c r="G611" s="379"/>
    </row>
    <row r="612" spans="2:7">
      <c r="B612" s="165"/>
      <c r="C612" s="166"/>
      <c r="D612" s="378"/>
      <c r="E612" s="379"/>
      <c r="F612" s="379"/>
      <c r="G612" s="379"/>
    </row>
    <row r="613" spans="2:7">
      <c r="B613" s="165"/>
      <c r="C613" s="166"/>
      <c r="D613" s="378"/>
      <c r="E613" s="379"/>
      <c r="F613" s="379"/>
      <c r="G613" s="379"/>
    </row>
    <row r="614" spans="2:7">
      <c r="B614" s="165"/>
      <c r="C614" s="166"/>
      <c r="D614" s="378"/>
      <c r="E614" s="379"/>
      <c r="F614" s="379"/>
      <c r="G614" s="379"/>
    </row>
    <row r="615" spans="2:7">
      <c r="B615" s="165"/>
      <c r="C615" s="166"/>
      <c r="D615" s="378"/>
      <c r="E615" s="379"/>
      <c r="F615" s="379"/>
      <c r="G615" s="379"/>
    </row>
    <row r="616" spans="2:7">
      <c r="B616" s="165"/>
      <c r="C616" s="166"/>
      <c r="D616" s="378"/>
      <c r="E616" s="379"/>
      <c r="F616" s="379"/>
      <c r="G616" s="379"/>
    </row>
    <row r="617" spans="2:7">
      <c r="B617" s="165"/>
      <c r="C617" s="166"/>
      <c r="D617" s="378"/>
      <c r="E617" s="379"/>
      <c r="F617" s="379"/>
      <c r="G617" s="379"/>
    </row>
    <row r="618" spans="2:7">
      <c r="B618" s="165"/>
      <c r="C618" s="166"/>
      <c r="D618" s="378"/>
      <c r="E618" s="379"/>
      <c r="F618" s="379"/>
      <c r="G618" s="379"/>
    </row>
    <row r="619" spans="2:7">
      <c r="B619" s="165"/>
      <c r="C619" s="166"/>
      <c r="D619" s="378"/>
      <c r="E619" s="379"/>
      <c r="F619" s="379"/>
      <c r="G619" s="379"/>
    </row>
    <row r="620" spans="2:7">
      <c r="B620" s="165"/>
      <c r="C620" s="166"/>
      <c r="D620" s="378"/>
      <c r="E620" s="379"/>
      <c r="F620" s="379"/>
      <c r="G620" s="379"/>
    </row>
    <row r="621" spans="2:7">
      <c r="B621" s="165"/>
      <c r="C621" s="166"/>
      <c r="D621" s="378"/>
      <c r="E621" s="379"/>
      <c r="F621" s="379"/>
      <c r="G621" s="379"/>
    </row>
    <row r="622" spans="2:7">
      <c r="B622" s="165"/>
      <c r="C622" s="166"/>
      <c r="D622" s="378"/>
      <c r="E622" s="379"/>
      <c r="F622" s="379"/>
      <c r="G622" s="379"/>
    </row>
    <row r="623" spans="2:7">
      <c r="B623" s="165"/>
      <c r="C623" s="166"/>
      <c r="D623" s="378"/>
      <c r="E623" s="379"/>
      <c r="F623" s="379"/>
      <c r="G623" s="379"/>
    </row>
    <row r="624" spans="2:7">
      <c r="B624" s="165"/>
      <c r="C624" s="166"/>
      <c r="D624" s="378"/>
      <c r="E624" s="379"/>
      <c r="F624" s="379"/>
      <c r="G624" s="379"/>
    </row>
    <row r="625" spans="2:7">
      <c r="B625" s="165"/>
      <c r="C625" s="166"/>
      <c r="D625" s="378"/>
      <c r="E625" s="379"/>
      <c r="F625" s="379"/>
      <c r="G625" s="379"/>
    </row>
    <row r="626" spans="2:7">
      <c r="B626" s="165"/>
      <c r="C626" s="166"/>
      <c r="D626" s="378"/>
      <c r="E626" s="379"/>
      <c r="F626" s="379"/>
      <c r="G626" s="379"/>
    </row>
    <row r="627" spans="2:7">
      <c r="B627" s="165"/>
      <c r="C627" s="166"/>
      <c r="D627" s="378"/>
      <c r="E627" s="379"/>
      <c r="F627" s="379"/>
      <c r="G627" s="379"/>
    </row>
    <row r="628" spans="2:7">
      <c r="B628" s="165"/>
      <c r="C628" s="166"/>
      <c r="D628" s="378"/>
      <c r="E628" s="379"/>
      <c r="F628" s="379"/>
      <c r="G628" s="379"/>
    </row>
    <row r="629" spans="2:7">
      <c r="B629" s="165"/>
      <c r="C629" s="166"/>
      <c r="D629" s="378"/>
      <c r="E629" s="379"/>
      <c r="F629" s="379"/>
      <c r="G629" s="379"/>
    </row>
    <row r="630" spans="2:7">
      <c r="B630" s="165"/>
      <c r="C630" s="166"/>
      <c r="D630" s="378"/>
      <c r="E630" s="379"/>
      <c r="F630" s="379"/>
      <c r="G630" s="379"/>
    </row>
    <row r="631" spans="2:7">
      <c r="B631" s="165"/>
      <c r="C631" s="166"/>
      <c r="D631" s="378"/>
      <c r="E631" s="379"/>
      <c r="F631" s="379"/>
      <c r="G631" s="379"/>
    </row>
    <row r="632" spans="2:7">
      <c r="B632" s="165"/>
      <c r="C632" s="166"/>
      <c r="D632" s="378"/>
      <c r="E632" s="379"/>
      <c r="F632" s="379"/>
      <c r="G632" s="379"/>
    </row>
    <row r="633" spans="2:7">
      <c r="B633" s="165"/>
      <c r="C633" s="166"/>
      <c r="D633" s="378"/>
      <c r="E633" s="379"/>
      <c r="F633" s="379"/>
      <c r="G633" s="379"/>
    </row>
    <row r="634" spans="2:7">
      <c r="B634" s="165"/>
      <c r="C634" s="166"/>
      <c r="D634" s="378"/>
      <c r="E634" s="379"/>
      <c r="F634" s="379"/>
      <c r="G634" s="379"/>
    </row>
    <row r="635" spans="2:7">
      <c r="B635" s="165"/>
      <c r="C635" s="166"/>
      <c r="D635" s="378"/>
      <c r="E635" s="379"/>
      <c r="F635" s="379"/>
      <c r="G635" s="379"/>
    </row>
    <row r="636" spans="2:7">
      <c r="B636" s="165"/>
      <c r="C636" s="166"/>
      <c r="D636" s="378"/>
      <c r="E636" s="379"/>
      <c r="F636" s="379"/>
      <c r="G636" s="379"/>
    </row>
    <row r="637" spans="2:7">
      <c r="B637" s="165"/>
      <c r="C637" s="166"/>
      <c r="D637" s="378"/>
      <c r="E637" s="379"/>
      <c r="F637" s="379"/>
      <c r="G637" s="379"/>
    </row>
    <row r="638" spans="2:7">
      <c r="B638" s="165"/>
      <c r="C638" s="166"/>
      <c r="D638" s="378"/>
      <c r="E638" s="379"/>
      <c r="F638" s="379"/>
      <c r="G638" s="379"/>
    </row>
    <row r="639" spans="2:7">
      <c r="B639" s="165"/>
      <c r="C639" s="166"/>
      <c r="D639" s="378"/>
      <c r="E639" s="379"/>
      <c r="F639" s="379"/>
      <c r="G639" s="379"/>
    </row>
    <row r="640" spans="2:7">
      <c r="B640" s="165"/>
      <c r="C640" s="166"/>
      <c r="D640" s="378"/>
      <c r="E640" s="379"/>
      <c r="F640" s="379"/>
      <c r="G640" s="379"/>
    </row>
    <row r="641" spans="2:7">
      <c r="B641" s="165"/>
      <c r="C641" s="166"/>
      <c r="D641" s="378"/>
      <c r="E641" s="379"/>
      <c r="F641" s="379"/>
      <c r="G641" s="379"/>
    </row>
    <row r="642" spans="2:7">
      <c r="B642" s="165"/>
      <c r="C642" s="166"/>
      <c r="D642" s="378"/>
      <c r="E642" s="379"/>
      <c r="F642" s="379"/>
      <c r="G642" s="379"/>
    </row>
    <row r="643" spans="2:7">
      <c r="B643" s="165"/>
      <c r="C643" s="166"/>
      <c r="D643" s="378"/>
      <c r="E643" s="379"/>
      <c r="F643" s="379"/>
      <c r="G643" s="379"/>
    </row>
    <row r="644" spans="2:7">
      <c r="B644" s="165"/>
      <c r="C644" s="166"/>
      <c r="D644" s="378"/>
      <c r="E644" s="379"/>
      <c r="F644" s="379"/>
      <c r="G644" s="379"/>
    </row>
    <row r="645" spans="2:7">
      <c r="B645" s="165"/>
      <c r="C645" s="166"/>
      <c r="D645" s="378"/>
      <c r="E645" s="379"/>
      <c r="F645" s="379"/>
      <c r="G645" s="379"/>
    </row>
    <row r="646" spans="2:7">
      <c r="B646" s="165"/>
      <c r="C646" s="166"/>
      <c r="D646" s="378"/>
      <c r="E646" s="379"/>
      <c r="F646" s="379"/>
      <c r="G646" s="379"/>
    </row>
    <row r="647" spans="2:7">
      <c r="B647" s="165"/>
      <c r="C647" s="166"/>
      <c r="D647" s="378"/>
      <c r="E647" s="379"/>
      <c r="F647" s="379"/>
      <c r="G647" s="379"/>
    </row>
    <row r="648" spans="2:7">
      <c r="B648" s="165"/>
      <c r="C648" s="166"/>
      <c r="D648" s="378"/>
      <c r="E648" s="379"/>
      <c r="F648" s="379"/>
      <c r="G648" s="379"/>
    </row>
    <row r="649" spans="2:7">
      <c r="B649" s="165"/>
      <c r="C649" s="166"/>
      <c r="D649" s="378"/>
      <c r="E649" s="379"/>
      <c r="F649" s="379"/>
      <c r="G649" s="379"/>
    </row>
    <row r="650" spans="2:7">
      <c r="B650" s="165"/>
      <c r="C650" s="166"/>
      <c r="D650" s="378"/>
      <c r="E650" s="379"/>
      <c r="F650" s="379"/>
      <c r="G650" s="379"/>
    </row>
    <row r="651" spans="2:7">
      <c r="B651" s="165"/>
      <c r="C651" s="166"/>
      <c r="D651" s="378"/>
      <c r="E651" s="379"/>
      <c r="F651" s="379"/>
      <c r="G651" s="379"/>
    </row>
    <row r="652" spans="2:7">
      <c r="B652" s="165"/>
      <c r="C652" s="166"/>
      <c r="D652" s="378"/>
      <c r="E652" s="379"/>
      <c r="F652" s="379"/>
      <c r="G652" s="379"/>
    </row>
    <row r="653" spans="2:7">
      <c r="B653" s="165"/>
      <c r="C653" s="166"/>
      <c r="D653" s="378"/>
      <c r="E653" s="379"/>
      <c r="F653" s="379"/>
      <c r="G653" s="379"/>
    </row>
    <row r="654" spans="2:7">
      <c r="B654" s="165"/>
      <c r="C654" s="166"/>
      <c r="D654" s="378"/>
      <c r="E654" s="379"/>
      <c r="F654" s="379"/>
      <c r="G654" s="379"/>
    </row>
    <row r="655" spans="2:7">
      <c r="B655" s="165"/>
      <c r="C655" s="166"/>
      <c r="D655" s="378"/>
      <c r="E655" s="379"/>
      <c r="F655" s="379"/>
      <c r="G655" s="379"/>
    </row>
    <row r="656" spans="2:7">
      <c r="B656" s="165"/>
      <c r="C656" s="166"/>
      <c r="D656" s="378"/>
      <c r="E656" s="379"/>
      <c r="F656" s="379"/>
      <c r="G656" s="379"/>
    </row>
    <row r="657" spans="2:7">
      <c r="B657" s="165"/>
      <c r="C657" s="166"/>
      <c r="D657" s="378"/>
      <c r="E657" s="379"/>
      <c r="F657" s="379"/>
      <c r="G657" s="379"/>
    </row>
    <row r="658" spans="2:7">
      <c r="B658" s="165"/>
      <c r="C658" s="166"/>
      <c r="D658" s="378"/>
      <c r="E658" s="379"/>
      <c r="F658" s="379"/>
      <c r="G658" s="379"/>
    </row>
    <row r="659" spans="2:7">
      <c r="B659" s="165"/>
      <c r="C659" s="166"/>
      <c r="D659" s="378"/>
      <c r="E659" s="379"/>
      <c r="F659" s="379"/>
      <c r="G659" s="379"/>
    </row>
    <row r="660" spans="2:7">
      <c r="B660" s="165"/>
      <c r="C660" s="166"/>
      <c r="D660" s="378"/>
      <c r="E660" s="379"/>
      <c r="F660" s="379"/>
      <c r="G660" s="379"/>
    </row>
    <row r="661" spans="2:7">
      <c r="B661" s="165"/>
      <c r="C661" s="166"/>
      <c r="D661" s="378"/>
      <c r="E661" s="379"/>
      <c r="F661" s="379"/>
      <c r="G661" s="379"/>
    </row>
    <row r="662" spans="2:7">
      <c r="B662" s="165"/>
      <c r="C662" s="166"/>
      <c r="D662" s="378"/>
      <c r="E662" s="379"/>
      <c r="F662" s="379"/>
      <c r="G662" s="379"/>
    </row>
    <row r="663" spans="2:7">
      <c r="B663" s="165"/>
      <c r="C663" s="166"/>
      <c r="D663" s="378"/>
      <c r="E663" s="379"/>
      <c r="F663" s="379"/>
      <c r="G663" s="379"/>
    </row>
    <row r="664" spans="2:7">
      <c r="B664" s="165"/>
      <c r="C664" s="166"/>
      <c r="D664" s="378"/>
      <c r="E664" s="379"/>
      <c r="F664" s="379"/>
      <c r="G664" s="379"/>
    </row>
    <row r="665" spans="2:7">
      <c r="B665" s="165"/>
      <c r="C665" s="166"/>
      <c r="D665" s="378"/>
      <c r="E665" s="379"/>
      <c r="F665" s="379"/>
      <c r="G665" s="379"/>
    </row>
    <row r="666" spans="2:7">
      <c r="B666" s="165"/>
      <c r="C666" s="166"/>
      <c r="D666" s="378"/>
      <c r="E666" s="379"/>
      <c r="F666" s="379"/>
      <c r="G666" s="379"/>
    </row>
    <row r="667" spans="2:7">
      <c r="B667" s="165"/>
      <c r="C667" s="166"/>
      <c r="D667" s="378"/>
      <c r="E667" s="379"/>
      <c r="F667" s="379"/>
      <c r="G667" s="379"/>
    </row>
    <row r="668" spans="2:7">
      <c r="B668" s="165"/>
      <c r="C668" s="166"/>
      <c r="D668" s="378"/>
      <c r="E668" s="379"/>
      <c r="F668" s="379"/>
      <c r="G668" s="379"/>
    </row>
    <row r="669" spans="2:7">
      <c r="B669" s="165"/>
      <c r="C669" s="166"/>
      <c r="D669" s="378"/>
      <c r="E669" s="379"/>
      <c r="F669" s="379"/>
      <c r="G669" s="379"/>
    </row>
    <row r="670" spans="2:7">
      <c r="B670" s="165"/>
      <c r="C670" s="166"/>
      <c r="D670" s="378"/>
      <c r="E670" s="379"/>
      <c r="F670" s="379"/>
      <c r="G670" s="379"/>
    </row>
    <row r="671" spans="2:7">
      <c r="B671" s="165"/>
      <c r="C671" s="166"/>
      <c r="D671" s="378"/>
      <c r="E671" s="379"/>
      <c r="F671" s="379"/>
      <c r="G671" s="379"/>
    </row>
    <row r="672" spans="2:7">
      <c r="B672" s="165"/>
      <c r="C672" s="166"/>
      <c r="D672" s="378"/>
      <c r="E672" s="379"/>
      <c r="F672" s="379"/>
      <c r="G672" s="379"/>
    </row>
    <row r="673" spans="2:7">
      <c r="B673" s="165"/>
      <c r="C673" s="166"/>
      <c r="D673" s="378"/>
      <c r="E673" s="379"/>
      <c r="F673" s="379"/>
      <c r="G673" s="379"/>
    </row>
    <row r="674" spans="2:7">
      <c r="B674" s="165"/>
      <c r="C674" s="166"/>
      <c r="D674" s="378"/>
      <c r="E674" s="379"/>
      <c r="F674" s="379"/>
      <c r="G674" s="379"/>
    </row>
    <row r="675" spans="2:7">
      <c r="B675" s="165"/>
      <c r="C675" s="166"/>
      <c r="D675" s="378"/>
      <c r="E675" s="379"/>
      <c r="F675" s="379"/>
      <c r="G675" s="379"/>
    </row>
    <row r="676" spans="2:7">
      <c r="B676" s="165"/>
      <c r="C676" s="166"/>
      <c r="D676" s="378"/>
      <c r="E676" s="379"/>
      <c r="F676" s="379"/>
      <c r="G676" s="379"/>
    </row>
    <row r="677" spans="2:7">
      <c r="B677" s="165"/>
      <c r="C677" s="166"/>
      <c r="D677" s="378"/>
      <c r="E677" s="379"/>
      <c r="F677" s="379"/>
      <c r="G677" s="379"/>
    </row>
    <row r="678" spans="2:7">
      <c r="B678" s="165"/>
      <c r="C678" s="166"/>
      <c r="D678" s="378"/>
      <c r="E678" s="379"/>
      <c r="F678" s="379"/>
      <c r="G678" s="379"/>
    </row>
    <row r="679" spans="2:7">
      <c r="B679" s="165"/>
      <c r="C679" s="166"/>
      <c r="D679" s="378"/>
      <c r="E679" s="379"/>
      <c r="F679" s="379"/>
      <c r="G679" s="379"/>
    </row>
    <row r="680" spans="2:7">
      <c r="B680" s="165"/>
      <c r="C680" s="166"/>
      <c r="D680" s="378"/>
      <c r="E680" s="379"/>
      <c r="F680" s="379"/>
      <c r="G680" s="379"/>
    </row>
    <row r="681" spans="2:7">
      <c r="B681" s="165"/>
      <c r="C681" s="166"/>
      <c r="D681" s="378"/>
      <c r="E681" s="379"/>
      <c r="F681" s="379"/>
      <c r="G681" s="379"/>
    </row>
    <row r="682" spans="2:7">
      <c r="B682" s="165"/>
      <c r="C682" s="166"/>
      <c r="D682" s="378"/>
      <c r="E682" s="379"/>
      <c r="F682" s="379"/>
      <c r="G682" s="379"/>
    </row>
    <row r="683" spans="2:7">
      <c r="B683" s="165"/>
      <c r="C683" s="166"/>
      <c r="D683" s="378"/>
      <c r="E683" s="379"/>
      <c r="F683" s="379"/>
      <c r="G683" s="379"/>
    </row>
    <row r="684" spans="2:7">
      <c r="B684" s="165"/>
      <c r="C684" s="166"/>
      <c r="D684" s="378"/>
      <c r="E684" s="379"/>
      <c r="F684" s="379"/>
      <c r="G684" s="379"/>
    </row>
    <row r="685" spans="2:7">
      <c r="B685" s="165"/>
      <c r="C685" s="166"/>
      <c r="D685" s="378"/>
      <c r="E685" s="379"/>
      <c r="F685" s="379"/>
      <c r="G685" s="379"/>
    </row>
    <row r="686" spans="2:7">
      <c r="B686" s="165"/>
      <c r="C686" s="166"/>
      <c r="D686" s="378"/>
      <c r="E686" s="379"/>
      <c r="F686" s="379"/>
      <c r="G686" s="379"/>
    </row>
    <row r="687" spans="2:7">
      <c r="B687" s="165"/>
      <c r="C687" s="166"/>
      <c r="D687" s="378"/>
      <c r="E687" s="379"/>
      <c r="F687" s="379"/>
      <c r="G687" s="379"/>
    </row>
    <row r="688" spans="2:7">
      <c r="B688" s="165"/>
      <c r="C688" s="166"/>
      <c r="D688" s="378"/>
      <c r="E688" s="379"/>
      <c r="F688" s="379"/>
      <c r="G688" s="379"/>
    </row>
    <row r="689" spans="2:7">
      <c r="B689" s="165"/>
      <c r="C689" s="166"/>
      <c r="D689" s="378"/>
      <c r="E689" s="379"/>
      <c r="F689" s="379"/>
      <c r="G689" s="379"/>
    </row>
    <row r="690" spans="2:7">
      <c r="B690" s="165"/>
      <c r="C690" s="166"/>
      <c r="D690" s="378"/>
      <c r="E690" s="379"/>
      <c r="F690" s="379"/>
      <c r="G690" s="379"/>
    </row>
    <row r="691" spans="2:7">
      <c r="B691" s="165"/>
      <c r="C691" s="166"/>
      <c r="D691" s="378"/>
      <c r="E691" s="379"/>
      <c r="F691" s="379"/>
      <c r="G691" s="379"/>
    </row>
    <row r="692" spans="2:7">
      <c r="B692" s="165"/>
      <c r="C692" s="166"/>
      <c r="D692" s="378"/>
      <c r="E692" s="379"/>
      <c r="F692" s="379"/>
      <c r="G692" s="379"/>
    </row>
    <row r="693" spans="2:7">
      <c r="B693" s="165"/>
      <c r="C693" s="166"/>
      <c r="D693" s="378"/>
      <c r="E693" s="379"/>
      <c r="F693" s="379"/>
      <c r="G693" s="379"/>
    </row>
    <row r="694" spans="2:7">
      <c r="B694" s="165"/>
      <c r="C694" s="166"/>
      <c r="D694" s="378"/>
      <c r="E694" s="379"/>
      <c r="F694" s="379"/>
      <c r="G694" s="379"/>
    </row>
    <row r="695" spans="2:7">
      <c r="B695" s="165"/>
      <c r="C695" s="166"/>
      <c r="D695" s="378"/>
      <c r="E695" s="379"/>
      <c r="F695" s="379"/>
      <c r="G695" s="379"/>
    </row>
    <row r="696" spans="2:7">
      <c r="B696" s="165"/>
      <c r="C696" s="166"/>
      <c r="D696" s="378"/>
      <c r="E696" s="379"/>
      <c r="F696" s="379"/>
      <c r="G696" s="379"/>
    </row>
    <row r="697" spans="2:7">
      <c r="B697" s="165"/>
      <c r="C697" s="166"/>
      <c r="D697" s="378"/>
      <c r="E697" s="379"/>
      <c r="F697" s="379"/>
      <c r="G697" s="379"/>
    </row>
    <row r="698" spans="2:7">
      <c r="B698" s="165"/>
      <c r="C698" s="166"/>
      <c r="D698" s="378"/>
      <c r="E698" s="379"/>
      <c r="F698" s="379"/>
      <c r="G698" s="379"/>
    </row>
    <row r="699" spans="2:7">
      <c r="B699" s="165"/>
      <c r="C699" s="166"/>
      <c r="D699" s="378"/>
      <c r="E699" s="379"/>
      <c r="F699" s="379"/>
      <c r="G699" s="379"/>
    </row>
    <row r="700" spans="2:7">
      <c r="B700" s="165"/>
      <c r="C700" s="166"/>
      <c r="D700" s="378"/>
      <c r="E700" s="379"/>
      <c r="F700" s="379"/>
      <c r="G700" s="379"/>
    </row>
    <row r="701" spans="2:7">
      <c r="B701" s="165"/>
      <c r="C701" s="166"/>
      <c r="D701" s="378"/>
      <c r="E701" s="379"/>
      <c r="F701" s="379"/>
      <c r="G701" s="379"/>
    </row>
    <row r="702" spans="2:7">
      <c r="B702" s="165"/>
      <c r="C702" s="166"/>
      <c r="D702" s="378"/>
      <c r="E702" s="379"/>
      <c r="F702" s="379"/>
      <c r="G702" s="379"/>
    </row>
    <row r="703" spans="2:7">
      <c r="B703" s="165"/>
      <c r="C703" s="166"/>
      <c r="D703" s="378"/>
      <c r="E703" s="379"/>
      <c r="F703" s="379"/>
      <c r="G703" s="379"/>
    </row>
    <row r="704" spans="2:7">
      <c r="B704" s="165"/>
      <c r="C704" s="166"/>
      <c r="D704" s="378"/>
      <c r="E704" s="379"/>
      <c r="F704" s="379"/>
      <c r="G704" s="379"/>
    </row>
    <row r="705" spans="2:7">
      <c r="B705" s="165"/>
      <c r="C705" s="166"/>
      <c r="D705" s="378"/>
      <c r="E705" s="379"/>
      <c r="F705" s="379"/>
      <c r="G705" s="379"/>
    </row>
    <row r="706" spans="2:7">
      <c r="B706" s="165"/>
      <c r="C706" s="166"/>
      <c r="D706" s="378"/>
      <c r="E706" s="379"/>
      <c r="F706" s="379"/>
      <c r="G706" s="379"/>
    </row>
    <row r="707" spans="2:7">
      <c r="B707" s="165"/>
      <c r="C707" s="166"/>
      <c r="D707" s="378"/>
      <c r="E707" s="379"/>
      <c r="F707" s="379"/>
      <c r="G707" s="379"/>
    </row>
    <row r="708" spans="2:7">
      <c r="B708" s="165"/>
      <c r="C708" s="166"/>
      <c r="D708" s="378"/>
      <c r="E708" s="379"/>
      <c r="F708" s="379"/>
      <c r="G708" s="379"/>
    </row>
    <row r="709" spans="2:7">
      <c r="B709" s="165"/>
      <c r="C709" s="166"/>
      <c r="D709" s="378"/>
      <c r="E709" s="379"/>
      <c r="F709" s="379"/>
      <c r="G709" s="379"/>
    </row>
    <row r="710" spans="2:7">
      <c r="B710" s="165"/>
      <c r="C710" s="166"/>
      <c r="D710" s="378"/>
      <c r="E710" s="379"/>
      <c r="F710" s="379"/>
      <c r="G710" s="379"/>
    </row>
    <row r="711" spans="2:7">
      <c r="B711" s="165"/>
      <c r="C711" s="166"/>
      <c r="D711" s="378"/>
      <c r="E711" s="379"/>
      <c r="F711" s="379"/>
      <c r="G711" s="379"/>
    </row>
    <row r="712" spans="2:7">
      <c r="B712" s="165"/>
      <c r="C712" s="166"/>
      <c r="D712" s="378"/>
      <c r="E712" s="379"/>
      <c r="F712" s="379"/>
      <c r="G712" s="379"/>
    </row>
    <row r="713" spans="2:7">
      <c r="B713" s="165"/>
      <c r="C713" s="166"/>
      <c r="D713" s="378"/>
      <c r="E713" s="379"/>
      <c r="F713" s="379"/>
      <c r="G713" s="379"/>
    </row>
    <row r="714" spans="2:7">
      <c r="B714" s="165"/>
      <c r="C714" s="166"/>
      <c r="D714" s="378"/>
      <c r="E714" s="379"/>
      <c r="F714" s="379"/>
      <c r="G714" s="379"/>
    </row>
    <row r="715" spans="2:7">
      <c r="B715" s="165"/>
      <c r="C715" s="166"/>
      <c r="D715" s="378"/>
      <c r="E715" s="379"/>
      <c r="F715" s="379"/>
      <c r="G715" s="379"/>
    </row>
    <row r="716" spans="2:7">
      <c r="B716" s="165"/>
      <c r="C716" s="166"/>
      <c r="D716" s="378"/>
      <c r="E716" s="379"/>
      <c r="F716" s="379"/>
      <c r="G716" s="379"/>
    </row>
    <row r="717" spans="2:7">
      <c r="B717" s="165"/>
      <c r="C717" s="166"/>
      <c r="D717" s="378"/>
      <c r="E717" s="379"/>
      <c r="F717" s="379"/>
      <c r="G717" s="379"/>
    </row>
    <row r="718" spans="2:7">
      <c r="B718" s="165"/>
      <c r="C718" s="166"/>
      <c r="D718" s="378"/>
      <c r="E718" s="379"/>
      <c r="F718" s="379"/>
      <c r="G718" s="379"/>
    </row>
    <row r="719" spans="2:7">
      <c r="B719" s="165"/>
      <c r="C719" s="166"/>
      <c r="D719" s="378"/>
      <c r="E719" s="379"/>
      <c r="F719" s="379"/>
      <c r="G719" s="379"/>
    </row>
    <row r="720" spans="2:7">
      <c r="B720" s="165"/>
      <c r="C720" s="166"/>
      <c r="D720" s="378"/>
      <c r="E720" s="379"/>
      <c r="F720" s="379"/>
      <c r="G720" s="379"/>
    </row>
    <row r="721" spans="2:7">
      <c r="B721" s="165"/>
      <c r="C721" s="166"/>
      <c r="D721" s="378"/>
      <c r="E721" s="379"/>
      <c r="F721" s="379"/>
      <c r="G721" s="379"/>
    </row>
    <row r="722" spans="2:7">
      <c r="B722" s="165"/>
      <c r="C722" s="166"/>
      <c r="D722" s="378"/>
      <c r="E722" s="379"/>
      <c r="F722" s="379"/>
      <c r="G722" s="379"/>
    </row>
    <row r="723" spans="2:7">
      <c r="B723" s="165"/>
      <c r="C723" s="166"/>
      <c r="D723" s="378"/>
      <c r="E723" s="379"/>
      <c r="F723" s="379"/>
      <c r="G723" s="379"/>
    </row>
    <row r="724" spans="2:7">
      <c r="B724" s="165"/>
      <c r="C724" s="166"/>
      <c r="D724" s="378"/>
      <c r="E724" s="379"/>
      <c r="F724" s="379"/>
      <c r="G724" s="379"/>
    </row>
    <row r="725" spans="2:7">
      <c r="B725" s="165"/>
      <c r="C725" s="166"/>
      <c r="D725" s="378"/>
      <c r="E725" s="379"/>
      <c r="F725" s="379"/>
      <c r="G725" s="379"/>
    </row>
    <row r="726" spans="2:7">
      <c r="B726" s="165"/>
      <c r="C726" s="166"/>
      <c r="D726" s="378"/>
      <c r="E726" s="379"/>
      <c r="F726" s="379"/>
      <c r="G726" s="379"/>
    </row>
    <row r="727" spans="2:7">
      <c r="B727" s="165"/>
      <c r="C727" s="166"/>
      <c r="D727" s="378"/>
      <c r="E727" s="379"/>
      <c r="F727" s="379"/>
      <c r="G727" s="379"/>
    </row>
    <row r="728" spans="2:7">
      <c r="B728" s="165"/>
      <c r="C728" s="166"/>
      <c r="D728" s="378"/>
      <c r="E728" s="379"/>
      <c r="F728" s="379"/>
      <c r="G728" s="379"/>
    </row>
    <row r="729" spans="2:7">
      <c r="B729" s="165"/>
      <c r="C729" s="166"/>
      <c r="D729" s="378"/>
      <c r="E729" s="379"/>
      <c r="F729" s="379"/>
      <c r="G729" s="379"/>
    </row>
    <row r="730" spans="2:7">
      <c r="B730" s="165"/>
      <c r="C730" s="166"/>
      <c r="D730" s="378"/>
      <c r="E730" s="379"/>
      <c r="F730" s="379"/>
      <c r="G730" s="379"/>
    </row>
    <row r="731" spans="2:7">
      <c r="B731" s="165"/>
      <c r="C731" s="166"/>
      <c r="D731" s="378"/>
      <c r="E731" s="379"/>
      <c r="F731" s="379"/>
      <c r="G731" s="379"/>
    </row>
    <row r="732" spans="2:7">
      <c r="B732" s="165"/>
      <c r="C732" s="166"/>
      <c r="D732" s="378"/>
      <c r="E732" s="379"/>
      <c r="F732" s="379"/>
      <c r="G732" s="379"/>
    </row>
    <row r="733" spans="2:7">
      <c r="B733" s="165"/>
      <c r="C733" s="166"/>
      <c r="D733" s="378"/>
      <c r="E733" s="379"/>
      <c r="F733" s="379"/>
      <c r="G733" s="379"/>
    </row>
    <row r="734" spans="2:7">
      <c r="B734" s="165"/>
      <c r="C734" s="166"/>
      <c r="D734" s="378"/>
      <c r="E734" s="379"/>
      <c r="F734" s="379"/>
      <c r="G734" s="379"/>
    </row>
    <row r="735" spans="2:7">
      <c r="B735" s="165"/>
      <c r="C735" s="166"/>
      <c r="D735" s="378"/>
      <c r="E735" s="379"/>
      <c r="F735" s="379"/>
      <c r="G735" s="379"/>
    </row>
    <row r="736" spans="2:7">
      <c r="B736" s="165"/>
      <c r="C736" s="166"/>
      <c r="D736" s="378"/>
      <c r="E736" s="379"/>
      <c r="F736" s="379"/>
      <c r="G736" s="379"/>
    </row>
    <row r="737" spans="2:7">
      <c r="B737" s="165"/>
      <c r="C737" s="166"/>
      <c r="D737" s="378"/>
      <c r="E737" s="379"/>
      <c r="F737" s="379"/>
      <c r="G737" s="379"/>
    </row>
    <row r="738" spans="2:7">
      <c r="B738" s="165"/>
      <c r="C738" s="166"/>
      <c r="D738" s="378"/>
      <c r="E738" s="379"/>
      <c r="F738" s="379"/>
      <c r="G738" s="379"/>
    </row>
    <row r="739" spans="2:7">
      <c r="B739" s="165"/>
      <c r="C739" s="166"/>
      <c r="D739" s="378"/>
      <c r="E739" s="379"/>
      <c r="F739" s="379"/>
      <c r="G739" s="379"/>
    </row>
    <row r="740" spans="2:7">
      <c r="B740" s="165"/>
      <c r="C740" s="166"/>
      <c r="D740" s="378"/>
      <c r="E740" s="379"/>
      <c r="F740" s="379"/>
      <c r="G740" s="379"/>
    </row>
    <row r="741" spans="2:7">
      <c r="B741" s="165"/>
      <c r="C741" s="166"/>
      <c r="D741" s="378"/>
      <c r="E741" s="379"/>
      <c r="F741" s="379"/>
      <c r="G741" s="379"/>
    </row>
    <row r="742" spans="2:7">
      <c r="B742" s="165"/>
      <c r="C742" s="166"/>
      <c r="D742" s="378"/>
      <c r="E742" s="379"/>
      <c r="F742" s="379"/>
      <c r="G742" s="379"/>
    </row>
    <row r="743" spans="2:7">
      <c r="B743" s="165"/>
      <c r="C743" s="166"/>
      <c r="D743" s="378"/>
      <c r="E743" s="379"/>
      <c r="F743" s="379"/>
      <c r="G743" s="379"/>
    </row>
    <row r="744" spans="2:7">
      <c r="B744" s="165"/>
      <c r="C744" s="166"/>
      <c r="D744" s="378"/>
      <c r="E744" s="379"/>
      <c r="F744" s="379"/>
      <c r="G744" s="379"/>
    </row>
    <row r="745" spans="2:7">
      <c r="B745" s="165"/>
      <c r="C745" s="166"/>
      <c r="D745" s="378"/>
      <c r="E745" s="379"/>
      <c r="F745" s="379"/>
      <c r="G745" s="379"/>
    </row>
    <row r="746" spans="2:7">
      <c r="B746" s="165"/>
      <c r="C746" s="166"/>
      <c r="D746" s="378"/>
      <c r="E746" s="379"/>
      <c r="F746" s="379"/>
      <c r="G746" s="379"/>
    </row>
    <row r="747" spans="2:7">
      <c r="B747" s="165"/>
      <c r="C747" s="166"/>
      <c r="D747" s="378"/>
      <c r="E747" s="379"/>
      <c r="F747" s="379"/>
      <c r="G747" s="379"/>
    </row>
    <row r="748" spans="2:7">
      <c r="B748" s="165"/>
      <c r="C748" s="166"/>
      <c r="D748" s="378"/>
      <c r="E748" s="379"/>
      <c r="F748" s="379"/>
      <c r="G748" s="379"/>
    </row>
    <row r="749" spans="2:7">
      <c r="B749" s="165"/>
      <c r="C749" s="166"/>
      <c r="D749" s="378"/>
      <c r="E749" s="379"/>
      <c r="F749" s="379"/>
      <c r="G749" s="379"/>
    </row>
    <row r="750" spans="2:7">
      <c r="B750" s="165"/>
      <c r="C750" s="166"/>
      <c r="D750" s="378"/>
      <c r="E750" s="379"/>
      <c r="F750" s="379"/>
      <c r="G750" s="379"/>
    </row>
    <row r="751" spans="2:7">
      <c r="B751" s="165"/>
      <c r="C751" s="166"/>
      <c r="D751" s="378"/>
      <c r="E751" s="379"/>
      <c r="F751" s="379"/>
      <c r="G751" s="379"/>
    </row>
    <row r="752" spans="2:7">
      <c r="B752" s="165"/>
      <c r="C752" s="166"/>
      <c r="D752" s="378"/>
      <c r="E752" s="379"/>
      <c r="F752" s="379"/>
      <c r="G752" s="379"/>
    </row>
    <row r="753" spans="2:7">
      <c r="B753" s="165"/>
      <c r="C753" s="166"/>
      <c r="D753" s="378"/>
      <c r="E753" s="379"/>
      <c r="F753" s="379"/>
      <c r="G753" s="379"/>
    </row>
    <row r="754" spans="2:7">
      <c r="B754" s="165"/>
      <c r="C754" s="166"/>
      <c r="D754" s="378"/>
      <c r="E754" s="379"/>
      <c r="F754" s="379"/>
      <c r="G754" s="379"/>
    </row>
    <row r="755" spans="2:7">
      <c r="B755" s="165"/>
      <c r="C755" s="166"/>
      <c r="D755" s="378"/>
      <c r="E755" s="379"/>
      <c r="F755" s="379"/>
      <c r="G755" s="379"/>
    </row>
    <row r="756" spans="2:7">
      <c r="B756" s="165"/>
      <c r="C756" s="166"/>
      <c r="D756" s="378"/>
      <c r="E756" s="379"/>
      <c r="F756" s="379"/>
      <c r="G756" s="379"/>
    </row>
    <row r="757" spans="2:7">
      <c r="B757" s="165"/>
      <c r="C757" s="166"/>
      <c r="D757" s="378"/>
      <c r="E757" s="379"/>
      <c r="F757" s="379"/>
      <c r="G757" s="379"/>
    </row>
    <row r="758" spans="2:7">
      <c r="B758" s="165"/>
      <c r="C758" s="166"/>
      <c r="D758" s="378"/>
      <c r="E758" s="379"/>
      <c r="F758" s="379"/>
      <c r="G758" s="379"/>
    </row>
    <row r="759" spans="2:7">
      <c r="B759" s="165"/>
      <c r="C759" s="166"/>
      <c r="D759" s="378"/>
      <c r="E759" s="379"/>
      <c r="F759" s="379"/>
      <c r="G759" s="379"/>
    </row>
    <row r="760" spans="2:7">
      <c r="B760" s="165"/>
      <c r="C760" s="166"/>
      <c r="D760" s="378"/>
      <c r="E760" s="379"/>
      <c r="F760" s="379"/>
      <c r="G760" s="379"/>
    </row>
    <row r="761" spans="2:7">
      <c r="B761" s="165"/>
      <c r="C761" s="166"/>
      <c r="D761" s="378"/>
      <c r="E761" s="379"/>
      <c r="F761" s="379"/>
      <c r="G761" s="379"/>
    </row>
    <row r="762" spans="2:7">
      <c r="B762" s="165"/>
      <c r="C762" s="166"/>
      <c r="D762" s="378"/>
      <c r="E762" s="379"/>
      <c r="F762" s="379"/>
      <c r="G762" s="379"/>
    </row>
    <row r="763" spans="2:7">
      <c r="B763" s="165"/>
      <c r="C763" s="166"/>
      <c r="D763" s="378"/>
      <c r="E763" s="379"/>
      <c r="F763" s="379"/>
      <c r="G763" s="379"/>
    </row>
    <row r="764" spans="2:7">
      <c r="B764" s="165"/>
      <c r="C764" s="166"/>
      <c r="D764" s="378"/>
      <c r="E764" s="379"/>
      <c r="F764" s="379"/>
      <c r="G764" s="379"/>
    </row>
    <row r="765" spans="2:7">
      <c r="B765" s="165"/>
      <c r="C765" s="166"/>
      <c r="D765" s="378"/>
      <c r="E765" s="379"/>
      <c r="F765" s="379"/>
      <c r="G765" s="379"/>
    </row>
    <row r="766" spans="2:7">
      <c r="B766" s="165"/>
      <c r="C766" s="166"/>
      <c r="D766" s="378"/>
      <c r="E766" s="379"/>
      <c r="F766" s="379"/>
      <c r="G766" s="379"/>
    </row>
    <row r="767" spans="2:7">
      <c r="B767" s="165"/>
      <c r="C767" s="166"/>
      <c r="D767" s="378"/>
      <c r="E767" s="379"/>
      <c r="F767" s="379"/>
      <c r="G767" s="379"/>
    </row>
    <row r="768" spans="2:7">
      <c r="B768" s="165"/>
      <c r="C768" s="166"/>
      <c r="D768" s="378"/>
      <c r="E768" s="379"/>
      <c r="F768" s="379"/>
      <c r="G768" s="379"/>
    </row>
    <row r="769" spans="2:7">
      <c r="B769" s="165"/>
      <c r="C769" s="166"/>
      <c r="D769" s="378"/>
      <c r="E769" s="379"/>
      <c r="F769" s="379"/>
      <c r="G769" s="379"/>
    </row>
    <row r="770" spans="2:7">
      <c r="B770" s="165"/>
      <c r="C770" s="166"/>
      <c r="D770" s="378"/>
      <c r="E770" s="379"/>
      <c r="F770" s="379"/>
      <c r="G770" s="379"/>
    </row>
    <row r="771" spans="2:7">
      <c r="B771" s="165"/>
      <c r="C771" s="166"/>
      <c r="D771" s="378"/>
      <c r="E771" s="379"/>
      <c r="F771" s="379"/>
      <c r="G771" s="379"/>
    </row>
    <row r="772" spans="2:7">
      <c r="B772" s="165"/>
      <c r="C772" s="166"/>
      <c r="D772" s="378"/>
      <c r="E772" s="379"/>
      <c r="F772" s="379"/>
      <c r="G772" s="379"/>
    </row>
    <row r="773" spans="2:7">
      <c r="B773" s="165"/>
      <c r="C773" s="166"/>
      <c r="D773" s="378"/>
      <c r="E773" s="379"/>
      <c r="F773" s="379"/>
      <c r="G773" s="379"/>
    </row>
    <row r="774" spans="2:7">
      <c r="B774" s="165"/>
      <c r="C774" s="166"/>
      <c r="D774" s="378"/>
      <c r="E774" s="379"/>
      <c r="F774" s="379"/>
      <c r="G774" s="379"/>
    </row>
    <row r="775" spans="2:7">
      <c r="B775" s="165"/>
      <c r="C775" s="166"/>
      <c r="D775" s="378"/>
      <c r="E775" s="379"/>
      <c r="F775" s="379"/>
      <c r="G775" s="379"/>
    </row>
    <row r="776" spans="2:7">
      <c r="B776" s="165"/>
      <c r="C776" s="166"/>
      <c r="D776" s="378"/>
      <c r="E776" s="379"/>
      <c r="F776" s="379"/>
      <c r="G776" s="379"/>
    </row>
    <row r="777" spans="2:7">
      <c r="B777" s="165"/>
      <c r="C777" s="166"/>
      <c r="D777" s="378"/>
      <c r="E777" s="379"/>
      <c r="F777" s="379"/>
      <c r="G777" s="379"/>
    </row>
    <row r="778" spans="2:7">
      <c r="B778" s="165"/>
      <c r="C778" s="166"/>
      <c r="D778" s="378"/>
      <c r="E778" s="379"/>
      <c r="F778" s="379"/>
      <c r="G778" s="379"/>
    </row>
    <row r="779" spans="2:7">
      <c r="B779" s="165"/>
      <c r="C779" s="166"/>
      <c r="D779" s="378"/>
      <c r="E779" s="379"/>
      <c r="F779" s="379"/>
      <c r="G779" s="379"/>
    </row>
    <row r="780" spans="2:7">
      <c r="B780" s="165"/>
      <c r="C780" s="166"/>
      <c r="D780" s="378"/>
      <c r="E780" s="379"/>
      <c r="F780" s="379"/>
      <c r="G780" s="379"/>
    </row>
    <row r="781" spans="2:7">
      <c r="B781" s="165"/>
      <c r="C781" s="166"/>
      <c r="D781" s="378"/>
      <c r="E781" s="379"/>
      <c r="F781" s="379"/>
      <c r="G781" s="379"/>
    </row>
    <row r="782" spans="2:7">
      <c r="B782" s="165"/>
      <c r="C782" s="166"/>
      <c r="D782" s="378"/>
      <c r="E782" s="379"/>
      <c r="F782" s="379"/>
      <c r="G782" s="379"/>
    </row>
    <row r="783" spans="2:7">
      <c r="B783" s="165"/>
      <c r="C783" s="166"/>
      <c r="D783" s="378"/>
      <c r="E783" s="379"/>
      <c r="F783" s="379"/>
      <c r="G783" s="379"/>
    </row>
    <row r="784" spans="2:7">
      <c r="B784" s="165"/>
      <c r="C784" s="166"/>
      <c r="D784" s="378"/>
      <c r="E784" s="379"/>
      <c r="F784" s="379"/>
      <c r="G784" s="379"/>
    </row>
    <row r="785" spans="2:7">
      <c r="B785" s="165"/>
      <c r="C785" s="166"/>
      <c r="D785" s="378"/>
      <c r="E785" s="379"/>
      <c r="F785" s="379"/>
      <c r="G785" s="379"/>
    </row>
    <row r="786" spans="2:7">
      <c r="B786" s="165"/>
      <c r="C786" s="166"/>
      <c r="D786" s="378"/>
      <c r="E786" s="379"/>
      <c r="F786" s="379"/>
      <c r="G786" s="379"/>
    </row>
    <row r="787" spans="2:7">
      <c r="B787" s="165"/>
      <c r="C787" s="166"/>
      <c r="D787" s="378"/>
      <c r="E787" s="379"/>
      <c r="F787" s="379"/>
      <c r="G787" s="379"/>
    </row>
    <row r="788" spans="2:7">
      <c r="B788" s="165"/>
      <c r="C788" s="166"/>
      <c r="D788" s="378"/>
      <c r="E788" s="379"/>
      <c r="F788" s="379"/>
      <c r="G788" s="379"/>
    </row>
    <row r="789" spans="2:7">
      <c r="B789" s="165"/>
      <c r="C789" s="166"/>
      <c r="D789" s="378"/>
      <c r="E789" s="379"/>
      <c r="F789" s="379"/>
      <c r="G789" s="379"/>
    </row>
    <row r="790" spans="2:7">
      <c r="B790" s="165"/>
      <c r="C790" s="166"/>
      <c r="D790" s="378"/>
      <c r="E790" s="379"/>
      <c r="F790" s="379"/>
      <c r="G790" s="379"/>
    </row>
    <row r="791" spans="2:7">
      <c r="B791" s="165"/>
      <c r="C791" s="166"/>
      <c r="D791" s="378"/>
      <c r="E791" s="379"/>
      <c r="F791" s="379"/>
      <c r="G791" s="379"/>
    </row>
    <row r="792" spans="2:7">
      <c r="B792" s="165"/>
      <c r="C792" s="166"/>
      <c r="D792" s="378"/>
      <c r="E792" s="379"/>
      <c r="F792" s="379"/>
      <c r="G792" s="379"/>
    </row>
    <row r="793" spans="2:7">
      <c r="B793" s="165"/>
      <c r="C793" s="166"/>
      <c r="D793" s="378"/>
      <c r="E793" s="379"/>
      <c r="F793" s="379"/>
      <c r="G793" s="379"/>
    </row>
    <row r="794" spans="2:7">
      <c r="B794" s="165"/>
      <c r="C794" s="166"/>
      <c r="D794" s="378"/>
      <c r="E794" s="379"/>
      <c r="F794" s="379"/>
      <c r="G794" s="379"/>
    </row>
    <row r="795" spans="2:7">
      <c r="B795" s="165"/>
      <c r="C795" s="166"/>
      <c r="D795" s="378"/>
      <c r="E795" s="379"/>
      <c r="F795" s="379"/>
      <c r="G795" s="379"/>
    </row>
    <row r="796" spans="2:7">
      <c r="B796" s="165"/>
      <c r="C796" s="166"/>
      <c r="D796" s="378"/>
      <c r="E796" s="379"/>
      <c r="F796" s="379"/>
      <c r="G796" s="379"/>
    </row>
    <row r="797" spans="2:7">
      <c r="B797" s="165"/>
      <c r="C797" s="166"/>
      <c r="D797" s="378"/>
      <c r="E797" s="379"/>
      <c r="F797" s="379"/>
      <c r="G797" s="379"/>
    </row>
    <row r="798" spans="2:7">
      <c r="B798" s="165"/>
      <c r="C798" s="166"/>
      <c r="D798" s="378"/>
      <c r="E798" s="379"/>
      <c r="F798" s="379"/>
      <c r="G798" s="379"/>
    </row>
    <row r="799" spans="2:7">
      <c r="B799" s="165"/>
      <c r="C799" s="166"/>
      <c r="D799" s="378"/>
      <c r="E799" s="379"/>
      <c r="F799" s="379"/>
      <c r="G799" s="379"/>
    </row>
    <row r="800" spans="2:7">
      <c r="B800" s="165"/>
      <c r="C800" s="166"/>
      <c r="D800" s="378"/>
      <c r="E800" s="379"/>
      <c r="F800" s="379"/>
      <c r="G800" s="379"/>
    </row>
    <row r="801" spans="2:7">
      <c r="B801" s="165"/>
      <c r="C801" s="166"/>
      <c r="D801" s="378"/>
      <c r="E801" s="379"/>
      <c r="F801" s="379"/>
      <c r="G801" s="379"/>
    </row>
    <row r="802" spans="2:7">
      <c r="B802" s="165"/>
      <c r="C802" s="166"/>
      <c r="D802" s="378"/>
      <c r="E802" s="379"/>
      <c r="F802" s="379"/>
      <c r="G802" s="379"/>
    </row>
    <row r="803" spans="2:7">
      <c r="B803" s="165"/>
      <c r="C803" s="166"/>
      <c r="D803" s="378"/>
      <c r="E803" s="379"/>
      <c r="F803" s="379"/>
      <c r="G803" s="379"/>
    </row>
    <row r="804" spans="2:7">
      <c r="B804" s="165"/>
      <c r="C804" s="166"/>
      <c r="D804" s="378"/>
      <c r="E804" s="379"/>
      <c r="F804" s="379"/>
      <c r="G804" s="379"/>
    </row>
    <row r="805" spans="2:7">
      <c r="B805" s="165"/>
      <c r="C805" s="166"/>
      <c r="D805" s="378"/>
      <c r="E805" s="379"/>
      <c r="F805" s="379"/>
      <c r="G805" s="379"/>
    </row>
    <row r="806" spans="2:7">
      <c r="B806" s="165"/>
      <c r="C806" s="166"/>
      <c r="D806" s="378"/>
      <c r="E806" s="379"/>
      <c r="F806" s="379"/>
      <c r="G806" s="379"/>
    </row>
    <row r="807" spans="2:7">
      <c r="B807" s="165"/>
      <c r="C807" s="166"/>
      <c r="D807" s="378"/>
      <c r="E807" s="379"/>
      <c r="F807" s="379"/>
      <c r="G807" s="379"/>
    </row>
    <row r="808" spans="2:7">
      <c r="B808" s="165"/>
      <c r="C808" s="166"/>
      <c r="D808" s="378"/>
      <c r="E808" s="379"/>
      <c r="F808" s="379"/>
      <c r="G808" s="379"/>
    </row>
    <row r="809" spans="2:7">
      <c r="B809" s="165"/>
      <c r="C809" s="166"/>
      <c r="D809" s="378"/>
      <c r="E809" s="379"/>
      <c r="F809" s="379"/>
      <c r="G809" s="379"/>
    </row>
    <row r="810" spans="2:7">
      <c r="B810" s="165"/>
      <c r="C810" s="166"/>
      <c r="D810" s="378"/>
      <c r="E810" s="379"/>
      <c r="F810" s="379"/>
      <c r="G810" s="379"/>
    </row>
    <row r="811" spans="2:7">
      <c r="B811" s="165"/>
      <c r="C811" s="166"/>
      <c r="D811" s="378"/>
      <c r="E811" s="379"/>
      <c r="F811" s="379"/>
      <c r="G811" s="379"/>
    </row>
    <row r="812" spans="2:7">
      <c r="B812" s="165"/>
      <c r="C812" s="166"/>
      <c r="D812" s="378"/>
      <c r="E812" s="379"/>
      <c r="F812" s="379"/>
      <c r="G812" s="379"/>
    </row>
    <row r="813" spans="2:7">
      <c r="B813" s="165"/>
      <c r="C813" s="166"/>
      <c r="D813" s="378"/>
      <c r="E813" s="379"/>
      <c r="F813" s="379"/>
      <c r="G813" s="379"/>
    </row>
    <row r="814" spans="2:7">
      <c r="B814" s="165"/>
      <c r="C814" s="166"/>
      <c r="D814" s="378"/>
      <c r="E814" s="379"/>
      <c r="F814" s="379"/>
      <c r="G814" s="379"/>
    </row>
    <row r="815" spans="2:7">
      <c r="B815" s="165"/>
      <c r="C815" s="166"/>
      <c r="D815" s="378"/>
      <c r="E815" s="379"/>
      <c r="F815" s="379"/>
      <c r="G815" s="379"/>
    </row>
    <row r="816" spans="2:7">
      <c r="B816" s="165"/>
      <c r="C816" s="166"/>
      <c r="D816" s="378"/>
      <c r="E816" s="379"/>
      <c r="F816" s="379"/>
      <c r="G816" s="379"/>
    </row>
    <row r="817" spans="2:7">
      <c r="B817" s="165"/>
      <c r="C817" s="166"/>
      <c r="D817" s="378"/>
      <c r="E817" s="379"/>
      <c r="F817" s="379"/>
      <c r="G817" s="379"/>
    </row>
    <row r="818" spans="2:7">
      <c r="B818" s="165"/>
      <c r="C818" s="166"/>
      <c r="D818" s="378"/>
      <c r="E818" s="379"/>
      <c r="F818" s="379"/>
      <c r="G818" s="379"/>
    </row>
    <row r="819" spans="2:7">
      <c r="B819" s="165"/>
      <c r="C819" s="166"/>
      <c r="D819" s="378"/>
      <c r="E819" s="379"/>
      <c r="F819" s="379"/>
      <c r="G819" s="379"/>
    </row>
    <row r="820" spans="2:7">
      <c r="B820" s="165"/>
      <c r="C820" s="166"/>
      <c r="D820" s="378"/>
      <c r="E820" s="379"/>
      <c r="F820" s="379"/>
      <c r="G820" s="379"/>
    </row>
    <row r="821" spans="2:7">
      <c r="B821" s="165"/>
      <c r="C821" s="166"/>
      <c r="D821" s="378"/>
      <c r="E821" s="379"/>
      <c r="F821" s="379"/>
      <c r="G821" s="379"/>
    </row>
    <row r="822" spans="2:7">
      <c r="B822" s="165"/>
      <c r="C822" s="166"/>
      <c r="D822" s="378"/>
      <c r="E822" s="379"/>
      <c r="F822" s="379"/>
      <c r="G822" s="379"/>
    </row>
    <row r="823" spans="2:7">
      <c r="B823" s="165"/>
      <c r="C823" s="166"/>
      <c r="D823" s="378"/>
      <c r="E823" s="379"/>
      <c r="F823" s="379"/>
      <c r="G823" s="379"/>
    </row>
    <row r="824" spans="2:7">
      <c r="B824" s="165"/>
      <c r="C824" s="166"/>
      <c r="D824" s="378"/>
      <c r="E824" s="379"/>
      <c r="F824" s="379"/>
      <c r="G824" s="379"/>
    </row>
    <row r="825" spans="2:7">
      <c r="B825" s="165"/>
      <c r="C825" s="166"/>
      <c r="D825" s="378"/>
      <c r="E825" s="379"/>
      <c r="F825" s="379"/>
      <c r="G825" s="379"/>
    </row>
    <row r="826" spans="2:7">
      <c r="B826" s="165"/>
      <c r="C826" s="166"/>
      <c r="D826" s="378"/>
      <c r="E826" s="379"/>
      <c r="F826" s="379"/>
      <c r="G826" s="379"/>
    </row>
    <row r="827" spans="2:7">
      <c r="B827" s="165"/>
      <c r="C827" s="166"/>
      <c r="D827" s="378"/>
      <c r="E827" s="379"/>
      <c r="F827" s="379"/>
      <c r="G827" s="379"/>
    </row>
    <row r="828" spans="2:7">
      <c r="B828" s="165"/>
      <c r="C828" s="166"/>
      <c r="D828" s="378"/>
      <c r="E828" s="379"/>
      <c r="F828" s="379"/>
      <c r="G828" s="379"/>
    </row>
    <row r="829" spans="2:7">
      <c r="B829" s="165"/>
      <c r="C829" s="166"/>
      <c r="D829" s="378"/>
      <c r="E829" s="379"/>
      <c r="F829" s="379"/>
      <c r="G829" s="379"/>
    </row>
    <row r="830" spans="2:7">
      <c r="B830" s="165"/>
      <c r="C830" s="166"/>
      <c r="D830" s="378"/>
      <c r="E830" s="379"/>
      <c r="F830" s="379"/>
      <c r="G830" s="379"/>
    </row>
    <row r="831" spans="2:7">
      <c r="B831" s="165"/>
      <c r="C831" s="166"/>
      <c r="D831" s="378"/>
      <c r="E831" s="379"/>
      <c r="F831" s="379"/>
      <c r="G831" s="379"/>
    </row>
    <row r="832" spans="2:7">
      <c r="B832" s="165"/>
      <c r="C832" s="166"/>
      <c r="D832" s="378"/>
      <c r="E832" s="379"/>
      <c r="F832" s="379"/>
      <c r="G832" s="379"/>
    </row>
    <row r="833" spans="2:7">
      <c r="B833" s="165"/>
      <c r="C833" s="166"/>
      <c r="D833" s="378"/>
      <c r="E833" s="379"/>
      <c r="F833" s="379"/>
      <c r="G833" s="379"/>
    </row>
    <row r="834" spans="2:7">
      <c r="B834" s="165"/>
      <c r="C834" s="166"/>
      <c r="D834" s="378"/>
      <c r="E834" s="379"/>
      <c r="F834" s="379"/>
      <c r="G834" s="379"/>
    </row>
    <row r="835" spans="2:7">
      <c r="B835" s="165"/>
      <c r="C835" s="166"/>
      <c r="D835" s="378"/>
      <c r="E835" s="379"/>
      <c r="F835" s="379"/>
      <c r="G835" s="379"/>
    </row>
    <row r="836" spans="2:7">
      <c r="B836" s="165"/>
      <c r="C836" s="166"/>
      <c r="D836" s="378"/>
      <c r="E836" s="379"/>
      <c r="F836" s="379"/>
      <c r="G836" s="379"/>
    </row>
    <row r="837" spans="2:7">
      <c r="B837" s="165"/>
      <c r="C837" s="166"/>
      <c r="D837" s="378"/>
      <c r="E837" s="379"/>
      <c r="F837" s="379"/>
      <c r="G837" s="379"/>
    </row>
    <row r="838" spans="2:7">
      <c r="B838" s="165"/>
      <c r="C838" s="166"/>
      <c r="D838" s="378"/>
      <c r="E838" s="379"/>
      <c r="F838" s="379"/>
      <c r="G838" s="379"/>
    </row>
    <row r="839" spans="2:7">
      <c r="B839" s="165"/>
      <c r="C839" s="166"/>
      <c r="D839" s="378"/>
      <c r="E839" s="379"/>
      <c r="F839" s="379"/>
      <c r="G839" s="379"/>
    </row>
    <row r="840" spans="2:7">
      <c r="B840" s="165"/>
      <c r="C840" s="166"/>
      <c r="D840" s="378"/>
      <c r="E840" s="379"/>
      <c r="F840" s="379"/>
      <c r="G840" s="379"/>
    </row>
    <row r="841" spans="2:7">
      <c r="B841" s="165"/>
      <c r="C841" s="166"/>
      <c r="D841" s="378"/>
      <c r="E841" s="379"/>
      <c r="F841" s="379"/>
      <c r="G841" s="379"/>
    </row>
    <row r="842" spans="2:7">
      <c r="B842" s="165"/>
      <c r="C842" s="166"/>
      <c r="D842" s="378"/>
      <c r="E842" s="379"/>
      <c r="F842" s="379"/>
      <c r="G842" s="379"/>
    </row>
    <row r="843" spans="2:7">
      <c r="B843" s="165"/>
      <c r="C843" s="166"/>
      <c r="D843" s="378"/>
      <c r="E843" s="379"/>
      <c r="F843" s="379"/>
      <c r="G843" s="379"/>
    </row>
    <row r="844" spans="2:7">
      <c r="B844" s="165"/>
      <c r="C844" s="166"/>
      <c r="D844" s="378"/>
      <c r="E844" s="379"/>
      <c r="F844" s="379"/>
      <c r="G844" s="379"/>
    </row>
    <row r="845" spans="2:7">
      <c r="B845" s="165"/>
      <c r="C845" s="166"/>
      <c r="D845" s="378"/>
      <c r="E845" s="379"/>
      <c r="F845" s="379"/>
      <c r="G845" s="379"/>
    </row>
    <row r="846" spans="2:7">
      <c r="B846" s="165"/>
      <c r="C846" s="166"/>
      <c r="D846" s="378"/>
      <c r="E846" s="379"/>
      <c r="F846" s="379"/>
      <c r="G846" s="379"/>
    </row>
    <row r="847" spans="2:7">
      <c r="B847" s="165"/>
      <c r="C847" s="166"/>
      <c r="D847" s="378"/>
      <c r="E847" s="379"/>
      <c r="F847" s="379"/>
      <c r="G847" s="379"/>
    </row>
    <row r="848" spans="2:7">
      <c r="B848" s="165"/>
      <c r="C848" s="166"/>
      <c r="D848" s="378"/>
      <c r="E848" s="379"/>
      <c r="F848" s="379"/>
      <c r="G848" s="379"/>
    </row>
    <row r="849" spans="2:7">
      <c r="B849" s="165"/>
      <c r="C849" s="166"/>
      <c r="D849" s="378"/>
      <c r="E849" s="379"/>
      <c r="F849" s="379"/>
      <c r="G849" s="379"/>
    </row>
    <row r="850" spans="2:7">
      <c r="B850" s="165"/>
      <c r="C850" s="166"/>
      <c r="D850" s="378"/>
      <c r="E850" s="379"/>
      <c r="F850" s="379"/>
      <c r="G850" s="379"/>
    </row>
    <row r="851" spans="2:7">
      <c r="B851" s="165"/>
      <c r="C851" s="166"/>
      <c r="D851" s="378"/>
      <c r="E851" s="379"/>
      <c r="F851" s="379"/>
      <c r="G851" s="379"/>
    </row>
    <row r="852" spans="2:7">
      <c r="B852" s="165"/>
      <c r="C852" s="166"/>
      <c r="D852" s="378"/>
      <c r="E852" s="379"/>
      <c r="F852" s="379"/>
      <c r="G852" s="379"/>
    </row>
    <row r="853" spans="2:7">
      <c r="B853" s="165"/>
      <c r="C853" s="166"/>
      <c r="D853" s="378"/>
      <c r="E853" s="379"/>
      <c r="F853" s="379"/>
      <c r="G853" s="379"/>
    </row>
    <row r="854" spans="2:7">
      <c r="B854" s="165"/>
      <c r="C854" s="166"/>
      <c r="D854" s="378"/>
      <c r="E854" s="379"/>
      <c r="F854" s="379"/>
      <c r="G854" s="379"/>
    </row>
    <row r="855" spans="2:7">
      <c r="B855" s="165"/>
      <c r="C855" s="166"/>
      <c r="D855" s="378"/>
      <c r="E855" s="379"/>
      <c r="F855" s="379"/>
      <c r="G855" s="379"/>
    </row>
    <row r="856" spans="2:7">
      <c r="B856" s="165"/>
      <c r="C856" s="166"/>
      <c r="D856" s="378"/>
      <c r="E856" s="379"/>
      <c r="F856" s="379"/>
      <c r="G856" s="379"/>
    </row>
    <row r="857" spans="2:7">
      <c r="B857" s="165"/>
      <c r="C857" s="166"/>
      <c r="D857" s="378"/>
      <c r="E857" s="379"/>
      <c r="F857" s="379"/>
      <c r="G857" s="379"/>
    </row>
    <row r="858" spans="2:7">
      <c r="B858" s="165"/>
      <c r="C858" s="166"/>
      <c r="D858" s="378"/>
      <c r="E858" s="379"/>
      <c r="F858" s="379"/>
      <c r="G858" s="379"/>
    </row>
    <row r="859" spans="2:7">
      <c r="B859" s="165"/>
      <c r="C859" s="166"/>
      <c r="D859" s="378"/>
      <c r="E859" s="379"/>
      <c r="F859" s="379"/>
      <c r="G859" s="379"/>
    </row>
    <row r="860" spans="2:7">
      <c r="B860" s="165"/>
      <c r="C860" s="166"/>
      <c r="D860" s="378"/>
      <c r="E860" s="379"/>
      <c r="F860" s="379"/>
      <c r="G860" s="379"/>
    </row>
    <row r="861" spans="2:7">
      <c r="B861" s="165"/>
      <c r="C861" s="166"/>
      <c r="D861" s="378"/>
      <c r="E861" s="379"/>
      <c r="F861" s="379"/>
      <c r="G861" s="379"/>
    </row>
    <row r="862" spans="2:7">
      <c r="B862" s="165"/>
      <c r="C862" s="166"/>
      <c r="D862" s="378"/>
      <c r="E862" s="379"/>
      <c r="F862" s="379"/>
      <c r="G862" s="379"/>
    </row>
    <row r="863" spans="2:7">
      <c r="B863" s="165"/>
      <c r="C863" s="166"/>
      <c r="D863" s="378"/>
      <c r="E863" s="379"/>
      <c r="F863" s="379"/>
      <c r="G863" s="379"/>
    </row>
    <row r="864" spans="2:7">
      <c r="B864" s="165"/>
      <c r="C864" s="166"/>
      <c r="D864" s="378"/>
      <c r="E864" s="379"/>
      <c r="F864" s="379"/>
      <c r="G864" s="379"/>
    </row>
    <row r="865" spans="2:7">
      <c r="B865" s="165"/>
      <c r="C865" s="166"/>
      <c r="D865" s="378"/>
      <c r="E865" s="379"/>
      <c r="F865" s="379"/>
      <c r="G865" s="379"/>
    </row>
    <row r="866" spans="2:7">
      <c r="B866" s="165"/>
      <c r="C866" s="166"/>
      <c r="D866" s="378"/>
      <c r="E866" s="379"/>
      <c r="F866" s="379"/>
      <c r="G866" s="379"/>
    </row>
    <row r="867" spans="2:7">
      <c r="B867" s="165"/>
      <c r="C867" s="166"/>
      <c r="D867" s="378"/>
      <c r="E867" s="379"/>
      <c r="F867" s="379"/>
      <c r="G867" s="379"/>
    </row>
    <row r="868" spans="2:7">
      <c r="B868" s="165"/>
      <c r="C868" s="166"/>
      <c r="D868" s="378"/>
      <c r="E868" s="379"/>
      <c r="F868" s="379"/>
      <c r="G868" s="379"/>
    </row>
    <row r="869" spans="2:7">
      <c r="B869" s="165"/>
      <c r="C869" s="166"/>
      <c r="D869" s="378"/>
      <c r="E869" s="379"/>
      <c r="F869" s="379"/>
      <c r="G869" s="379"/>
    </row>
    <row r="870" spans="2:7">
      <c r="B870" s="165"/>
      <c r="C870" s="166"/>
      <c r="D870" s="378"/>
      <c r="E870" s="379"/>
      <c r="F870" s="379"/>
      <c r="G870" s="379"/>
    </row>
    <row r="871" spans="2:7">
      <c r="B871" s="165"/>
      <c r="C871" s="166"/>
      <c r="D871" s="378"/>
      <c r="E871" s="379"/>
      <c r="F871" s="379"/>
      <c r="G871" s="379"/>
    </row>
    <row r="872" spans="2:7">
      <c r="B872" s="165"/>
      <c r="C872" s="166"/>
      <c r="D872" s="378"/>
      <c r="E872" s="379"/>
      <c r="F872" s="379"/>
      <c r="G872" s="379"/>
    </row>
    <row r="873" spans="2:7">
      <c r="B873" s="165"/>
      <c r="C873" s="166"/>
      <c r="D873" s="378"/>
      <c r="E873" s="379"/>
      <c r="F873" s="379"/>
      <c r="G873" s="379"/>
    </row>
    <row r="874" spans="2:7">
      <c r="B874" s="165"/>
      <c r="C874" s="166"/>
      <c r="D874" s="378"/>
      <c r="E874" s="379"/>
      <c r="F874" s="379"/>
      <c r="G874" s="379"/>
    </row>
    <row r="875" spans="2:7">
      <c r="B875" s="165"/>
      <c r="C875" s="166"/>
      <c r="D875" s="378"/>
      <c r="E875" s="379"/>
      <c r="F875" s="379"/>
      <c r="G875" s="379"/>
    </row>
    <row r="876" spans="2:7">
      <c r="B876" s="165"/>
      <c r="C876" s="166"/>
      <c r="D876" s="378"/>
      <c r="E876" s="379"/>
      <c r="F876" s="379"/>
      <c r="G876" s="379"/>
    </row>
    <row r="877" spans="2:7">
      <c r="B877" s="165"/>
      <c r="C877" s="166"/>
      <c r="D877" s="378"/>
      <c r="E877" s="379"/>
      <c r="F877" s="379"/>
      <c r="G877" s="379"/>
    </row>
    <row r="878" spans="2:7">
      <c r="B878" s="165"/>
      <c r="C878" s="166"/>
      <c r="D878" s="378"/>
      <c r="E878" s="379"/>
      <c r="F878" s="379"/>
      <c r="G878" s="379"/>
    </row>
    <row r="879" spans="2:7">
      <c r="B879" s="165"/>
      <c r="C879" s="166"/>
      <c r="D879" s="378"/>
      <c r="E879" s="379"/>
      <c r="F879" s="379"/>
      <c r="G879" s="379"/>
    </row>
    <row r="880" spans="2:7">
      <c r="B880" s="165"/>
      <c r="C880" s="166"/>
      <c r="D880" s="378"/>
      <c r="E880" s="379"/>
      <c r="F880" s="379"/>
      <c r="G880" s="379"/>
    </row>
    <row r="881" spans="2:7">
      <c r="B881" s="165"/>
      <c r="C881" s="166"/>
      <c r="D881" s="378"/>
      <c r="E881" s="379"/>
      <c r="F881" s="379"/>
      <c r="G881" s="379"/>
    </row>
    <row r="882" spans="2:7">
      <c r="B882" s="165"/>
      <c r="C882" s="166"/>
      <c r="D882" s="378"/>
      <c r="E882" s="379"/>
      <c r="F882" s="379"/>
      <c r="G882" s="379"/>
    </row>
    <row r="883" spans="2:7">
      <c r="B883" s="165"/>
      <c r="C883" s="166"/>
      <c r="D883" s="378"/>
      <c r="E883" s="379"/>
      <c r="F883" s="379"/>
      <c r="G883" s="379"/>
    </row>
    <row r="884" spans="2:7">
      <c r="B884" s="165"/>
      <c r="C884" s="166"/>
      <c r="D884" s="378"/>
      <c r="E884" s="379"/>
      <c r="F884" s="379"/>
      <c r="G884" s="379"/>
    </row>
    <row r="885" spans="2:7">
      <c r="B885" s="165"/>
      <c r="C885" s="166"/>
      <c r="D885" s="378"/>
      <c r="E885" s="379"/>
      <c r="F885" s="379"/>
      <c r="G885" s="379"/>
    </row>
    <row r="886" spans="2:7">
      <c r="B886" s="165"/>
      <c r="C886" s="166"/>
      <c r="D886" s="378"/>
      <c r="E886" s="379"/>
      <c r="F886" s="379"/>
      <c r="G886" s="379"/>
    </row>
    <row r="887" spans="2:7">
      <c r="B887" s="165"/>
      <c r="C887" s="166"/>
      <c r="D887" s="378"/>
      <c r="E887" s="379"/>
      <c r="F887" s="379"/>
      <c r="G887" s="379"/>
    </row>
    <row r="888" spans="2:7">
      <c r="B888" s="165"/>
      <c r="C888" s="166"/>
      <c r="D888" s="378"/>
      <c r="E888" s="379"/>
      <c r="F888" s="379"/>
      <c r="G888" s="379"/>
    </row>
    <row r="889" spans="2:7">
      <c r="B889" s="165"/>
      <c r="C889" s="166"/>
      <c r="D889" s="378"/>
      <c r="E889" s="379"/>
      <c r="F889" s="379"/>
      <c r="G889" s="379"/>
    </row>
    <row r="890" spans="2:7">
      <c r="B890" s="165"/>
      <c r="C890" s="166"/>
      <c r="D890" s="378"/>
      <c r="E890" s="379"/>
      <c r="F890" s="379"/>
      <c r="G890" s="379"/>
    </row>
    <row r="891" spans="2:7">
      <c r="B891" s="165"/>
      <c r="C891" s="166"/>
      <c r="D891" s="378"/>
      <c r="E891" s="379"/>
      <c r="F891" s="379"/>
      <c r="G891" s="379"/>
    </row>
    <row r="892" spans="2:7">
      <c r="B892" s="165"/>
      <c r="C892" s="166"/>
      <c r="D892" s="378"/>
      <c r="E892" s="379"/>
      <c r="F892" s="379"/>
      <c r="G892" s="379"/>
    </row>
    <row r="893" spans="2:7">
      <c r="B893" s="165"/>
      <c r="C893" s="166"/>
      <c r="D893" s="378"/>
      <c r="E893" s="379"/>
      <c r="F893" s="379"/>
      <c r="G893" s="379"/>
    </row>
    <row r="894" spans="2:7">
      <c r="B894" s="165"/>
      <c r="C894" s="166"/>
      <c r="D894" s="378"/>
      <c r="E894" s="379"/>
      <c r="F894" s="379"/>
      <c r="G894" s="379"/>
    </row>
    <row r="895" spans="2:7">
      <c r="B895" s="165"/>
      <c r="C895" s="166"/>
      <c r="D895" s="378"/>
      <c r="E895" s="379"/>
      <c r="F895" s="379"/>
      <c r="G895" s="379"/>
    </row>
    <row r="896" spans="2:7">
      <c r="B896" s="165"/>
      <c r="C896" s="166"/>
      <c r="D896" s="378"/>
      <c r="E896" s="379"/>
      <c r="F896" s="379"/>
      <c r="G896" s="379"/>
    </row>
    <row r="897" spans="2:7">
      <c r="B897" s="165"/>
      <c r="C897" s="166"/>
      <c r="D897" s="378"/>
      <c r="E897" s="379"/>
      <c r="F897" s="379"/>
      <c r="G897" s="379"/>
    </row>
    <row r="898" spans="2:7">
      <c r="B898" s="165"/>
      <c r="C898" s="166"/>
      <c r="D898" s="378"/>
      <c r="E898" s="379"/>
      <c r="F898" s="379"/>
      <c r="G898" s="379"/>
    </row>
    <row r="899" spans="2:7">
      <c r="B899" s="165"/>
      <c r="C899" s="166"/>
      <c r="D899" s="378"/>
      <c r="E899" s="379"/>
      <c r="F899" s="379"/>
      <c r="G899" s="379"/>
    </row>
    <row r="900" spans="2:7">
      <c r="B900" s="165"/>
      <c r="C900" s="166"/>
      <c r="D900" s="378"/>
      <c r="E900" s="379"/>
      <c r="F900" s="379"/>
      <c r="G900" s="379"/>
    </row>
    <row r="901" spans="2:7">
      <c r="B901" s="165"/>
      <c r="C901" s="166"/>
      <c r="D901" s="378"/>
      <c r="E901" s="379"/>
      <c r="F901" s="379"/>
      <c r="G901" s="379"/>
    </row>
    <row r="902" spans="2:7">
      <c r="B902" s="165"/>
      <c r="C902" s="166"/>
      <c r="D902" s="378"/>
      <c r="E902" s="379"/>
      <c r="F902" s="379"/>
      <c r="G902" s="379"/>
    </row>
    <row r="903" spans="2:7">
      <c r="B903" s="165"/>
      <c r="C903" s="166"/>
      <c r="D903" s="378"/>
      <c r="E903" s="379"/>
      <c r="F903" s="379"/>
      <c r="G903" s="379"/>
    </row>
    <row r="904" spans="2:7">
      <c r="B904" s="165"/>
      <c r="C904" s="166"/>
      <c r="D904" s="378"/>
      <c r="E904" s="379"/>
      <c r="F904" s="379"/>
      <c r="G904" s="379"/>
    </row>
    <row r="905" spans="2:7">
      <c r="B905" s="165"/>
      <c r="C905" s="166"/>
      <c r="D905" s="378"/>
      <c r="E905" s="379"/>
      <c r="F905" s="379"/>
      <c r="G905" s="379"/>
    </row>
    <row r="906" spans="2:7">
      <c r="B906" s="165"/>
      <c r="C906" s="166"/>
      <c r="D906" s="378"/>
      <c r="E906" s="379"/>
      <c r="F906" s="379"/>
      <c r="G906" s="379"/>
    </row>
    <row r="907" spans="2:7">
      <c r="B907" s="165"/>
      <c r="C907" s="166"/>
      <c r="D907" s="378"/>
      <c r="E907" s="379"/>
      <c r="F907" s="379"/>
      <c r="G907" s="379"/>
    </row>
    <row r="908" spans="2:7">
      <c r="B908" s="165"/>
      <c r="C908" s="166"/>
      <c r="D908" s="378"/>
      <c r="E908" s="379"/>
      <c r="F908" s="379"/>
      <c r="G908" s="379"/>
    </row>
    <row r="909" spans="2:7">
      <c r="B909" s="165"/>
      <c r="C909" s="166"/>
      <c r="D909" s="378"/>
      <c r="E909" s="379"/>
      <c r="F909" s="379"/>
      <c r="G909" s="379"/>
    </row>
    <row r="910" spans="2:7">
      <c r="B910" s="165"/>
      <c r="C910" s="166"/>
      <c r="D910" s="378"/>
      <c r="E910" s="379"/>
      <c r="F910" s="379"/>
      <c r="G910" s="379"/>
    </row>
    <row r="911" spans="2:7">
      <c r="B911" s="165"/>
      <c r="C911" s="166"/>
      <c r="D911" s="378"/>
      <c r="E911" s="379"/>
      <c r="F911" s="379"/>
      <c r="G911" s="379"/>
    </row>
    <row r="912" spans="2:7">
      <c r="B912" s="165"/>
      <c r="C912" s="166"/>
      <c r="D912" s="378"/>
      <c r="E912" s="379"/>
      <c r="F912" s="379"/>
      <c r="G912" s="379"/>
    </row>
    <row r="913" spans="2:7">
      <c r="B913" s="165"/>
      <c r="C913" s="166"/>
      <c r="D913" s="378"/>
      <c r="E913" s="379"/>
      <c r="F913" s="379"/>
      <c r="G913" s="379"/>
    </row>
    <row r="914" spans="2:7">
      <c r="B914" s="165"/>
      <c r="C914" s="166"/>
      <c r="D914" s="378"/>
      <c r="E914" s="379"/>
      <c r="F914" s="379"/>
      <c r="G914" s="379"/>
    </row>
    <row r="915" spans="2:7">
      <c r="B915" s="165"/>
      <c r="C915" s="166"/>
      <c r="D915" s="378"/>
      <c r="E915" s="379"/>
      <c r="F915" s="379"/>
      <c r="G915" s="379"/>
    </row>
    <row r="916" spans="2:7">
      <c r="B916" s="165"/>
      <c r="C916" s="166"/>
      <c r="D916" s="378"/>
      <c r="E916" s="379"/>
      <c r="F916" s="379"/>
      <c r="G916" s="379"/>
    </row>
    <row r="917" spans="2:7">
      <c r="B917" s="165"/>
      <c r="C917" s="166"/>
      <c r="D917" s="378"/>
      <c r="E917" s="379"/>
      <c r="F917" s="379"/>
      <c r="G917" s="379"/>
    </row>
    <row r="918" spans="2:7">
      <c r="B918" s="165"/>
      <c r="C918" s="166"/>
      <c r="D918" s="378"/>
      <c r="E918" s="379"/>
      <c r="F918" s="379"/>
      <c r="G918" s="379"/>
    </row>
    <row r="919" spans="2:7">
      <c r="B919" s="165"/>
      <c r="C919" s="166"/>
      <c r="D919" s="378"/>
      <c r="E919" s="379"/>
      <c r="F919" s="379"/>
      <c r="G919" s="379"/>
    </row>
    <row r="920" spans="2:7">
      <c r="B920" s="165"/>
      <c r="C920" s="166"/>
      <c r="D920" s="378"/>
      <c r="E920" s="379"/>
      <c r="F920" s="379"/>
      <c r="G920" s="379"/>
    </row>
    <row r="921" spans="2:7">
      <c r="B921" s="165"/>
      <c r="C921" s="166"/>
      <c r="D921" s="378"/>
      <c r="E921" s="379"/>
      <c r="F921" s="379"/>
      <c r="G921" s="379"/>
    </row>
    <row r="922" spans="2:7">
      <c r="B922" s="165"/>
      <c r="C922" s="166"/>
      <c r="D922" s="378"/>
      <c r="E922" s="379"/>
      <c r="F922" s="379"/>
      <c r="G922" s="379"/>
    </row>
    <row r="923" spans="2:7">
      <c r="B923" s="165"/>
      <c r="C923" s="166"/>
      <c r="D923" s="378"/>
      <c r="E923" s="379"/>
      <c r="F923" s="379"/>
      <c r="G923" s="379"/>
    </row>
    <row r="924" spans="2:7">
      <c r="B924" s="165"/>
      <c r="C924" s="166"/>
      <c r="D924" s="378"/>
      <c r="E924" s="379"/>
      <c r="F924" s="379"/>
      <c r="G924" s="379"/>
    </row>
    <row r="925" spans="2:7">
      <c r="B925" s="165"/>
      <c r="C925" s="166"/>
      <c r="D925" s="378"/>
      <c r="E925" s="379"/>
      <c r="F925" s="379"/>
      <c r="G925" s="379"/>
    </row>
    <row r="926" spans="2:7">
      <c r="B926" s="165"/>
      <c r="C926" s="166"/>
      <c r="D926" s="378"/>
      <c r="E926" s="379"/>
      <c r="F926" s="379"/>
      <c r="G926" s="379"/>
    </row>
    <row r="927" spans="2:7">
      <c r="B927" s="165"/>
      <c r="C927" s="166"/>
      <c r="D927" s="378"/>
      <c r="E927" s="379"/>
      <c r="F927" s="379"/>
      <c r="G927" s="379"/>
    </row>
    <row r="928" spans="2:7">
      <c r="B928" s="165"/>
      <c r="C928" s="166"/>
      <c r="D928" s="378"/>
      <c r="E928" s="379"/>
      <c r="F928" s="379"/>
      <c r="G928" s="379"/>
    </row>
    <row r="929" spans="2:7">
      <c r="B929" s="165"/>
      <c r="C929" s="166"/>
      <c r="D929" s="378"/>
      <c r="E929" s="379"/>
      <c r="F929" s="379"/>
      <c r="G929" s="379"/>
    </row>
    <row r="930" spans="2:7">
      <c r="B930" s="165"/>
      <c r="C930" s="166"/>
      <c r="D930" s="378"/>
      <c r="E930" s="379"/>
      <c r="F930" s="379"/>
      <c r="G930" s="379"/>
    </row>
    <row r="931" spans="2:7">
      <c r="B931" s="165"/>
      <c r="C931" s="166"/>
      <c r="D931" s="378"/>
      <c r="E931" s="379"/>
      <c r="F931" s="379"/>
      <c r="G931" s="379"/>
    </row>
    <row r="932" spans="2:7">
      <c r="B932" s="165"/>
      <c r="C932" s="166"/>
      <c r="D932" s="378"/>
      <c r="E932" s="379"/>
      <c r="F932" s="379"/>
      <c r="G932" s="379"/>
    </row>
    <row r="933" spans="2:7">
      <c r="B933" s="165"/>
      <c r="C933" s="166"/>
      <c r="D933" s="378"/>
      <c r="E933" s="379"/>
      <c r="F933" s="379"/>
      <c r="G933" s="379"/>
    </row>
    <row r="934" spans="2:7">
      <c r="B934" s="165"/>
      <c r="C934" s="166"/>
      <c r="D934" s="378"/>
      <c r="E934" s="379"/>
      <c r="F934" s="379"/>
      <c r="G934" s="379"/>
    </row>
    <row r="935" spans="2:7">
      <c r="B935" s="165"/>
      <c r="C935" s="166"/>
      <c r="D935" s="378"/>
      <c r="E935" s="379"/>
      <c r="F935" s="379"/>
      <c r="G935" s="379"/>
    </row>
    <row r="936" spans="2:7">
      <c r="B936" s="165"/>
      <c r="C936" s="166"/>
      <c r="D936" s="378"/>
      <c r="E936" s="379"/>
      <c r="F936" s="379"/>
      <c r="G936" s="379"/>
    </row>
    <row r="937" spans="2:7">
      <c r="B937" s="165"/>
      <c r="C937" s="166"/>
      <c r="D937" s="378"/>
      <c r="E937" s="379"/>
      <c r="F937" s="379"/>
      <c r="G937" s="379"/>
    </row>
    <row r="938" spans="2:7">
      <c r="B938" s="165"/>
      <c r="C938" s="166"/>
      <c r="D938" s="378"/>
      <c r="E938" s="379"/>
      <c r="F938" s="379"/>
      <c r="G938" s="379"/>
    </row>
    <row r="939" spans="2:7">
      <c r="B939" s="165"/>
      <c r="C939" s="166"/>
      <c r="D939" s="378"/>
      <c r="E939" s="379"/>
      <c r="F939" s="379"/>
      <c r="G939" s="379"/>
    </row>
    <row r="940" spans="2:7">
      <c r="B940" s="165"/>
      <c r="C940" s="166"/>
      <c r="D940" s="378"/>
      <c r="E940" s="379"/>
      <c r="F940" s="379"/>
      <c r="G940" s="379"/>
    </row>
    <row r="941" spans="2:7">
      <c r="B941" s="165"/>
      <c r="C941" s="166"/>
      <c r="D941" s="378"/>
      <c r="E941" s="379"/>
      <c r="F941" s="379"/>
      <c r="G941" s="379"/>
    </row>
    <row r="942" spans="2:7">
      <c r="B942" s="165"/>
      <c r="C942" s="166"/>
      <c r="D942" s="378"/>
      <c r="E942" s="379"/>
      <c r="F942" s="379"/>
      <c r="G942" s="379"/>
    </row>
    <row r="943" spans="2:7">
      <c r="B943" s="165"/>
      <c r="C943" s="166"/>
      <c r="D943" s="378"/>
      <c r="E943" s="379"/>
      <c r="F943" s="379"/>
      <c r="G943" s="379"/>
    </row>
    <row r="944" spans="2:7">
      <c r="B944" s="165"/>
      <c r="C944" s="166"/>
      <c r="D944" s="378"/>
      <c r="E944" s="379"/>
      <c r="F944" s="379"/>
      <c r="G944" s="379"/>
    </row>
    <row r="945" spans="2:7">
      <c r="B945" s="165"/>
      <c r="C945" s="166"/>
      <c r="D945" s="378"/>
      <c r="E945" s="379"/>
      <c r="F945" s="379"/>
      <c r="G945" s="379"/>
    </row>
    <row r="946" spans="2:7">
      <c r="B946" s="165"/>
      <c r="C946" s="166"/>
      <c r="D946" s="378"/>
      <c r="E946" s="379"/>
      <c r="F946" s="379"/>
      <c r="G946" s="379"/>
    </row>
    <row r="947" spans="2:7">
      <c r="B947" s="165"/>
      <c r="C947" s="166"/>
      <c r="D947" s="378"/>
      <c r="E947" s="379"/>
      <c r="F947" s="379"/>
      <c r="G947" s="379"/>
    </row>
    <row r="948" spans="2:7">
      <c r="B948" s="165"/>
      <c r="C948" s="166"/>
      <c r="D948" s="378"/>
      <c r="E948" s="379"/>
      <c r="F948" s="379"/>
      <c r="G948" s="379"/>
    </row>
    <row r="949" spans="2:7">
      <c r="B949" s="165"/>
      <c r="C949" s="166"/>
      <c r="D949" s="378"/>
      <c r="E949" s="379"/>
      <c r="F949" s="379"/>
      <c r="G949" s="379"/>
    </row>
    <row r="950" spans="2:7">
      <c r="B950" s="165"/>
      <c r="C950" s="166"/>
      <c r="D950" s="378"/>
      <c r="E950" s="379"/>
      <c r="F950" s="379"/>
      <c r="G950" s="379"/>
    </row>
    <row r="951" spans="2:7">
      <c r="B951" s="165"/>
      <c r="C951" s="166"/>
      <c r="D951" s="378"/>
      <c r="E951" s="379"/>
      <c r="F951" s="379"/>
      <c r="G951" s="379"/>
    </row>
    <row r="952" spans="2:7">
      <c r="B952" s="165"/>
      <c r="C952" s="166"/>
      <c r="D952" s="378"/>
      <c r="E952" s="379"/>
      <c r="F952" s="379"/>
      <c r="G952" s="379"/>
    </row>
    <row r="953" spans="2:7">
      <c r="B953" s="165"/>
      <c r="C953" s="166"/>
      <c r="D953" s="378"/>
      <c r="E953" s="379"/>
      <c r="F953" s="379"/>
      <c r="G953" s="379"/>
    </row>
    <row r="954" spans="2:7">
      <c r="B954" s="165"/>
      <c r="C954" s="166"/>
      <c r="D954" s="378"/>
      <c r="E954" s="379"/>
      <c r="F954" s="379"/>
      <c r="G954" s="379"/>
    </row>
    <row r="955" spans="2:7">
      <c r="B955" s="165"/>
      <c r="C955" s="166"/>
      <c r="D955" s="378"/>
      <c r="E955" s="379"/>
      <c r="F955" s="379"/>
      <c r="G955" s="379"/>
    </row>
    <row r="956" spans="2:7">
      <c r="B956" s="165"/>
      <c r="C956" s="166"/>
      <c r="D956" s="378"/>
      <c r="E956" s="379"/>
      <c r="F956" s="379"/>
      <c r="G956" s="379"/>
    </row>
    <row r="957" spans="2:7">
      <c r="B957" s="165"/>
      <c r="C957" s="166"/>
      <c r="D957" s="378"/>
      <c r="E957" s="379"/>
      <c r="F957" s="379"/>
      <c r="G957" s="379"/>
    </row>
    <row r="958" spans="2:7">
      <c r="B958" s="165"/>
      <c r="C958" s="166"/>
      <c r="D958" s="378"/>
      <c r="E958" s="379"/>
      <c r="F958" s="379"/>
      <c r="G958" s="379"/>
    </row>
    <row r="959" spans="2:7">
      <c r="B959" s="165"/>
      <c r="C959" s="166"/>
      <c r="D959" s="378"/>
      <c r="E959" s="379"/>
      <c r="F959" s="379"/>
      <c r="G959" s="379"/>
    </row>
    <row r="960" spans="2:7">
      <c r="B960" s="165"/>
      <c r="C960" s="166"/>
      <c r="D960" s="378"/>
      <c r="E960" s="379"/>
      <c r="F960" s="379"/>
      <c r="G960" s="379"/>
    </row>
    <row r="961" spans="2:7">
      <c r="B961" s="165"/>
      <c r="C961" s="166"/>
      <c r="D961" s="378"/>
      <c r="E961" s="379"/>
      <c r="F961" s="379"/>
      <c r="G961" s="379"/>
    </row>
    <row r="962" spans="2:7">
      <c r="B962" s="165"/>
      <c r="C962" s="166"/>
      <c r="D962" s="378"/>
      <c r="E962" s="379"/>
      <c r="F962" s="379"/>
      <c r="G962" s="379"/>
    </row>
    <row r="963" spans="2:7">
      <c r="B963" s="165"/>
      <c r="C963" s="166"/>
      <c r="D963" s="378"/>
      <c r="E963" s="379"/>
      <c r="F963" s="379"/>
      <c r="G963" s="379"/>
    </row>
    <row r="964" spans="2:7">
      <c r="B964" s="165"/>
      <c r="C964" s="166"/>
      <c r="D964" s="378"/>
      <c r="E964" s="379"/>
      <c r="F964" s="379"/>
      <c r="G964" s="379"/>
    </row>
    <row r="965" spans="2:7">
      <c r="B965" s="165"/>
      <c r="C965" s="166"/>
      <c r="D965" s="378"/>
      <c r="E965" s="379"/>
      <c r="F965" s="379"/>
      <c r="G965" s="379"/>
    </row>
    <row r="966" spans="2:7">
      <c r="B966" s="165"/>
      <c r="C966" s="166"/>
      <c r="D966" s="378"/>
      <c r="E966" s="379"/>
      <c r="F966" s="379"/>
      <c r="G966" s="379"/>
    </row>
    <row r="967" spans="2:7">
      <c r="B967" s="165"/>
      <c r="C967" s="166"/>
      <c r="D967" s="378"/>
      <c r="E967" s="379"/>
      <c r="F967" s="379"/>
      <c r="G967" s="379"/>
    </row>
    <row r="968" spans="2:7">
      <c r="B968" s="165"/>
      <c r="C968" s="166"/>
      <c r="D968" s="378"/>
      <c r="E968" s="379"/>
      <c r="F968" s="379"/>
      <c r="G968" s="379"/>
    </row>
    <row r="969" spans="2:7">
      <c r="B969" s="165"/>
      <c r="C969" s="166"/>
      <c r="D969" s="378"/>
      <c r="E969" s="379"/>
      <c r="F969" s="379"/>
      <c r="G969" s="379"/>
    </row>
    <row r="970" spans="2:7">
      <c r="B970" s="165"/>
      <c r="C970" s="166"/>
      <c r="D970" s="378"/>
      <c r="E970" s="379"/>
      <c r="F970" s="379"/>
      <c r="G970" s="379"/>
    </row>
    <row r="971" spans="2:7">
      <c r="B971" s="165"/>
      <c r="C971" s="166"/>
      <c r="D971" s="378"/>
      <c r="E971" s="379"/>
      <c r="F971" s="379"/>
      <c r="G971" s="379"/>
    </row>
    <row r="972" spans="2:7">
      <c r="B972" s="165"/>
      <c r="C972" s="166"/>
      <c r="D972" s="378"/>
      <c r="E972" s="379"/>
      <c r="F972" s="379"/>
      <c r="G972" s="379"/>
    </row>
    <row r="973" spans="2:7">
      <c r="B973" s="165"/>
      <c r="C973" s="166"/>
      <c r="D973" s="378"/>
      <c r="E973" s="379"/>
      <c r="F973" s="379"/>
      <c r="G973" s="379"/>
    </row>
    <row r="974" spans="2:7">
      <c r="B974" s="165"/>
      <c r="C974" s="166"/>
      <c r="D974" s="378"/>
      <c r="E974" s="379"/>
      <c r="F974" s="379"/>
      <c r="G974" s="379"/>
    </row>
    <row r="975" spans="2:7">
      <c r="B975" s="165"/>
      <c r="C975" s="166"/>
      <c r="D975" s="378"/>
      <c r="E975" s="379"/>
      <c r="F975" s="379"/>
      <c r="G975" s="379"/>
    </row>
    <row r="976" spans="2:7">
      <c r="B976" s="165"/>
      <c r="C976" s="166"/>
      <c r="D976" s="378"/>
      <c r="E976" s="379"/>
      <c r="F976" s="379"/>
      <c r="G976" s="379"/>
    </row>
    <row r="977" spans="2:7">
      <c r="B977" s="165"/>
      <c r="C977" s="166"/>
      <c r="D977" s="378"/>
      <c r="E977" s="379"/>
      <c r="F977" s="379"/>
      <c r="G977" s="379"/>
    </row>
    <row r="978" spans="2:7">
      <c r="B978" s="165"/>
      <c r="C978" s="166"/>
      <c r="D978" s="378"/>
      <c r="E978" s="379"/>
      <c r="F978" s="379"/>
      <c r="G978" s="379"/>
    </row>
    <row r="979" spans="2:7">
      <c r="B979" s="165"/>
      <c r="C979" s="166"/>
      <c r="D979" s="378"/>
      <c r="E979" s="379"/>
      <c r="F979" s="379"/>
      <c r="G979" s="379"/>
    </row>
    <row r="980" spans="2:7">
      <c r="B980" s="165"/>
      <c r="C980" s="166"/>
      <c r="D980" s="378"/>
      <c r="E980" s="379"/>
      <c r="F980" s="379"/>
      <c r="G980" s="379"/>
    </row>
    <row r="981" spans="2:7">
      <c r="B981" s="165"/>
      <c r="C981" s="166"/>
      <c r="D981" s="378"/>
      <c r="E981" s="379"/>
      <c r="F981" s="379"/>
      <c r="G981" s="379"/>
    </row>
    <row r="982" spans="2:7">
      <c r="B982" s="165"/>
      <c r="C982" s="166"/>
      <c r="D982" s="378"/>
      <c r="E982" s="379"/>
      <c r="F982" s="379"/>
      <c r="G982" s="379"/>
    </row>
    <row r="983" spans="2:7">
      <c r="B983" s="165"/>
      <c r="C983" s="166"/>
      <c r="D983" s="378"/>
      <c r="E983" s="379"/>
      <c r="F983" s="379"/>
      <c r="G983" s="379"/>
    </row>
    <row r="984" spans="2:7">
      <c r="B984" s="165"/>
      <c r="C984" s="166"/>
      <c r="D984" s="378"/>
      <c r="E984" s="379"/>
      <c r="F984" s="379"/>
      <c r="G984" s="379"/>
    </row>
    <row r="985" spans="2:7">
      <c r="B985" s="165"/>
      <c r="C985" s="166"/>
      <c r="D985" s="378"/>
      <c r="E985" s="379"/>
      <c r="F985" s="379"/>
      <c r="G985" s="379"/>
    </row>
    <row r="986" spans="2:7">
      <c r="B986" s="165"/>
      <c r="C986" s="166"/>
      <c r="D986" s="378"/>
      <c r="E986" s="379"/>
      <c r="F986" s="379"/>
      <c r="G986" s="379"/>
    </row>
    <row r="987" spans="2:7">
      <c r="B987" s="165"/>
      <c r="C987" s="166"/>
      <c r="D987" s="378"/>
      <c r="E987" s="379"/>
      <c r="F987" s="379"/>
      <c r="G987" s="379"/>
    </row>
    <row r="988" spans="2:7">
      <c r="B988" s="165"/>
      <c r="C988" s="166"/>
      <c r="D988" s="378"/>
      <c r="E988" s="379"/>
      <c r="F988" s="379"/>
      <c r="G988" s="379"/>
    </row>
    <row r="989" spans="2:7">
      <c r="B989" s="165"/>
      <c r="C989" s="166"/>
      <c r="D989" s="378"/>
      <c r="E989" s="379"/>
      <c r="F989" s="379"/>
      <c r="G989" s="379"/>
    </row>
    <row r="990" spans="2:7">
      <c r="B990" s="165"/>
      <c r="C990" s="166"/>
      <c r="D990" s="378"/>
      <c r="E990" s="379"/>
      <c r="F990" s="379"/>
      <c r="G990" s="379"/>
    </row>
    <row r="991" spans="2:7">
      <c r="B991" s="165"/>
      <c r="C991" s="166"/>
      <c r="D991" s="378"/>
      <c r="E991" s="379"/>
      <c r="F991" s="379"/>
      <c r="G991" s="379"/>
    </row>
    <row r="992" spans="2:7">
      <c r="B992" s="165"/>
      <c r="C992" s="166"/>
      <c r="D992" s="378"/>
      <c r="E992" s="379"/>
      <c r="F992" s="379"/>
      <c r="G992" s="379"/>
    </row>
    <row r="993" spans="2:7">
      <c r="B993" s="165"/>
      <c r="C993" s="166"/>
      <c r="D993" s="378"/>
      <c r="E993" s="379"/>
      <c r="F993" s="379"/>
      <c r="G993" s="379"/>
    </row>
    <row r="994" spans="2:7">
      <c r="B994" s="165"/>
      <c r="C994" s="166"/>
      <c r="D994" s="378"/>
      <c r="E994" s="379"/>
      <c r="F994" s="379"/>
      <c r="G994" s="379"/>
    </row>
    <row r="995" spans="2:7">
      <c r="B995" s="165"/>
      <c r="C995" s="166"/>
      <c r="D995" s="378"/>
      <c r="E995" s="379"/>
      <c r="F995" s="379"/>
      <c r="G995" s="379"/>
    </row>
    <row r="996" spans="2:7">
      <c r="B996" s="165"/>
      <c r="C996" s="166"/>
      <c r="D996" s="378"/>
      <c r="E996" s="379"/>
      <c r="F996" s="379"/>
      <c r="G996" s="379"/>
    </row>
    <row r="997" spans="2:7">
      <c r="B997" s="165"/>
      <c r="C997" s="166"/>
      <c r="D997" s="378"/>
      <c r="E997" s="379"/>
      <c r="F997" s="379"/>
      <c r="G997" s="379"/>
    </row>
    <row r="998" spans="2:7">
      <c r="B998" s="165"/>
      <c r="C998" s="166"/>
      <c r="D998" s="378"/>
      <c r="E998" s="379"/>
      <c r="F998" s="379"/>
      <c r="G998" s="379"/>
    </row>
    <row r="999" spans="2:7">
      <c r="B999" s="165"/>
      <c r="C999" s="166"/>
      <c r="D999" s="378"/>
      <c r="E999" s="379"/>
      <c r="F999" s="379"/>
      <c r="G999" s="379"/>
    </row>
    <row r="1000" spans="2:7">
      <c r="B1000" s="165"/>
      <c r="C1000" s="166"/>
      <c r="D1000" s="378"/>
      <c r="E1000" s="379"/>
      <c r="F1000" s="379"/>
      <c r="G1000" s="379"/>
    </row>
    <row r="1001" spans="2:7">
      <c r="B1001" s="165"/>
      <c r="C1001" s="166"/>
      <c r="D1001" s="378"/>
      <c r="E1001" s="379"/>
      <c r="F1001" s="379"/>
      <c r="G1001" s="379"/>
    </row>
    <row r="1002" spans="2:7">
      <c r="B1002" s="165"/>
      <c r="C1002" s="166"/>
      <c r="D1002" s="378"/>
      <c r="E1002" s="379"/>
      <c r="F1002" s="379"/>
      <c r="G1002" s="379"/>
    </row>
    <row r="1003" spans="2:7">
      <c r="B1003" s="165"/>
      <c r="C1003" s="166"/>
      <c r="D1003" s="378"/>
      <c r="E1003" s="379"/>
      <c r="F1003" s="379"/>
      <c r="G1003" s="379"/>
    </row>
    <row r="1004" spans="2:7">
      <c r="B1004" s="165"/>
      <c r="C1004" s="166"/>
      <c r="D1004" s="378"/>
      <c r="E1004" s="379"/>
      <c r="F1004" s="379"/>
      <c r="G1004" s="379"/>
    </row>
    <row r="1005" spans="2:7">
      <c r="B1005" s="165"/>
      <c r="C1005" s="166"/>
      <c r="D1005" s="378"/>
      <c r="E1005" s="379"/>
      <c r="F1005" s="379"/>
      <c r="G1005" s="379"/>
    </row>
    <row r="1006" spans="2:7">
      <c r="B1006" s="165"/>
      <c r="C1006" s="166"/>
      <c r="D1006" s="378"/>
      <c r="E1006" s="379"/>
      <c r="F1006" s="379"/>
      <c r="G1006" s="379"/>
    </row>
    <row r="1007" spans="2:7">
      <c r="B1007" s="165"/>
      <c r="C1007" s="166"/>
      <c r="D1007" s="378"/>
      <c r="E1007" s="379"/>
      <c r="F1007" s="379"/>
      <c r="G1007" s="379"/>
    </row>
    <row r="1008" spans="2:7">
      <c r="B1008" s="165"/>
      <c r="C1008" s="166"/>
      <c r="D1008" s="378"/>
      <c r="E1008" s="379"/>
      <c r="F1008" s="379"/>
      <c r="G1008" s="379"/>
    </row>
    <row r="1009" spans="2:7">
      <c r="B1009" s="165"/>
      <c r="C1009" s="166"/>
      <c r="D1009" s="378"/>
      <c r="E1009" s="379"/>
      <c r="F1009" s="379"/>
      <c r="G1009" s="379"/>
    </row>
    <row r="1010" spans="2:7">
      <c r="B1010" s="165"/>
      <c r="C1010" s="166"/>
      <c r="D1010" s="378"/>
      <c r="E1010" s="379"/>
      <c r="F1010" s="379"/>
      <c r="G1010" s="379"/>
    </row>
    <row r="1011" spans="2:7">
      <c r="B1011" s="165"/>
      <c r="C1011" s="166"/>
      <c r="D1011" s="378"/>
      <c r="E1011" s="379"/>
      <c r="F1011" s="379"/>
      <c r="G1011" s="379"/>
    </row>
    <row r="1012" spans="2:7">
      <c r="B1012" s="165"/>
      <c r="C1012" s="166"/>
      <c r="D1012" s="378"/>
      <c r="E1012" s="379"/>
      <c r="F1012" s="379"/>
      <c r="G1012" s="379"/>
    </row>
    <row r="1013" spans="2:7">
      <c r="B1013" s="165"/>
      <c r="C1013" s="166"/>
      <c r="D1013" s="378"/>
      <c r="E1013" s="379"/>
      <c r="F1013" s="379"/>
      <c r="G1013" s="379"/>
    </row>
    <row r="1014" spans="2:7">
      <c r="B1014" s="165"/>
      <c r="C1014" s="166"/>
      <c r="D1014" s="378"/>
      <c r="E1014" s="379"/>
      <c r="F1014" s="379"/>
      <c r="G1014" s="379"/>
    </row>
    <row r="1015" spans="2:7">
      <c r="B1015" s="165"/>
      <c r="C1015" s="166"/>
      <c r="D1015" s="378"/>
      <c r="E1015" s="379"/>
      <c r="F1015" s="379"/>
      <c r="G1015" s="379"/>
    </row>
    <row r="1016" spans="2:7">
      <c r="B1016" s="165"/>
      <c r="C1016" s="166"/>
      <c r="D1016" s="378"/>
      <c r="E1016" s="379"/>
      <c r="F1016" s="379"/>
      <c r="G1016" s="379"/>
    </row>
    <row r="1017" spans="2:7">
      <c r="B1017" s="165"/>
      <c r="C1017" s="166"/>
      <c r="D1017" s="378"/>
      <c r="E1017" s="379"/>
      <c r="F1017" s="379"/>
      <c r="G1017" s="379"/>
    </row>
    <row r="1018" spans="2:7">
      <c r="B1018" s="165"/>
      <c r="C1018" s="166"/>
      <c r="D1018" s="378"/>
      <c r="E1018" s="379"/>
      <c r="F1018" s="379"/>
      <c r="G1018" s="379"/>
    </row>
    <row r="1019" spans="2:7">
      <c r="B1019" s="165"/>
      <c r="C1019" s="166"/>
      <c r="D1019" s="378"/>
      <c r="E1019" s="379"/>
      <c r="F1019" s="379"/>
      <c r="G1019" s="379"/>
    </row>
    <row r="1020" spans="2:7">
      <c r="B1020" s="165"/>
      <c r="C1020" s="166"/>
      <c r="D1020" s="378"/>
      <c r="E1020" s="379"/>
      <c r="F1020" s="379"/>
      <c r="G1020" s="379"/>
    </row>
    <row r="1021" spans="2:7">
      <c r="B1021" s="165"/>
      <c r="C1021" s="166"/>
      <c r="D1021" s="378"/>
      <c r="E1021" s="379"/>
      <c r="F1021" s="379"/>
      <c r="G1021" s="379"/>
    </row>
    <row r="1022" spans="2:7">
      <c r="B1022" s="165"/>
      <c r="C1022" s="166"/>
      <c r="D1022" s="378"/>
      <c r="E1022" s="379"/>
      <c r="F1022" s="379"/>
      <c r="G1022" s="379"/>
    </row>
    <row r="1023" spans="2:7">
      <c r="B1023" s="165"/>
      <c r="C1023" s="166"/>
      <c r="D1023" s="378"/>
      <c r="E1023" s="379"/>
      <c r="F1023" s="379"/>
      <c r="G1023" s="379"/>
    </row>
    <row r="1024" spans="2:7">
      <c r="B1024" s="165"/>
      <c r="C1024" s="166"/>
      <c r="D1024" s="378"/>
      <c r="E1024" s="379"/>
      <c r="F1024" s="379"/>
      <c r="G1024" s="379"/>
    </row>
    <row r="1025" spans="2:7">
      <c r="B1025" s="165"/>
      <c r="C1025" s="166"/>
      <c r="D1025" s="378"/>
      <c r="E1025" s="379"/>
      <c r="F1025" s="379"/>
      <c r="G1025" s="379"/>
    </row>
    <row r="1026" spans="2:7">
      <c r="B1026" s="165"/>
      <c r="C1026" s="166"/>
      <c r="D1026" s="378"/>
      <c r="E1026" s="379"/>
      <c r="F1026" s="379"/>
      <c r="G1026" s="379"/>
    </row>
    <row r="1027" spans="2:7">
      <c r="B1027" s="165"/>
      <c r="C1027" s="166"/>
      <c r="D1027" s="378"/>
      <c r="E1027" s="379"/>
      <c r="F1027" s="379"/>
      <c r="G1027" s="379"/>
    </row>
    <row r="1028" spans="2:7">
      <c r="B1028" s="165"/>
      <c r="C1028" s="166"/>
      <c r="D1028" s="378"/>
      <c r="E1028" s="379"/>
      <c r="F1028" s="379"/>
      <c r="G1028" s="379"/>
    </row>
    <row r="1029" spans="2:7">
      <c r="B1029" s="165"/>
      <c r="C1029" s="166"/>
      <c r="D1029" s="378"/>
      <c r="E1029" s="379"/>
      <c r="F1029" s="379"/>
      <c r="G1029" s="379"/>
    </row>
    <row r="1030" spans="2:7">
      <c r="B1030" s="165"/>
      <c r="C1030" s="166"/>
      <c r="D1030" s="378"/>
      <c r="E1030" s="379"/>
      <c r="F1030" s="379"/>
      <c r="G1030" s="379"/>
    </row>
    <row r="1031" spans="2:7">
      <c r="B1031" s="165"/>
      <c r="C1031" s="166"/>
      <c r="D1031" s="378"/>
      <c r="E1031" s="379"/>
      <c r="F1031" s="379"/>
      <c r="G1031" s="379"/>
    </row>
    <row r="1032" spans="2:7">
      <c r="B1032" s="165"/>
      <c r="C1032" s="166"/>
      <c r="D1032" s="378"/>
      <c r="E1032" s="379"/>
      <c r="F1032" s="379"/>
      <c r="G1032" s="379"/>
    </row>
    <row r="1033" spans="2:7">
      <c r="B1033" s="165"/>
      <c r="C1033" s="166"/>
      <c r="D1033" s="378"/>
      <c r="E1033" s="379"/>
      <c r="F1033" s="379"/>
      <c r="G1033" s="379"/>
    </row>
    <row r="1034" spans="2:7">
      <c r="B1034" s="165"/>
      <c r="C1034" s="166"/>
      <c r="D1034" s="378"/>
      <c r="E1034" s="379"/>
      <c r="F1034" s="379"/>
      <c r="G1034" s="379"/>
    </row>
    <row r="1035" spans="2:7">
      <c r="B1035" s="165"/>
      <c r="C1035" s="166"/>
      <c r="D1035" s="378"/>
      <c r="E1035" s="379"/>
      <c r="F1035" s="379"/>
      <c r="G1035" s="379"/>
    </row>
    <row r="1036" spans="2:7">
      <c r="B1036" s="165"/>
      <c r="C1036" s="166"/>
      <c r="D1036" s="378"/>
      <c r="E1036" s="379"/>
      <c r="F1036" s="379"/>
      <c r="G1036" s="379"/>
    </row>
    <row r="1037" spans="2:7">
      <c r="B1037" s="165"/>
      <c r="C1037" s="166"/>
      <c r="D1037" s="378"/>
      <c r="E1037" s="379"/>
      <c r="F1037" s="379"/>
      <c r="G1037" s="379"/>
    </row>
    <row r="1038" spans="2:7">
      <c r="B1038" s="165"/>
      <c r="C1038" s="166"/>
      <c r="D1038" s="378"/>
      <c r="E1038" s="379"/>
      <c r="F1038" s="379"/>
      <c r="G1038" s="379"/>
    </row>
    <row r="1039" spans="2:7">
      <c r="B1039" s="165"/>
      <c r="C1039" s="166"/>
      <c r="D1039" s="378"/>
      <c r="E1039" s="379"/>
      <c r="F1039" s="379"/>
      <c r="G1039" s="379"/>
    </row>
    <row r="1040" spans="2:7">
      <c r="B1040" s="165"/>
      <c r="C1040" s="166"/>
      <c r="D1040" s="378"/>
      <c r="E1040" s="379"/>
      <c r="F1040" s="379"/>
      <c r="G1040" s="379"/>
    </row>
    <row r="1041" spans="2:7">
      <c r="B1041" s="165"/>
      <c r="C1041" s="166"/>
      <c r="D1041" s="378"/>
      <c r="E1041" s="379"/>
      <c r="F1041" s="379"/>
      <c r="G1041" s="379"/>
    </row>
    <row r="1042" spans="2:7">
      <c r="B1042" s="165"/>
      <c r="C1042" s="166"/>
      <c r="D1042" s="378"/>
      <c r="E1042" s="379"/>
      <c r="F1042" s="379"/>
      <c r="G1042" s="379"/>
    </row>
    <row r="1043" spans="2:7">
      <c r="B1043" s="165"/>
      <c r="C1043" s="166"/>
      <c r="D1043" s="378"/>
      <c r="E1043" s="379"/>
      <c r="F1043" s="379"/>
      <c r="G1043" s="379"/>
    </row>
    <row r="1044" spans="2:7">
      <c r="B1044" s="165"/>
      <c r="C1044" s="166"/>
      <c r="D1044" s="378"/>
      <c r="E1044" s="379"/>
      <c r="F1044" s="379"/>
      <c r="G1044" s="379"/>
    </row>
    <row r="1045" spans="2:7">
      <c r="B1045" s="165"/>
      <c r="C1045" s="166"/>
      <c r="D1045" s="378"/>
      <c r="E1045" s="379"/>
      <c r="F1045" s="379"/>
      <c r="G1045" s="379"/>
    </row>
    <row r="1046" spans="2:7">
      <c r="B1046" s="165"/>
      <c r="C1046" s="166"/>
      <c r="D1046" s="378"/>
      <c r="E1046" s="379"/>
      <c r="F1046" s="379"/>
      <c r="G1046" s="379"/>
    </row>
    <row r="1047" spans="2:7">
      <c r="B1047" s="165"/>
      <c r="C1047" s="166"/>
      <c r="D1047" s="378"/>
      <c r="E1047" s="379"/>
      <c r="F1047" s="379"/>
      <c r="G1047" s="379"/>
    </row>
    <row r="1048" spans="2:7">
      <c r="B1048" s="165"/>
      <c r="C1048" s="166"/>
      <c r="D1048" s="378"/>
      <c r="E1048" s="379"/>
      <c r="F1048" s="379"/>
      <c r="G1048" s="379"/>
    </row>
    <row r="1049" spans="2:7">
      <c r="B1049" s="165"/>
      <c r="C1049" s="166"/>
      <c r="D1049" s="378"/>
      <c r="E1049" s="379"/>
      <c r="F1049" s="379"/>
      <c r="G1049" s="379"/>
    </row>
    <row r="1050" spans="2:7">
      <c r="B1050" s="165"/>
      <c r="C1050" s="166"/>
      <c r="D1050" s="378"/>
      <c r="E1050" s="379"/>
      <c r="F1050" s="379"/>
      <c r="G1050" s="379"/>
    </row>
    <row r="1051" spans="2:7">
      <c r="B1051" s="165"/>
      <c r="C1051" s="166"/>
      <c r="D1051" s="378"/>
      <c r="E1051" s="379"/>
      <c r="F1051" s="379"/>
      <c r="G1051" s="379"/>
    </row>
    <row r="1052" spans="2:7">
      <c r="B1052" s="165"/>
      <c r="C1052" s="166"/>
      <c r="D1052" s="378"/>
      <c r="E1052" s="379"/>
      <c r="F1052" s="379"/>
      <c r="G1052" s="379"/>
    </row>
    <row r="1053" spans="2:7">
      <c r="B1053" s="165"/>
      <c r="C1053" s="166"/>
      <c r="D1053" s="378"/>
      <c r="E1053" s="379"/>
      <c r="F1053" s="379"/>
      <c r="G1053" s="379"/>
    </row>
    <row r="1054" spans="2:7">
      <c r="B1054" s="165"/>
      <c r="C1054" s="166"/>
      <c r="D1054" s="378"/>
      <c r="E1054" s="379"/>
      <c r="F1054" s="379"/>
      <c r="G1054" s="379"/>
    </row>
    <row r="1055" spans="2:7">
      <c r="B1055" s="165"/>
      <c r="C1055" s="166"/>
      <c r="D1055" s="378"/>
      <c r="E1055" s="379"/>
      <c r="F1055" s="379"/>
      <c r="G1055" s="379"/>
    </row>
    <row r="1056" spans="2:7">
      <c r="B1056" s="165"/>
      <c r="C1056" s="166"/>
      <c r="D1056" s="378"/>
      <c r="E1056" s="379"/>
      <c r="F1056" s="379"/>
      <c r="G1056" s="379"/>
    </row>
    <row r="1057" spans="2:7">
      <c r="B1057" s="165"/>
      <c r="C1057" s="166"/>
      <c r="D1057" s="378"/>
      <c r="E1057" s="379"/>
      <c r="F1057" s="379"/>
      <c r="G1057" s="379"/>
    </row>
    <row r="1058" spans="2:7">
      <c r="B1058" s="165"/>
      <c r="C1058" s="166"/>
      <c r="D1058" s="378"/>
      <c r="E1058" s="379"/>
      <c r="F1058" s="379"/>
      <c r="G1058" s="379"/>
    </row>
    <row r="1059" spans="2:7">
      <c r="B1059" s="165"/>
      <c r="C1059" s="166"/>
      <c r="D1059" s="378"/>
      <c r="E1059" s="379"/>
      <c r="F1059" s="379"/>
      <c r="G1059" s="379"/>
    </row>
    <row r="1060" spans="2:7">
      <c r="B1060" s="165"/>
      <c r="C1060" s="166"/>
      <c r="D1060" s="378"/>
      <c r="E1060" s="379"/>
      <c r="F1060" s="379"/>
      <c r="G1060" s="379"/>
    </row>
    <row r="1061" spans="2:7">
      <c r="B1061" s="165"/>
      <c r="C1061" s="166"/>
      <c r="D1061" s="378"/>
      <c r="E1061" s="379"/>
      <c r="F1061" s="379"/>
      <c r="G1061" s="379"/>
    </row>
    <row r="1062" spans="2:7">
      <c r="B1062" s="165"/>
      <c r="C1062" s="166"/>
      <c r="D1062" s="378"/>
      <c r="E1062" s="379"/>
      <c r="F1062" s="379"/>
      <c r="G1062" s="379"/>
    </row>
    <row r="1063" spans="2:7">
      <c r="B1063" s="165"/>
      <c r="C1063" s="166"/>
      <c r="D1063" s="378"/>
      <c r="E1063" s="379"/>
      <c r="F1063" s="379"/>
      <c r="G1063" s="379"/>
    </row>
    <row r="1064" spans="2:7">
      <c r="B1064" s="165"/>
      <c r="C1064" s="166"/>
      <c r="D1064" s="378"/>
      <c r="E1064" s="379"/>
      <c r="F1064" s="379"/>
      <c r="G1064" s="379"/>
    </row>
    <row r="1065" spans="2:7">
      <c r="B1065" s="165"/>
      <c r="C1065" s="166"/>
      <c r="D1065" s="378"/>
      <c r="E1065" s="379"/>
      <c r="F1065" s="379"/>
      <c r="G1065" s="379"/>
    </row>
    <row r="1066" spans="2:7">
      <c r="B1066" s="165"/>
      <c r="C1066" s="166"/>
      <c r="D1066" s="378"/>
      <c r="E1066" s="379"/>
      <c r="F1066" s="379"/>
      <c r="G1066" s="379"/>
    </row>
    <row r="1067" spans="2:7">
      <c r="B1067" s="165"/>
      <c r="C1067" s="166"/>
      <c r="D1067" s="378"/>
      <c r="E1067" s="379"/>
      <c r="F1067" s="379"/>
      <c r="G1067" s="379"/>
    </row>
    <row r="1068" spans="2:7">
      <c r="B1068" s="165"/>
      <c r="C1068" s="166"/>
      <c r="D1068" s="378"/>
      <c r="E1068" s="379"/>
      <c r="F1068" s="379"/>
      <c r="G1068" s="379"/>
    </row>
    <row r="1069" spans="2:7">
      <c r="B1069" s="165"/>
      <c r="C1069" s="166"/>
      <c r="D1069" s="378"/>
      <c r="E1069" s="379"/>
      <c r="F1069" s="379"/>
      <c r="G1069" s="379"/>
    </row>
    <row r="1070" spans="2:7">
      <c r="B1070" s="165"/>
      <c r="C1070" s="166"/>
      <c r="D1070" s="378"/>
      <c r="E1070" s="379"/>
      <c r="F1070" s="379"/>
      <c r="G1070" s="379"/>
    </row>
    <row r="1071" spans="2:7">
      <c r="B1071" s="165"/>
      <c r="C1071" s="166"/>
      <c r="D1071" s="378"/>
      <c r="E1071" s="379"/>
      <c r="F1071" s="379"/>
      <c r="G1071" s="379"/>
    </row>
    <row r="1072" spans="2:7">
      <c r="B1072" s="165"/>
      <c r="C1072" s="166"/>
      <c r="D1072" s="378"/>
      <c r="E1072" s="379"/>
      <c r="F1072" s="379"/>
      <c r="G1072" s="379"/>
    </row>
    <row r="1073" spans="2:7">
      <c r="B1073" s="165"/>
      <c r="C1073" s="166"/>
      <c r="D1073" s="378"/>
      <c r="E1073" s="379"/>
      <c r="F1073" s="379"/>
      <c r="G1073" s="379"/>
    </row>
    <row r="1074" spans="2:7">
      <c r="B1074" s="165"/>
      <c r="C1074" s="166"/>
      <c r="D1074" s="378"/>
      <c r="E1074" s="379"/>
      <c r="F1074" s="379"/>
      <c r="G1074" s="379"/>
    </row>
    <row r="1075" spans="2:7">
      <c r="B1075" s="165"/>
      <c r="C1075" s="166"/>
      <c r="D1075" s="378"/>
      <c r="E1075" s="379"/>
      <c r="F1075" s="379"/>
      <c r="G1075" s="379"/>
    </row>
    <row r="1076" spans="2:7">
      <c r="B1076" s="165"/>
      <c r="C1076" s="166"/>
      <c r="D1076" s="378"/>
      <c r="E1076" s="379"/>
      <c r="F1076" s="379"/>
      <c r="G1076" s="379"/>
    </row>
    <row r="1077" spans="2:7">
      <c r="B1077" s="165"/>
      <c r="C1077" s="166"/>
      <c r="D1077" s="378"/>
      <c r="E1077" s="379"/>
      <c r="F1077" s="379"/>
      <c r="G1077" s="379"/>
    </row>
    <row r="1078" spans="2:7">
      <c r="B1078" s="165"/>
      <c r="C1078" s="166"/>
      <c r="D1078" s="378"/>
      <c r="E1078" s="379"/>
      <c r="F1078" s="379"/>
      <c r="G1078" s="379"/>
    </row>
    <row r="1079" spans="2:7">
      <c r="B1079" s="165"/>
      <c r="C1079" s="166"/>
      <c r="D1079" s="378"/>
      <c r="E1079" s="379"/>
      <c r="F1079" s="379"/>
      <c r="G1079" s="379"/>
    </row>
    <row r="1080" spans="2:7">
      <c r="B1080" s="165"/>
      <c r="C1080" s="166"/>
      <c r="D1080" s="378"/>
      <c r="E1080" s="379"/>
      <c r="F1080" s="379"/>
      <c r="G1080" s="379"/>
    </row>
    <row r="1081" spans="2:7">
      <c r="B1081" s="165"/>
      <c r="C1081" s="166"/>
      <c r="D1081" s="378"/>
      <c r="E1081" s="379"/>
      <c r="F1081" s="379"/>
      <c r="G1081" s="379"/>
    </row>
    <row r="1082" spans="2:7">
      <c r="B1082" s="165"/>
      <c r="C1082" s="166"/>
      <c r="D1082" s="378"/>
      <c r="E1082" s="379"/>
      <c r="F1082" s="379"/>
      <c r="G1082" s="379"/>
    </row>
    <row r="1083" spans="2:7">
      <c r="B1083" s="165"/>
      <c r="C1083" s="166"/>
      <c r="D1083" s="378"/>
      <c r="E1083" s="379"/>
      <c r="F1083" s="379"/>
      <c r="G1083" s="379"/>
    </row>
    <row r="1084" spans="2:7">
      <c r="B1084" s="165"/>
      <c r="C1084" s="166"/>
      <c r="D1084" s="378"/>
      <c r="E1084" s="379"/>
      <c r="F1084" s="379"/>
      <c r="G1084" s="379"/>
    </row>
    <row r="1085" spans="2:7">
      <c r="B1085" s="165"/>
      <c r="C1085" s="166"/>
      <c r="D1085" s="378"/>
      <c r="E1085" s="379"/>
      <c r="F1085" s="379"/>
      <c r="G1085" s="379"/>
    </row>
    <row r="1086" spans="2:7">
      <c r="B1086" s="165"/>
      <c r="C1086" s="166"/>
      <c r="D1086" s="378"/>
      <c r="E1086" s="379"/>
      <c r="F1086" s="379"/>
      <c r="G1086" s="379"/>
    </row>
    <row r="1087" spans="2:7">
      <c r="B1087" s="165"/>
      <c r="C1087" s="166"/>
      <c r="D1087" s="378"/>
      <c r="E1087" s="379"/>
      <c r="F1087" s="379"/>
      <c r="G1087" s="379"/>
    </row>
    <row r="1088" spans="2:7">
      <c r="B1088" s="165"/>
      <c r="C1088" s="166"/>
      <c r="D1088" s="378"/>
      <c r="E1088" s="379"/>
      <c r="F1088" s="379"/>
      <c r="G1088" s="379"/>
    </row>
    <row r="1089" spans="2:7">
      <c r="B1089" s="165"/>
      <c r="C1089" s="166"/>
      <c r="D1089" s="378"/>
      <c r="E1089" s="379"/>
      <c r="F1089" s="379"/>
      <c r="G1089" s="379"/>
    </row>
    <row r="1090" spans="2:7">
      <c r="B1090" s="165"/>
      <c r="C1090" s="166"/>
      <c r="D1090" s="378"/>
      <c r="E1090" s="379"/>
      <c r="F1090" s="379"/>
      <c r="G1090" s="379"/>
    </row>
    <row r="1091" spans="2:7">
      <c r="B1091" s="165"/>
      <c r="C1091" s="166"/>
      <c r="D1091" s="378"/>
      <c r="E1091" s="379"/>
      <c r="F1091" s="379"/>
      <c r="G1091" s="379"/>
    </row>
    <row r="1092" spans="2:7">
      <c r="B1092" s="165"/>
      <c r="C1092" s="166"/>
      <c r="D1092" s="378"/>
      <c r="E1092" s="379"/>
      <c r="F1092" s="379"/>
      <c r="G1092" s="379"/>
    </row>
    <row r="1093" spans="2:7">
      <c r="B1093" s="165"/>
      <c r="C1093" s="166"/>
      <c r="D1093" s="378"/>
      <c r="E1093" s="379"/>
      <c r="F1093" s="379"/>
      <c r="G1093" s="379"/>
    </row>
    <row r="1094" spans="2:7">
      <c r="B1094" s="165"/>
      <c r="C1094" s="166"/>
      <c r="D1094" s="378"/>
      <c r="E1094" s="379"/>
      <c r="F1094" s="379"/>
      <c r="G1094" s="379"/>
    </row>
    <row r="1095" spans="2:7">
      <c r="B1095" s="165"/>
      <c r="C1095" s="166"/>
      <c r="D1095" s="378"/>
      <c r="E1095" s="379"/>
      <c r="F1095" s="379"/>
      <c r="G1095" s="379"/>
    </row>
    <row r="1096" spans="2:7">
      <c r="B1096" s="165"/>
      <c r="C1096" s="166"/>
      <c r="D1096" s="378"/>
      <c r="E1096" s="379"/>
      <c r="F1096" s="379"/>
      <c r="G1096" s="379"/>
    </row>
    <row r="1097" spans="2:7">
      <c r="B1097" s="165"/>
      <c r="C1097" s="166"/>
      <c r="D1097" s="378"/>
      <c r="E1097" s="379"/>
      <c r="F1097" s="379"/>
      <c r="G1097" s="379"/>
    </row>
    <row r="1098" spans="2:7">
      <c r="B1098" s="165"/>
      <c r="C1098" s="166"/>
      <c r="D1098" s="378"/>
      <c r="E1098" s="379"/>
      <c r="F1098" s="379"/>
      <c r="G1098" s="379"/>
    </row>
    <row r="1099" spans="2:7">
      <c r="B1099" s="165"/>
      <c r="C1099" s="166"/>
      <c r="D1099" s="378"/>
      <c r="E1099" s="379"/>
      <c r="F1099" s="379"/>
      <c r="G1099" s="379"/>
    </row>
    <row r="1100" spans="2:7">
      <c r="B1100" s="165"/>
      <c r="C1100" s="166"/>
      <c r="D1100" s="378"/>
      <c r="E1100" s="379"/>
      <c r="F1100" s="379"/>
      <c r="G1100" s="379"/>
    </row>
    <row r="1101" spans="2:7">
      <c r="B1101" s="165"/>
      <c r="C1101" s="166"/>
      <c r="D1101" s="378"/>
      <c r="E1101" s="379"/>
      <c r="F1101" s="379"/>
      <c r="G1101" s="379"/>
    </row>
    <row r="1102" spans="2:7">
      <c r="B1102" s="165"/>
      <c r="C1102" s="166"/>
      <c r="D1102" s="378"/>
      <c r="E1102" s="379"/>
      <c r="F1102" s="379"/>
      <c r="G1102" s="379"/>
    </row>
    <row r="1103" spans="2:7">
      <c r="B1103" s="165"/>
      <c r="C1103" s="166"/>
      <c r="D1103" s="378"/>
      <c r="E1103" s="379"/>
      <c r="F1103" s="379"/>
      <c r="G1103" s="379"/>
    </row>
    <row r="1104" spans="2:7">
      <c r="B1104" s="165"/>
      <c r="C1104" s="166"/>
      <c r="D1104" s="378"/>
      <c r="E1104" s="379"/>
      <c r="F1104" s="379"/>
      <c r="G1104" s="379"/>
    </row>
    <row r="1105" spans="2:7">
      <c r="B1105" s="165"/>
      <c r="C1105" s="166"/>
      <c r="D1105" s="378"/>
      <c r="E1105" s="379"/>
      <c r="F1105" s="379"/>
      <c r="G1105" s="379"/>
    </row>
    <row r="1106" spans="2:7">
      <c r="B1106" s="165"/>
      <c r="C1106" s="166"/>
      <c r="D1106" s="378"/>
      <c r="E1106" s="379"/>
      <c r="F1106" s="379"/>
      <c r="G1106" s="379"/>
    </row>
    <row r="1107" spans="2:7">
      <c r="B1107" s="165"/>
      <c r="C1107" s="166"/>
      <c r="D1107" s="378"/>
      <c r="E1107" s="379"/>
      <c r="F1107" s="379"/>
      <c r="G1107" s="379"/>
    </row>
    <row r="1108" spans="2:7">
      <c r="B1108" s="165"/>
      <c r="C1108" s="166"/>
      <c r="D1108" s="378"/>
      <c r="E1108" s="379"/>
      <c r="F1108" s="379"/>
      <c r="G1108" s="379"/>
    </row>
    <row r="1109" spans="2:7">
      <c r="B1109" s="165"/>
      <c r="C1109" s="166"/>
      <c r="D1109" s="378"/>
      <c r="E1109" s="379"/>
      <c r="F1109" s="379"/>
      <c r="G1109" s="379"/>
    </row>
    <row r="1110" spans="2:7">
      <c r="B1110" s="165"/>
      <c r="C1110" s="166"/>
      <c r="D1110" s="378"/>
      <c r="E1110" s="379"/>
      <c r="F1110" s="379"/>
      <c r="G1110" s="379"/>
    </row>
    <row r="1111" spans="2:7">
      <c r="B1111" s="165"/>
      <c r="C1111" s="166"/>
      <c r="D1111" s="378"/>
      <c r="E1111" s="379"/>
      <c r="F1111" s="379"/>
      <c r="G1111" s="379"/>
    </row>
    <row r="1112" spans="2:7">
      <c r="B1112" s="165"/>
      <c r="C1112" s="166"/>
      <c r="D1112" s="378"/>
      <c r="E1112" s="379"/>
      <c r="F1112" s="379"/>
      <c r="G1112" s="379"/>
    </row>
    <row r="1113" spans="2:7">
      <c r="B1113" s="165"/>
      <c r="C1113" s="166"/>
      <c r="D1113" s="378"/>
      <c r="E1113" s="379"/>
      <c r="F1113" s="379"/>
      <c r="G1113" s="379"/>
    </row>
    <row r="1114" spans="2:7">
      <c r="B1114" s="165"/>
      <c r="C1114" s="166"/>
      <c r="D1114" s="378"/>
      <c r="E1114" s="379"/>
      <c r="F1114" s="379"/>
      <c r="G1114" s="379"/>
    </row>
    <row r="1115" spans="2:7">
      <c r="B1115" s="165"/>
      <c r="C1115" s="166"/>
      <c r="D1115" s="378"/>
      <c r="E1115" s="379"/>
      <c r="F1115" s="379"/>
      <c r="G1115" s="379"/>
    </row>
    <row r="1116" spans="2:7">
      <c r="B1116" s="165"/>
      <c r="C1116" s="166"/>
      <c r="D1116" s="378"/>
      <c r="E1116" s="379"/>
      <c r="F1116" s="379"/>
      <c r="G1116" s="379"/>
    </row>
    <row r="1117" spans="2:7">
      <c r="B1117" s="165"/>
      <c r="C1117" s="166"/>
      <c r="D1117" s="378"/>
      <c r="E1117" s="379"/>
      <c r="F1117" s="379"/>
      <c r="G1117" s="379"/>
    </row>
    <row r="1118" spans="2:7">
      <c r="B1118" s="165"/>
      <c r="C1118" s="166"/>
      <c r="D1118" s="378"/>
      <c r="E1118" s="379"/>
      <c r="F1118" s="379"/>
      <c r="G1118" s="379"/>
    </row>
    <row r="1119" spans="2:7">
      <c r="B1119" s="165"/>
      <c r="C1119" s="166"/>
      <c r="D1119" s="378"/>
      <c r="E1119" s="379"/>
      <c r="F1119" s="379"/>
      <c r="G1119" s="379"/>
    </row>
    <row r="1120" spans="2:7">
      <c r="B1120" s="165"/>
      <c r="C1120" s="166"/>
      <c r="D1120" s="378"/>
      <c r="E1120" s="379"/>
      <c r="F1120" s="379"/>
      <c r="G1120" s="379"/>
    </row>
    <row r="1121" spans="2:7">
      <c r="B1121" s="165"/>
      <c r="C1121" s="166"/>
      <c r="D1121" s="378"/>
      <c r="E1121" s="379"/>
      <c r="F1121" s="379"/>
      <c r="G1121" s="379"/>
    </row>
    <row r="1122" spans="2:7">
      <c r="B1122" s="165"/>
      <c r="C1122" s="166"/>
      <c r="D1122" s="378"/>
      <c r="E1122" s="379"/>
      <c r="F1122" s="379"/>
      <c r="G1122" s="379"/>
    </row>
    <row r="1123" spans="2:7">
      <c r="B1123" s="165"/>
      <c r="C1123" s="166"/>
      <c r="D1123" s="378"/>
      <c r="E1123" s="379"/>
      <c r="F1123" s="379"/>
      <c r="G1123" s="379"/>
    </row>
    <row r="1124" spans="2:7">
      <c r="B1124" s="165"/>
      <c r="C1124" s="166"/>
      <c r="D1124" s="378"/>
      <c r="E1124" s="379"/>
      <c r="F1124" s="379"/>
      <c r="G1124" s="379"/>
    </row>
    <row r="1125" spans="2:7">
      <c r="B1125" s="165"/>
      <c r="C1125" s="166"/>
      <c r="D1125" s="378"/>
      <c r="E1125" s="379"/>
      <c r="F1125" s="379"/>
      <c r="G1125" s="379"/>
    </row>
    <row r="1126" spans="2:7">
      <c r="B1126" s="165"/>
      <c r="C1126" s="166"/>
      <c r="D1126" s="378"/>
      <c r="E1126" s="379"/>
      <c r="F1126" s="379"/>
      <c r="G1126" s="379"/>
    </row>
    <row r="1127" spans="2:7">
      <c r="B1127" s="165"/>
      <c r="C1127" s="166"/>
      <c r="D1127" s="378"/>
      <c r="E1127" s="379"/>
      <c r="F1127" s="379"/>
      <c r="G1127" s="379"/>
    </row>
    <row r="1128" spans="2:7">
      <c r="B1128" s="165"/>
      <c r="C1128" s="166"/>
      <c r="D1128" s="378"/>
      <c r="E1128" s="379"/>
      <c r="F1128" s="379"/>
      <c r="G1128" s="379"/>
    </row>
    <row r="1129" spans="2:7">
      <c r="B1129" s="165"/>
      <c r="C1129" s="166"/>
      <c r="D1129" s="378"/>
      <c r="E1129" s="379"/>
      <c r="F1129" s="379"/>
      <c r="G1129" s="379"/>
    </row>
    <row r="1130" spans="2:7">
      <c r="B1130" s="165"/>
      <c r="C1130" s="166"/>
      <c r="D1130" s="378"/>
      <c r="E1130" s="379"/>
      <c r="F1130" s="379"/>
      <c r="G1130" s="379"/>
    </row>
    <row r="1131" spans="2:7">
      <c r="B1131" s="165"/>
      <c r="C1131" s="166"/>
      <c r="D1131" s="378"/>
      <c r="E1131" s="379"/>
      <c r="F1131" s="379"/>
      <c r="G1131" s="379"/>
    </row>
    <row r="1132" spans="2:7">
      <c r="B1132" s="165"/>
      <c r="C1132" s="166"/>
      <c r="D1132" s="378"/>
      <c r="E1132" s="379"/>
      <c r="F1132" s="379"/>
      <c r="G1132" s="379"/>
    </row>
    <row r="1133" spans="2:7">
      <c r="B1133" s="165"/>
      <c r="C1133" s="166"/>
      <c r="D1133" s="378"/>
      <c r="E1133" s="379"/>
      <c r="F1133" s="379"/>
      <c r="G1133" s="379"/>
    </row>
    <row r="1134" spans="2:7">
      <c r="B1134" s="165"/>
      <c r="C1134" s="166"/>
      <c r="D1134" s="378"/>
      <c r="E1134" s="379"/>
      <c r="F1134" s="379"/>
      <c r="G1134" s="379"/>
    </row>
    <row r="1135" spans="2:7">
      <c r="B1135" s="165"/>
      <c r="C1135" s="166"/>
      <c r="D1135" s="378"/>
      <c r="E1135" s="379"/>
      <c r="F1135" s="379"/>
      <c r="G1135" s="379"/>
    </row>
    <row r="1136" spans="2:7">
      <c r="B1136" s="165"/>
      <c r="C1136" s="166"/>
      <c r="D1136" s="378"/>
      <c r="E1136" s="379"/>
      <c r="F1136" s="379"/>
      <c r="G1136" s="379"/>
    </row>
    <row r="1137" spans="2:7">
      <c r="B1137" s="165"/>
      <c r="C1137" s="166"/>
      <c r="D1137" s="378"/>
      <c r="E1137" s="379"/>
      <c r="F1137" s="379"/>
      <c r="G1137" s="379"/>
    </row>
    <row r="1138" spans="2:7">
      <c r="B1138" s="165"/>
      <c r="C1138" s="166"/>
      <c r="D1138" s="378"/>
      <c r="E1138" s="379"/>
      <c r="F1138" s="379"/>
      <c r="G1138" s="379"/>
    </row>
    <row r="1139" spans="2:7">
      <c r="B1139" s="165"/>
      <c r="C1139" s="166"/>
      <c r="D1139" s="378"/>
      <c r="E1139" s="379"/>
      <c r="F1139" s="379"/>
      <c r="G1139" s="379"/>
    </row>
    <row r="1140" spans="2:7">
      <c r="B1140" s="165"/>
      <c r="C1140" s="166"/>
      <c r="D1140" s="378"/>
      <c r="E1140" s="379"/>
      <c r="F1140" s="379"/>
      <c r="G1140" s="379"/>
    </row>
    <row r="1141" spans="2:7">
      <c r="B1141" s="165"/>
      <c r="C1141" s="166"/>
      <c r="D1141" s="378"/>
      <c r="E1141" s="379"/>
      <c r="F1141" s="379"/>
      <c r="G1141" s="379"/>
    </row>
    <row r="1142" spans="2:7">
      <c r="B1142" s="165"/>
      <c r="C1142" s="166"/>
      <c r="D1142" s="378"/>
      <c r="E1142" s="379"/>
      <c r="F1142" s="379"/>
      <c r="G1142" s="379"/>
    </row>
    <row r="1143" spans="2:7">
      <c r="B1143" s="165"/>
      <c r="C1143" s="166"/>
      <c r="D1143" s="378"/>
      <c r="E1143" s="379"/>
      <c r="F1143" s="379"/>
      <c r="G1143" s="379"/>
    </row>
    <row r="1144" spans="2:7">
      <c r="B1144" s="165"/>
      <c r="C1144" s="166"/>
      <c r="D1144" s="378"/>
      <c r="E1144" s="379"/>
      <c r="F1144" s="379"/>
      <c r="G1144" s="379"/>
    </row>
    <row r="1145" spans="2:7">
      <c r="B1145" s="165"/>
      <c r="C1145" s="166"/>
      <c r="D1145" s="378"/>
      <c r="E1145" s="379"/>
      <c r="F1145" s="379"/>
      <c r="G1145" s="379"/>
    </row>
    <row r="1146" spans="2:7">
      <c r="B1146" s="165"/>
      <c r="C1146" s="166"/>
      <c r="D1146" s="378"/>
      <c r="E1146" s="379"/>
      <c r="F1146" s="379"/>
      <c r="G1146" s="379"/>
    </row>
    <row r="1147" spans="2:7">
      <c r="B1147" s="165"/>
      <c r="C1147" s="166"/>
      <c r="D1147" s="378"/>
      <c r="E1147" s="379"/>
      <c r="F1147" s="379"/>
      <c r="G1147" s="379"/>
    </row>
    <row r="1148" spans="2:7">
      <c r="B1148" s="165"/>
      <c r="C1148" s="166"/>
      <c r="D1148" s="378"/>
      <c r="E1148" s="379"/>
      <c r="F1148" s="379"/>
      <c r="G1148" s="379"/>
    </row>
    <row r="1149" spans="2:7">
      <c r="B1149" s="165"/>
      <c r="C1149" s="166"/>
      <c r="D1149" s="378"/>
      <c r="E1149" s="379"/>
      <c r="F1149" s="379"/>
      <c r="G1149" s="379"/>
    </row>
    <row r="1150" spans="2:7">
      <c r="B1150" s="165"/>
      <c r="C1150" s="166"/>
      <c r="D1150" s="378"/>
      <c r="E1150" s="379"/>
      <c r="F1150" s="379"/>
      <c r="G1150" s="379"/>
    </row>
    <row r="1151" spans="2:7">
      <c r="B1151" s="165"/>
      <c r="C1151" s="166"/>
      <c r="D1151" s="378"/>
      <c r="E1151" s="379"/>
      <c r="F1151" s="379"/>
      <c r="G1151" s="379"/>
    </row>
    <row r="1152" spans="2:7">
      <c r="B1152" s="165"/>
      <c r="C1152" s="166"/>
      <c r="D1152" s="378"/>
      <c r="E1152" s="379"/>
      <c r="F1152" s="379"/>
      <c r="G1152" s="379"/>
    </row>
    <row r="1153" spans="2:7">
      <c r="B1153" s="165"/>
      <c r="C1153" s="166"/>
      <c r="D1153" s="378"/>
      <c r="E1153" s="379"/>
      <c r="F1153" s="379"/>
      <c r="G1153" s="379"/>
    </row>
    <row r="1154" spans="2:7">
      <c r="B1154" s="165"/>
      <c r="C1154" s="166"/>
      <c r="D1154" s="378"/>
      <c r="E1154" s="379"/>
      <c r="F1154" s="379"/>
      <c r="G1154" s="379"/>
    </row>
    <row r="1155" spans="2:7">
      <c r="B1155" s="165"/>
      <c r="C1155" s="166"/>
      <c r="D1155" s="378"/>
      <c r="E1155" s="379"/>
      <c r="F1155" s="379"/>
      <c r="G1155" s="379"/>
    </row>
    <row r="1156" spans="2:7">
      <c r="B1156" s="165"/>
      <c r="C1156" s="166"/>
      <c r="D1156" s="378"/>
      <c r="E1156" s="379"/>
      <c r="F1156" s="379"/>
      <c r="G1156" s="379"/>
    </row>
    <row r="1157" spans="2:7">
      <c r="B1157" s="165"/>
      <c r="C1157" s="166"/>
      <c r="D1157" s="378"/>
      <c r="E1157" s="379"/>
      <c r="F1157" s="379"/>
      <c r="G1157" s="379"/>
    </row>
    <row r="1158" spans="2:7">
      <c r="B1158" s="165"/>
      <c r="C1158" s="166"/>
      <c r="D1158" s="378"/>
      <c r="E1158" s="379"/>
      <c r="F1158" s="379"/>
      <c r="G1158" s="379"/>
    </row>
    <row r="1159" spans="2:7">
      <c r="B1159" s="165"/>
      <c r="C1159" s="166"/>
      <c r="D1159" s="378"/>
      <c r="E1159" s="379"/>
      <c r="F1159" s="379"/>
      <c r="G1159" s="379"/>
    </row>
    <row r="1160" spans="2:7">
      <c r="B1160" s="165"/>
      <c r="C1160" s="166"/>
      <c r="D1160" s="378"/>
      <c r="E1160" s="379"/>
      <c r="F1160" s="379"/>
      <c r="G1160" s="379"/>
    </row>
    <row r="1161" spans="2:7">
      <c r="B1161" s="165"/>
      <c r="C1161" s="166"/>
      <c r="D1161" s="378"/>
      <c r="E1161" s="379"/>
      <c r="F1161" s="379"/>
      <c r="G1161" s="379"/>
    </row>
    <row r="1162" spans="2:7">
      <c r="B1162" s="165"/>
      <c r="C1162" s="166"/>
      <c r="D1162" s="378"/>
      <c r="E1162" s="379"/>
      <c r="F1162" s="379"/>
      <c r="G1162" s="379"/>
    </row>
    <row r="1163" spans="2:7">
      <c r="B1163" s="165"/>
      <c r="C1163" s="166"/>
      <c r="D1163" s="378"/>
      <c r="E1163" s="379"/>
      <c r="F1163" s="379"/>
      <c r="G1163" s="379"/>
    </row>
    <row r="1164" spans="2:7">
      <c r="B1164" s="165"/>
      <c r="C1164" s="166"/>
      <c r="D1164" s="378"/>
      <c r="E1164" s="379"/>
      <c r="F1164" s="379"/>
      <c r="G1164" s="379"/>
    </row>
    <row r="1165" spans="2:7">
      <c r="B1165" s="165"/>
      <c r="C1165" s="166"/>
      <c r="D1165" s="378"/>
      <c r="E1165" s="379"/>
      <c r="F1165" s="379"/>
      <c r="G1165" s="379"/>
    </row>
    <row r="1166" spans="2:7">
      <c r="B1166" s="165"/>
      <c r="C1166" s="166"/>
      <c r="D1166" s="378"/>
      <c r="E1166" s="379"/>
      <c r="F1166" s="379"/>
      <c r="G1166" s="379"/>
    </row>
    <row r="1167" spans="2:7">
      <c r="B1167" s="165"/>
      <c r="C1167" s="166"/>
      <c r="D1167" s="378"/>
      <c r="E1167" s="379"/>
      <c r="F1167" s="379"/>
      <c r="G1167" s="379"/>
    </row>
    <row r="1168" spans="2:7">
      <c r="B1168" s="165"/>
      <c r="C1168" s="166"/>
      <c r="D1168" s="378"/>
      <c r="E1168" s="379"/>
      <c r="F1168" s="379"/>
      <c r="G1168" s="379"/>
    </row>
    <row r="1169" spans="2:7">
      <c r="B1169" s="165"/>
      <c r="C1169" s="166"/>
      <c r="D1169" s="378"/>
      <c r="E1169" s="379"/>
      <c r="F1169" s="379"/>
      <c r="G1169" s="379"/>
    </row>
    <row r="1170" spans="2:7">
      <c r="B1170" s="165"/>
      <c r="C1170" s="166"/>
      <c r="D1170" s="378"/>
      <c r="E1170" s="379"/>
      <c r="F1170" s="379"/>
      <c r="G1170" s="379"/>
    </row>
    <row r="1171" spans="2:7">
      <c r="B1171" s="165"/>
      <c r="C1171" s="166"/>
      <c r="D1171" s="378"/>
      <c r="E1171" s="379"/>
      <c r="F1171" s="379"/>
      <c r="G1171" s="379"/>
    </row>
    <row r="1172" spans="2:7">
      <c r="B1172" s="165"/>
      <c r="C1172" s="166"/>
      <c r="D1172" s="378"/>
      <c r="E1172" s="379"/>
      <c r="F1172" s="379"/>
      <c r="G1172" s="379"/>
    </row>
    <row r="1173" spans="2:7">
      <c r="B1173" s="165"/>
      <c r="C1173" s="166"/>
      <c r="D1173" s="378"/>
      <c r="E1173" s="379"/>
      <c r="F1173" s="379"/>
      <c r="G1173" s="379"/>
    </row>
    <row r="1174" spans="2:7">
      <c r="B1174" s="165"/>
      <c r="C1174" s="166"/>
      <c r="D1174" s="378"/>
      <c r="E1174" s="379"/>
      <c r="F1174" s="379"/>
      <c r="G1174" s="379"/>
    </row>
    <row r="1175" spans="2:7">
      <c r="B1175" s="165"/>
      <c r="C1175" s="166"/>
      <c r="D1175" s="378"/>
      <c r="E1175" s="379"/>
      <c r="F1175" s="379"/>
      <c r="G1175" s="379"/>
    </row>
    <row r="1176" spans="2:7">
      <c r="B1176" s="165"/>
      <c r="C1176" s="166"/>
      <c r="D1176" s="378"/>
      <c r="E1176" s="379"/>
      <c r="F1176" s="379"/>
      <c r="G1176" s="379"/>
    </row>
    <row r="1177" spans="2:7">
      <c r="B1177" s="165"/>
      <c r="C1177" s="166"/>
      <c r="D1177" s="378"/>
      <c r="E1177" s="379"/>
      <c r="F1177" s="379"/>
      <c r="G1177" s="379"/>
    </row>
    <row r="1178" spans="2:7">
      <c r="B1178" s="165"/>
      <c r="C1178" s="166"/>
      <c r="D1178" s="378"/>
      <c r="E1178" s="379"/>
      <c r="F1178" s="379"/>
      <c r="G1178" s="379"/>
    </row>
    <row r="1179" spans="2:7">
      <c r="B1179" s="165"/>
      <c r="C1179" s="166"/>
      <c r="D1179" s="378"/>
      <c r="E1179" s="379"/>
      <c r="F1179" s="379"/>
      <c r="G1179" s="379"/>
    </row>
    <row r="1180" spans="2:7">
      <c r="B1180" s="165"/>
      <c r="C1180" s="166"/>
      <c r="D1180" s="378"/>
      <c r="E1180" s="379"/>
      <c r="F1180" s="379"/>
      <c r="G1180" s="379"/>
    </row>
    <row r="1181" spans="2:7">
      <c r="B1181" s="165"/>
      <c r="C1181" s="166"/>
      <c r="D1181" s="378"/>
      <c r="E1181" s="379"/>
      <c r="F1181" s="379"/>
      <c r="G1181" s="379"/>
    </row>
    <row r="1182" spans="2:7">
      <c r="B1182" s="165"/>
      <c r="C1182" s="166"/>
      <c r="D1182" s="378"/>
      <c r="E1182" s="379"/>
      <c r="F1182" s="379"/>
      <c r="G1182" s="379"/>
    </row>
    <row r="1183" spans="2:7">
      <c r="B1183" s="165"/>
      <c r="C1183" s="166"/>
      <c r="D1183" s="378"/>
      <c r="E1183" s="379"/>
      <c r="F1183" s="379"/>
      <c r="G1183" s="379"/>
    </row>
    <row r="1184" spans="2:7">
      <c r="B1184" s="165"/>
      <c r="C1184" s="166"/>
      <c r="D1184" s="378"/>
      <c r="E1184" s="379"/>
      <c r="F1184" s="379"/>
      <c r="G1184" s="379"/>
    </row>
    <row r="1185" spans="2:7">
      <c r="B1185" s="165"/>
      <c r="C1185" s="166"/>
      <c r="D1185" s="378"/>
      <c r="E1185" s="379"/>
      <c r="F1185" s="379"/>
      <c r="G1185" s="379"/>
    </row>
    <row r="1186" spans="2:7">
      <c r="B1186" s="165"/>
      <c r="C1186" s="166"/>
      <c r="D1186" s="378"/>
      <c r="E1186" s="379"/>
      <c r="F1186" s="379"/>
      <c r="G1186" s="379"/>
    </row>
    <row r="1187" spans="2:7">
      <c r="B1187" s="165"/>
      <c r="C1187" s="166"/>
      <c r="D1187" s="378"/>
      <c r="E1187" s="379"/>
      <c r="F1187" s="379"/>
      <c r="G1187" s="379"/>
    </row>
    <row r="1188" spans="2:7">
      <c r="B1188" s="165"/>
      <c r="C1188" s="166"/>
      <c r="D1188" s="378"/>
      <c r="E1188" s="379"/>
      <c r="F1188" s="379"/>
      <c r="G1188" s="379"/>
    </row>
    <row r="1189" spans="2:7">
      <c r="B1189" s="165"/>
      <c r="C1189" s="166"/>
      <c r="D1189" s="378"/>
      <c r="E1189" s="379"/>
      <c r="F1189" s="379"/>
      <c r="G1189" s="379"/>
    </row>
    <row r="1190" spans="2:7">
      <c r="B1190" s="165"/>
      <c r="C1190" s="166"/>
      <c r="D1190" s="378"/>
      <c r="E1190" s="379"/>
      <c r="F1190" s="379"/>
      <c r="G1190" s="379"/>
    </row>
    <row r="1191" spans="2:7">
      <c r="B1191" s="165"/>
      <c r="C1191" s="166"/>
      <c r="D1191" s="378"/>
      <c r="E1191" s="379"/>
      <c r="F1191" s="379"/>
      <c r="G1191" s="379"/>
    </row>
    <row r="1192" spans="2:7">
      <c r="B1192" s="165"/>
      <c r="C1192" s="166"/>
      <c r="D1192" s="378"/>
      <c r="E1192" s="379"/>
      <c r="F1192" s="379"/>
      <c r="G1192" s="379"/>
    </row>
    <row r="1193" spans="2:7">
      <c r="B1193" s="165"/>
      <c r="C1193" s="166"/>
      <c r="D1193" s="378"/>
      <c r="E1193" s="379"/>
      <c r="F1193" s="379"/>
      <c r="G1193" s="379"/>
    </row>
    <row r="1194" spans="2:7">
      <c r="B1194" s="165"/>
      <c r="C1194" s="166"/>
      <c r="D1194" s="378"/>
      <c r="E1194" s="379"/>
      <c r="F1194" s="379"/>
      <c r="G1194" s="379"/>
    </row>
    <row r="1195" spans="2:7">
      <c r="B1195" s="165"/>
      <c r="C1195" s="166"/>
      <c r="D1195" s="378"/>
      <c r="E1195" s="379"/>
      <c r="F1195" s="379"/>
      <c r="G1195" s="379"/>
    </row>
    <row r="1196" spans="2:7">
      <c r="B1196" s="165"/>
      <c r="C1196" s="166"/>
      <c r="D1196" s="378"/>
      <c r="E1196" s="379"/>
      <c r="F1196" s="379"/>
      <c r="G1196" s="379"/>
    </row>
    <row r="1197" spans="2:7">
      <c r="B1197" s="165"/>
      <c r="C1197" s="166"/>
      <c r="D1197" s="378"/>
      <c r="E1197" s="379"/>
      <c r="F1197" s="379"/>
      <c r="G1197" s="379"/>
    </row>
    <row r="1198" spans="2:7">
      <c r="B1198" s="165"/>
      <c r="C1198" s="166"/>
      <c r="D1198" s="378"/>
      <c r="E1198" s="379"/>
      <c r="F1198" s="379"/>
      <c r="G1198" s="379"/>
    </row>
    <row r="1199" spans="2:7">
      <c r="B1199" s="165"/>
      <c r="C1199" s="166"/>
      <c r="D1199" s="378"/>
      <c r="E1199" s="379"/>
      <c r="F1199" s="379"/>
      <c r="G1199" s="379"/>
    </row>
    <row r="1200" spans="2:7">
      <c r="B1200" s="165"/>
      <c r="C1200" s="166"/>
      <c r="D1200" s="378"/>
      <c r="E1200" s="379"/>
      <c r="F1200" s="379"/>
      <c r="G1200" s="379"/>
    </row>
    <row r="1201" spans="2:7">
      <c r="B1201" s="165"/>
      <c r="C1201" s="166"/>
      <c r="D1201" s="378"/>
      <c r="E1201" s="379"/>
      <c r="F1201" s="379"/>
      <c r="G1201" s="379"/>
    </row>
    <row r="1202" spans="2:7">
      <c r="B1202" s="165"/>
      <c r="C1202" s="166"/>
      <c r="D1202" s="378"/>
      <c r="E1202" s="379"/>
      <c r="F1202" s="379"/>
      <c r="G1202" s="379"/>
    </row>
    <row r="1203" spans="2:7">
      <c r="B1203" s="165"/>
      <c r="C1203" s="166"/>
      <c r="D1203" s="378"/>
      <c r="E1203" s="379"/>
      <c r="F1203" s="379"/>
      <c r="G1203" s="379"/>
    </row>
    <row r="1204" spans="2:7">
      <c r="B1204" s="165"/>
      <c r="C1204" s="166"/>
      <c r="D1204" s="378"/>
      <c r="E1204" s="379"/>
      <c r="F1204" s="379"/>
      <c r="G1204" s="379"/>
    </row>
    <row r="1205" spans="2:7">
      <c r="B1205" s="165"/>
      <c r="C1205" s="166"/>
      <c r="D1205" s="378"/>
      <c r="E1205" s="379"/>
      <c r="F1205" s="379"/>
      <c r="G1205" s="379"/>
    </row>
    <row r="1206" spans="2:7">
      <c r="B1206" s="165"/>
      <c r="C1206" s="166"/>
      <c r="D1206" s="378"/>
      <c r="E1206" s="379"/>
      <c r="F1206" s="379"/>
      <c r="G1206" s="379"/>
    </row>
    <row r="1207" spans="2:7">
      <c r="B1207" s="165"/>
      <c r="C1207" s="166"/>
      <c r="D1207" s="378"/>
      <c r="E1207" s="379"/>
      <c r="F1207" s="379"/>
      <c r="G1207" s="379"/>
    </row>
    <row r="1208" spans="2:7">
      <c r="B1208" s="165"/>
      <c r="C1208" s="166"/>
      <c r="D1208" s="378"/>
      <c r="E1208" s="379"/>
      <c r="F1208" s="379"/>
      <c r="G1208" s="379"/>
    </row>
    <row r="1209" spans="2:7">
      <c r="B1209" s="165"/>
      <c r="C1209" s="166"/>
      <c r="D1209" s="378"/>
      <c r="E1209" s="379"/>
      <c r="F1209" s="379"/>
      <c r="G1209" s="379"/>
    </row>
    <row r="1210" spans="2:7">
      <c r="B1210" s="165"/>
      <c r="C1210" s="166"/>
      <c r="D1210" s="378"/>
      <c r="E1210" s="379"/>
      <c r="F1210" s="379"/>
      <c r="G1210" s="379"/>
    </row>
    <row r="1211" spans="2:7">
      <c r="B1211" s="165"/>
      <c r="C1211" s="166"/>
      <c r="D1211" s="378"/>
      <c r="E1211" s="379"/>
      <c r="F1211" s="379"/>
      <c r="G1211" s="379"/>
    </row>
    <row r="1212" spans="2:7">
      <c r="B1212" s="165"/>
      <c r="C1212" s="166"/>
      <c r="D1212" s="378"/>
      <c r="E1212" s="379"/>
      <c r="F1212" s="379"/>
      <c r="G1212" s="379"/>
    </row>
    <row r="1213" spans="2:7">
      <c r="B1213" s="165"/>
      <c r="C1213" s="166"/>
      <c r="D1213" s="378"/>
      <c r="E1213" s="379"/>
      <c r="F1213" s="379"/>
      <c r="G1213" s="379"/>
    </row>
    <row r="1214" spans="2:7">
      <c r="B1214" s="165"/>
      <c r="C1214" s="166"/>
      <c r="D1214" s="378"/>
      <c r="E1214" s="379"/>
      <c r="F1214" s="379"/>
      <c r="G1214" s="379"/>
    </row>
    <row r="1215" spans="2:7">
      <c r="B1215" s="165"/>
      <c r="C1215" s="166"/>
      <c r="D1215" s="378"/>
      <c r="E1215" s="379"/>
      <c r="F1215" s="379"/>
      <c r="G1215" s="379"/>
    </row>
    <row r="1216" spans="2:7">
      <c r="B1216" s="165"/>
      <c r="C1216" s="166"/>
      <c r="D1216" s="378"/>
      <c r="E1216" s="379"/>
      <c r="F1216" s="379"/>
      <c r="G1216" s="379"/>
    </row>
    <row r="1217" spans="2:7">
      <c r="B1217" s="165"/>
      <c r="C1217" s="166"/>
      <c r="D1217" s="378"/>
      <c r="E1217" s="379"/>
      <c r="F1217" s="379"/>
      <c r="G1217" s="379"/>
    </row>
    <row r="1218" spans="2:7">
      <c r="B1218" s="165"/>
      <c r="C1218" s="166"/>
      <c r="D1218" s="378"/>
      <c r="E1218" s="379"/>
      <c r="F1218" s="379"/>
      <c r="G1218" s="379"/>
    </row>
    <row r="1219" spans="2:7">
      <c r="B1219" s="165"/>
      <c r="C1219" s="166"/>
      <c r="D1219" s="378"/>
      <c r="E1219" s="379"/>
      <c r="F1219" s="379"/>
      <c r="G1219" s="379"/>
    </row>
    <row r="1220" spans="2:7">
      <c r="B1220" s="165"/>
      <c r="C1220" s="166"/>
      <c r="D1220" s="378"/>
      <c r="E1220" s="379"/>
      <c r="F1220" s="379"/>
      <c r="G1220" s="379"/>
    </row>
    <row r="1221" spans="2:7">
      <c r="B1221" s="165"/>
      <c r="C1221" s="166"/>
      <c r="D1221" s="378"/>
      <c r="E1221" s="379"/>
      <c r="F1221" s="379"/>
      <c r="G1221" s="379"/>
    </row>
    <row r="1222" spans="2:7">
      <c r="B1222" s="165"/>
      <c r="C1222" s="166"/>
      <c r="D1222" s="378"/>
      <c r="E1222" s="379"/>
      <c r="F1222" s="379"/>
      <c r="G1222" s="379"/>
    </row>
    <row r="1223" spans="2:7">
      <c r="B1223" s="165"/>
      <c r="C1223" s="166"/>
      <c r="D1223" s="378"/>
      <c r="E1223" s="379"/>
      <c r="F1223" s="379"/>
      <c r="G1223" s="379"/>
    </row>
    <row r="1224" spans="2:7">
      <c r="B1224" s="165"/>
      <c r="C1224" s="166"/>
      <c r="D1224" s="378"/>
      <c r="E1224" s="379"/>
      <c r="F1224" s="379"/>
      <c r="G1224" s="379"/>
    </row>
    <row r="1225" spans="2:7">
      <c r="B1225" s="165"/>
      <c r="C1225" s="166"/>
      <c r="D1225" s="378"/>
      <c r="E1225" s="379"/>
      <c r="F1225" s="379"/>
      <c r="G1225" s="379"/>
    </row>
    <row r="1226" spans="2:7">
      <c r="B1226" s="165"/>
      <c r="C1226" s="166"/>
      <c r="D1226" s="378"/>
      <c r="E1226" s="379"/>
      <c r="F1226" s="379"/>
      <c r="G1226" s="379"/>
    </row>
    <row r="1227" spans="2:7">
      <c r="B1227" s="165"/>
      <c r="C1227" s="166"/>
      <c r="D1227" s="378"/>
      <c r="E1227" s="379"/>
      <c r="F1227" s="379"/>
      <c r="G1227" s="379"/>
    </row>
    <row r="1228" spans="2:7">
      <c r="B1228" s="165"/>
      <c r="C1228" s="166"/>
      <c r="D1228" s="378"/>
      <c r="E1228" s="379"/>
      <c r="F1228" s="379"/>
      <c r="G1228" s="379"/>
    </row>
    <row r="1229" spans="2:7">
      <c r="B1229" s="165"/>
      <c r="C1229" s="166"/>
      <c r="D1229" s="378"/>
      <c r="E1229" s="379"/>
      <c r="F1229" s="379"/>
      <c r="G1229" s="379"/>
    </row>
    <row r="1230" spans="2:7">
      <c r="B1230" s="165"/>
      <c r="C1230" s="166"/>
      <c r="D1230" s="378"/>
      <c r="E1230" s="379"/>
      <c r="F1230" s="379"/>
      <c r="G1230" s="379"/>
    </row>
    <row r="1231" spans="2:7">
      <c r="B1231" s="165"/>
      <c r="C1231" s="166"/>
      <c r="D1231" s="378"/>
      <c r="E1231" s="379"/>
      <c r="F1231" s="379"/>
      <c r="G1231" s="379"/>
    </row>
    <row r="1232" spans="2:7">
      <c r="B1232" s="165"/>
      <c r="C1232" s="166"/>
      <c r="D1232" s="378"/>
      <c r="E1232" s="379"/>
      <c r="F1232" s="379"/>
      <c r="G1232" s="379"/>
    </row>
    <row r="1233" spans="2:7">
      <c r="B1233" s="165"/>
      <c r="C1233" s="166"/>
      <c r="D1233" s="378"/>
      <c r="E1233" s="379"/>
      <c r="F1233" s="379"/>
      <c r="G1233" s="379"/>
    </row>
    <row r="1234" spans="2:7">
      <c r="B1234" s="165"/>
      <c r="C1234" s="166"/>
      <c r="D1234" s="378"/>
      <c r="E1234" s="379"/>
      <c r="F1234" s="379"/>
      <c r="G1234" s="379"/>
    </row>
    <row r="1235" spans="2:7">
      <c r="B1235" s="165"/>
      <c r="C1235" s="166"/>
      <c r="D1235" s="378"/>
      <c r="E1235" s="379"/>
      <c r="F1235" s="379"/>
      <c r="G1235" s="379"/>
    </row>
    <row r="1236" spans="2:7">
      <c r="B1236" s="165"/>
      <c r="C1236" s="166"/>
      <c r="D1236" s="378"/>
      <c r="E1236" s="379"/>
      <c r="F1236" s="379"/>
      <c r="G1236" s="379"/>
    </row>
    <row r="1237" spans="2:7">
      <c r="B1237" s="165"/>
      <c r="C1237" s="166"/>
      <c r="D1237" s="378"/>
      <c r="E1237" s="379"/>
      <c r="F1237" s="379"/>
      <c r="G1237" s="379"/>
    </row>
    <row r="1238" spans="2:7">
      <c r="B1238" s="165"/>
      <c r="C1238" s="166"/>
      <c r="D1238" s="378"/>
      <c r="E1238" s="379"/>
      <c r="F1238" s="379"/>
      <c r="G1238" s="379"/>
    </row>
    <row r="1239" spans="2:7">
      <c r="B1239" s="165"/>
      <c r="C1239" s="166"/>
      <c r="D1239" s="378"/>
      <c r="E1239" s="379"/>
      <c r="F1239" s="379"/>
      <c r="G1239" s="379"/>
    </row>
    <row r="1240" spans="2:7">
      <c r="B1240" s="165"/>
      <c r="C1240" s="166"/>
      <c r="D1240" s="378"/>
      <c r="E1240" s="379"/>
      <c r="F1240" s="379"/>
      <c r="G1240" s="379"/>
    </row>
    <row r="1241" spans="2:7">
      <c r="B1241" s="165"/>
      <c r="C1241" s="166"/>
      <c r="D1241" s="378"/>
      <c r="E1241" s="379"/>
      <c r="F1241" s="379"/>
      <c r="G1241" s="379"/>
    </row>
    <row r="1242" spans="2:7">
      <c r="B1242" s="165"/>
      <c r="C1242" s="166"/>
      <c r="D1242" s="378"/>
      <c r="E1242" s="379"/>
      <c r="F1242" s="379"/>
      <c r="G1242" s="379"/>
    </row>
    <row r="1243" spans="2:7">
      <c r="B1243" s="165"/>
      <c r="C1243" s="166"/>
      <c r="D1243" s="378"/>
      <c r="E1243" s="379"/>
      <c r="F1243" s="379"/>
      <c r="G1243" s="379"/>
    </row>
    <row r="1244" spans="2:7">
      <c r="B1244" s="165"/>
      <c r="C1244" s="166"/>
      <c r="D1244" s="378"/>
      <c r="E1244" s="379"/>
      <c r="F1244" s="379"/>
      <c r="G1244" s="379"/>
    </row>
    <row r="1245" spans="2:7">
      <c r="B1245" s="165"/>
      <c r="C1245" s="166"/>
      <c r="D1245" s="378"/>
      <c r="E1245" s="379"/>
      <c r="F1245" s="379"/>
      <c r="G1245" s="379"/>
    </row>
    <row r="1246" spans="2:7">
      <c r="B1246" s="165"/>
      <c r="C1246" s="166"/>
      <c r="D1246" s="378"/>
      <c r="E1246" s="379"/>
      <c r="F1246" s="379"/>
      <c r="G1246" s="379"/>
    </row>
    <row r="1247" spans="2:7">
      <c r="B1247" s="165"/>
      <c r="C1247" s="166"/>
      <c r="D1247" s="378"/>
      <c r="E1247" s="379"/>
      <c r="F1247" s="379"/>
      <c r="G1247" s="379"/>
    </row>
    <row r="1248" spans="2:7">
      <c r="B1248" s="165"/>
      <c r="C1248" s="166"/>
      <c r="D1248" s="378"/>
      <c r="E1248" s="379"/>
      <c r="F1248" s="379"/>
      <c r="G1248" s="379"/>
    </row>
    <row r="1249" spans="2:7">
      <c r="B1249" s="165"/>
      <c r="C1249" s="166"/>
      <c r="D1249" s="378"/>
      <c r="E1249" s="379"/>
      <c r="F1249" s="379"/>
      <c r="G1249" s="379"/>
    </row>
    <row r="1250" spans="2:7">
      <c r="B1250" s="165"/>
      <c r="C1250" s="166"/>
      <c r="D1250" s="378"/>
      <c r="E1250" s="379"/>
      <c r="F1250" s="379"/>
      <c r="G1250" s="379"/>
    </row>
    <row r="1251" spans="2:7">
      <c r="B1251" s="165"/>
      <c r="C1251" s="166"/>
      <c r="D1251" s="378"/>
      <c r="E1251" s="379"/>
      <c r="F1251" s="379"/>
      <c r="G1251" s="379"/>
    </row>
    <row r="1252" spans="2:7">
      <c r="B1252" s="165"/>
      <c r="C1252" s="166"/>
      <c r="D1252" s="378"/>
      <c r="E1252" s="379"/>
      <c r="F1252" s="379"/>
      <c r="G1252" s="379"/>
    </row>
    <row r="1253" spans="2:7">
      <c r="B1253" s="165"/>
      <c r="C1253" s="166"/>
      <c r="D1253" s="378"/>
      <c r="E1253" s="379"/>
      <c r="F1253" s="379"/>
      <c r="G1253" s="379"/>
    </row>
    <row r="1254" spans="2:7">
      <c r="B1254" s="165"/>
      <c r="C1254" s="166"/>
      <c r="D1254" s="378"/>
      <c r="E1254" s="379"/>
      <c r="F1254" s="379"/>
      <c r="G1254" s="379"/>
    </row>
    <row r="1255" spans="2:7">
      <c r="B1255" s="165"/>
      <c r="C1255" s="166"/>
      <c r="D1255" s="378"/>
      <c r="E1255" s="379"/>
      <c r="F1255" s="379"/>
      <c r="G1255" s="379"/>
    </row>
    <row r="1256" spans="2:7">
      <c r="B1256" s="165"/>
      <c r="C1256" s="166"/>
      <c r="D1256" s="378"/>
      <c r="E1256" s="379"/>
      <c r="F1256" s="379"/>
      <c r="G1256" s="379"/>
    </row>
    <row r="1257" spans="2:7">
      <c r="B1257" s="165"/>
      <c r="C1257" s="166"/>
      <c r="D1257" s="378"/>
      <c r="E1257" s="379"/>
      <c r="F1257" s="379"/>
      <c r="G1257" s="379"/>
    </row>
    <row r="1258" spans="2:7">
      <c r="B1258" s="165"/>
      <c r="C1258" s="166"/>
      <c r="D1258" s="378"/>
      <c r="E1258" s="379"/>
      <c r="F1258" s="379"/>
      <c r="G1258" s="379"/>
    </row>
    <row r="1259" spans="2:7">
      <c r="B1259" s="165"/>
      <c r="C1259" s="166"/>
      <c r="D1259" s="378"/>
      <c r="E1259" s="379"/>
      <c r="F1259" s="379"/>
      <c r="G1259" s="379"/>
    </row>
    <row r="1260" spans="2:7">
      <c r="B1260" s="165"/>
      <c r="C1260" s="166"/>
      <c r="D1260" s="378"/>
      <c r="E1260" s="379"/>
      <c r="F1260" s="379"/>
      <c r="G1260" s="379"/>
    </row>
    <row r="1261" spans="2:7">
      <c r="B1261" s="165"/>
      <c r="C1261" s="166"/>
      <c r="D1261" s="378"/>
      <c r="E1261" s="379"/>
      <c r="F1261" s="379"/>
      <c r="G1261" s="379"/>
    </row>
    <row r="1262" spans="2:7">
      <c r="B1262" s="165"/>
      <c r="C1262" s="166"/>
      <c r="D1262" s="378"/>
      <c r="E1262" s="379"/>
      <c r="F1262" s="379"/>
      <c r="G1262" s="379"/>
    </row>
    <row r="1263" spans="2:7">
      <c r="B1263" s="165"/>
      <c r="C1263" s="166"/>
      <c r="D1263" s="378"/>
      <c r="E1263" s="379"/>
      <c r="F1263" s="379"/>
      <c r="G1263" s="379"/>
    </row>
    <row r="1264" spans="2:7">
      <c r="B1264" s="165"/>
      <c r="C1264" s="166"/>
      <c r="D1264" s="378"/>
      <c r="E1264" s="379"/>
      <c r="F1264" s="379"/>
      <c r="G1264" s="379"/>
    </row>
    <row r="1265" spans="2:7">
      <c r="B1265" s="165"/>
      <c r="C1265" s="166"/>
      <c r="D1265" s="378"/>
      <c r="E1265" s="379"/>
      <c r="F1265" s="379"/>
      <c r="G1265" s="379"/>
    </row>
    <row r="1266" spans="2:7">
      <c r="B1266" s="165"/>
      <c r="C1266" s="166"/>
      <c r="D1266" s="378"/>
      <c r="E1266" s="379"/>
      <c r="F1266" s="379"/>
      <c r="G1266" s="379"/>
    </row>
    <row r="1267" spans="2:7">
      <c r="B1267" s="165"/>
      <c r="C1267" s="166"/>
      <c r="D1267" s="378"/>
      <c r="E1267" s="379"/>
      <c r="F1267" s="379"/>
      <c r="G1267" s="379"/>
    </row>
    <row r="1268" spans="2:7">
      <c r="B1268" s="165"/>
      <c r="C1268" s="166"/>
      <c r="D1268" s="378"/>
      <c r="E1268" s="379"/>
      <c r="F1268" s="379"/>
      <c r="G1268" s="379"/>
    </row>
    <row r="1269" spans="2:7">
      <c r="B1269" s="165"/>
      <c r="C1269" s="166"/>
      <c r="D1269" s="378"/>
      <c r="E1269" s="379"/>
      <c r="F1269" s="379"/>
      <c r="G1269" s="379"/>
    </row>
    <row r="1270" spans="2:7">
      <c r="B1270" s="165"/>
      <c r="C1270" s="166"/>
      <c r="D1270" s="378"/>
      <c r="E1270" s="379"/>
      <c r="F1270" s="379"/>
      <c r="G1270" s="379"/>
    </row>
    <row r="1271" spans="2:7">
      <c r="B1271" s="165"/>
      <c r="C1271" s="166"/>
      <c r="D1271" s="378"/>
      <c r="E1271" s="379"/>
      <c r="F1271" s="379"/>
      <c r="G1271" s="379"/>
    </row>
    <row r="1272" spans="2:7">
      <c r="B1272" s="165"/>
      <c r="C1272" s="166"/>
      <c r="D1272" s="378"/>
      <c r="E1272" s="379"/>
      <c r="F1272" s="379"/>
      <c r="G1272" s="379"/>
    </row>
    <row r="1273" spans="2:7">
      <c r="B1273" s="165"/>
      <c r="C1273" s="166"/>
      <c r="D1273" s="378"/>
      <c r="E1273" s="379"/>
      <c r="F1273" s="379"/>
      <c r="G1273" s="379"/>
    </row>
    <row r="1274" spans="2:7">
      <c r="B1274" s="165"/>
      <c r="C1274" s="166"/>
      <c r="D1274" s="378"/>
      <c r="E1274" s="379"/>
      <c r="F1274" s="379"/>
      <c r="G1274" s="379"/>
    </row>
    <row r="1275" spans="2:7">
      <c r="B1275" s="165"/>
      <c r="C1275" s="166"/>
      <c r="D1275" s="378"/>
      <c r="E1275" s="379"/>
      <c r="F1275" s="379"/>
      <c r="G1275" s="379"/>
    </row>
    <row r="1276" spans="2:7">
      <c r="B1276" s="165"/>
      <c r="C1276" s="166"/>
      <c r="D1276" s="378"/>
      <c r="E1276" s="379"/>
      <c r="F1276" s="379"/>
      <c r="G1276" s="379"/>
    </row>
    <row r="1277" spans="2:7">
      <c r="B1277" s="165"/>
      <c r="C1277" s="166"/>
      <c r="D1277" s="378"/>
      <c r="E1277" s="379"/>
      <c r="F1277" s="379"/>
      <c r="G1277" s="379"/>
    </row>
    <row r="1278" spans="2:7">
      <c r="B1278" s="165"/>
      <c r="C1278" s="166"/>
      <c r="D1278" s="378"/>
      <c r="E1278" s="379"/>
      <c r="F1278" s="379"/>
      <c r="G1278" s="379"/>
    </row>
    <row r="1279" spans="2:7">
      <c r="B1279" s="165"/>
      <c r="C1279" s="166"/>
      <c r="D1279" s="378"/>
      <c r="E1279" s="379"/>
      <c r="F1279" s="379"/>
      <c r="G1279" s="379"/>
    </row>
    <row r="1280" spans="2:7">
      <c r="B1280" s="165"/>
      <c r="C1280" s="166"/>
      <c r="D1280" s="378"/>
      <c r="E1280" s="379"/>
      <c r="F1280" s="379"/>
      <c r="G1280" s="379"/>
    </row>
    <row r="1281" spans="2:7">
      <c r="B1281" s="165"/>
      <c r="C1281" s="166"/>
      <c r="D1281" s="378"/>
      <c r="E1281" s="379"/>
      <c r="F1281" s="379"/>
      <c r="G1281" s="379"/>
    </row>
    <row r="1282" spans="2:7">
      <c r="B1282" s="165"/>
      <c r="C1282" s="166"/>
      <c r="D1282" s="378"/>
      <c r="E1282" s="379"/>
      <c r="F1282" s="379"/>
      <c r="G1282" s="379"/>
    </row>
    <row r="1283" spans="2:7">
      <c r="B1283" s="165"/>
      <c r="C1283" s="166"/>
      <c r="D1283" s="378"/>
      <c r="E1283" s="379"/>
      <c r="F1283" s="379"/>
      <c r="G1283" s="379"/>
    </row>
    <row r="1284" spans="2:7">
      <c r="B1284" s="165"/>
      <c r="C1284" s="166"/>
      <c r="D1284" s="378"/>
      <c r="E1284" s="379"/>
      <c r="F1284" s="379"/>
      <c r="G1284" s="379"/>
    </row>
    <row r="1285" spans="2:7">
      <c r="B1285" s="165"/>
      <c r="C1285" s="166"/>
      <c r="D1285" s="378"/>
      <c r="E1285" s="379"/>
      <c r="F1285" s="379"/>
      <c r="G1285" s="379"/>
    </row>
    <row r="1286" spans="2:7">
      <c r="B1286" s="165"/>
      <c r="C1286" s="166"/>
      <c r="D1286" s="378"/>
      <c r="E1286" s="379"/>
      <c r="F1286" s="379"/>
      <c r="G1286" s="379"/>
    </row>
    <row r="1287" spans="2:7">
      <c r="B1287" s="165"/>
      <c r="C1287" s="166"/>
      <c r="D1287" s="378"/>
      <c r="E1287" s="379"/>
      <c r="F1287" s="379"/>
      <c r="G1287" s="379"/>
    </row>
    <row r="1288" spans="2:7">
      <c r="B1288" s="165"/>
      <c r="C1288" s="166"/>
      <c r="D1288" s="378"/>
      <c r="E1288" s="379"/>
      <c r="F1288" s="379"/>
      <c r="G1288" s="379"/>
    </row>
    <row r="1289" spans="2:7">
      <c r="B1289" s="165"/>
      <c r="C1289" s="166"/>
      <c r="D1289" s="378"/>
      <c r="E1289" s="379"/>
      <c r="F1289" s="379"/>
      <c r="G1289" s="379"/>
    </row>
    <row r="1290" spans="2:7">
      <c r="B1290" s="165"/>
      <c r="C1290" s="166"/>
      <c r="D1290" s="378"/>
      <c r="E1290" s="379"/>
      <c r="F1290" s="379"/>
      <c r="G1290" s="379"/>
    </row>
    <row r="1291" spans="2:7">
      <c r="B1291" s="165"/>
      <c r="C1291" s="166"/>
      <c r="D1291" s="378"/>
      <c r="E1291" s="379"/>
      <c r="F1291" s="379"/>
      <c r="G1291" s="379"/>
    </row>
    <row r="1292" spans="2:7">
      <c r="B1292" s="165"/>
      <c r="C1292" s="166"/>
      <c r="D1292" s="378"/>
      <c r="E1292" s="379"/>
      <c r="F1292" s="379"/>
      <c r="G1292" s="379"/>
    </row>
    <row r="1293" spans="2:7">
      <c r="B1293" s="165"/>
      <c r="C1293" s="166"/>
      <c r="D1293" s="378"/>
      <c r="E1293" s="379"/>
      <c r="F1293" s="379"/>
      <c r="G1293" s="379"/>
    </row>
    <row r="1294" spans="2:7">
      <c r="B1294" s="165"/>
      <c r="C1294" s="166"/>
      <c r="D1294" s="378"/>
      <c r="E1294" s="379"/>
      <c r="F1294" s="379"/>
      <c r="G1294" s="379"/>
    </row>
    <row r="1295" spans="2:7">
      <c r="B1295" s="165"/>
      <c r="C1295" s="166"/>
      <c r="D1295" s="378"/>
      <c r="E1295" s="379"/>
      <c r="F1295" s="379"/>
      <c r="G1295" s="379"/>
    </row>
    <row r="1296" spans="2:7">
      <c r="B1296" s="165"/>
      <c r="C1296" s="166"/>
      <c r="D1296" s="378"/>
      <c r="E1296" s="379"/>
      <c r="F1296" s="379"/>
      <c r="G1296" s="379"/>
    </row>
    <row r="1297" spans="2:7">
      <c r="B1297" s="165"/>
      <c r="C1297" s="166"/>
      <c r="D1297" s="378"/>
      <c r="E1297" s="379"/>
      <c r="F1297" s="379"/>
      <c r="G1297" s="379"/>
    </row>
    <row r="1298" spans="2:7">
      <c r="B1298" s="165"/>
      <c r="C1298" s="166"/>
      <c r="D1298" s="378"/>
      <c r="E1298" s="379"/>
      <c r="F1298" s="379"/>
      <c r="G1298" s="379"/>
    </row>
    <row r="1299" spans="2:7">
      <c r="B1299" s="165"/>
      <c r="C1299" s="166"/>
      <c r="D1299" s="378"/>
      <c r="E1299" s="379"/>
      <c r="F1299" s="379"/>
      <c r="G1299" s="379"/>
    </row>
    <row r="1300" spans="2:7">
      <c r="B1300" s="165"/>
      <c r="C1300" s="166"/>
      <c r="D1300" s="378"/>
      <c r="E1300" s="379"/>
      <c r="F1300" s="379"/>
      <c r="G1300" s="379"/>
    </row>
    <row r="1301" spans="2:7">
      <c r="B1301" s="165"/>
      <c r="C1301" s="166"/>
      <c r="D1301" s="378"/>
      <c r="E1301" s="379"/>
      <c r="F1301" s="379"/>
      <c r="G1301" s="379"/>
    </row>
    <row r="1302" spans="2:7">
      <c r="B1302" s="165"/>
      <c r="C1302" s="166"/>
      <c r="D1302" s="378"/>
      <c r="E1302" s="379"/>
      <c r="F1302" s="379"/>
      <c r="G1302" s="379"/>
    </row>
    <row r="1303" spans="2:7">
      <c r="B1303" s="165"/>
      <c r="C1303" s="166"/>
      <c r="D1303" s="378"/>
      <c r="E1303" s="379"/>
      <c r="F1303" s="379"/>
      <c r="G1303" s="379"/>
    </row>
    <row r="1304" spans="2:7">
      <c r="B1304" s="165"/>
      <c r="C1304" s="166"/>
      <c r="D1304" s="378"/>
      <c r="E1304" s="379"/>
      <c r="F1304" s="379"/>
      <c r="G1304" s="379"/>
    </row>
    <row r="1305" spans="2:7">
      <c r="B1305" s="165"/>
      <c r="C1305" s="166"/>
      <c r="D1305" s="378"/>
      <c r="E1305" s="379"/>
      <c r="F1305" s="379"/>
      <c r="G1305" s="379"/>
    </row>
    <row r="1306" spans="2:7">
      <c r="B1306" s="165"/>
      <c r="C1306" s="166"/>
      <c r="D1306" s="378"/>
      <c r="E1306" s="379"/>
      <c r="F1306" s="379"/>
      <c r="G1306" s="379"/>
    </row>
    <row r="1307" spans="2:7">
      <c r="B1307" s="165"/>
      <c r="C1307" s="166"/>
      <c r="D1307" s="378"/>
      <c r="E1307" s="379"/>
      <c r="F1307" s="379"/>
      <c r="G1307" s="379"/>
    </row>
    <row r="1308" spans="2:7">
      <c r="B1308" s="165"/>
      <c r="C1308" s="166"/>
      <c r="D1308" s="378"/>
      <c r="E1308" s="379"/>
      <c r="F1308" s="379"/>
      <c r="G1308" s="379"/>
    </row>
    <row r="1309" spans="2:7">
      <c r="B1309" s="165"/>
      <c r="C1309" s="166"/>
      <c r="D1309" s="378"/>
      <c r="E1309" s="379"/>
      <c r="F1309" s="379"/>
      <c r="G1309" s="379"/>
    </row>
    <row r="1310" spans="2:7">
      <c r="B1310" s="165"/>
      <c r="C1310" s="166"/>
      <c r="D1310" s="378"/>
      <c r="E1310" s="379"/>
      <c r="F1310" s="379"/>
      <c r="G1310" s="379"/>
    </row>
    <row r="1311" spans="2:7">
      <c r="B1311" s="165"/>
      <c r="C1311" s="166"/>
      <c r="D1311" s="378"/>
      <c r="E1311" s="379"/>
      <c r="F1311" s="379"/>
      <c r="G1311" s="379"/>
    </row>
    <row r="1312" spans="2:7">
      <c r="B1312" s="165"/>
      <c r="C1312" s="166"/>
      <c r="D1312" s="378"/>
      <c r="E1312" s="379"/>
      <c r="F1312" s="379"/>
      <c r="G1312" s="379"/>
    </row>
    <row r="1313" spans="2:7">
      <c r="B1313" s="165"/>
      <c r="C1313" s="166"/>
      <c r="D1313" s="378"/>
      <c r="E1313" s="379"/>
      <c r="F1313" s="379"/>
      <c r="G1313" s="379"/>
    </row>
    <row r="1314" spans="2:7">
      <c r="B1314" s="165"/>
      <c r="C1314" s="166"/>
      <c r="D1314" s="378"/>
      <c r="E1314" s="379"/>
      <c r="F1314" s="379"/>
      <c r="G1314" s="379"/>
    </row>
    <row r="1315" spans="2:7">
      <c r="B1315" s="165"/>
      <c r="C1315" s="166"/>
      <c r="D1315" s="378"/>
      <c r="E1315" s="379"/>
      <c r="F1315" s="379"/>
      <c r="G1315" s="379"/>
    </row>
    <row r="1316" spans="2:7">
      <c r="B1316" s="165"/>
      <c r="C1316" s="166"/>
      <c r="D1316" s="378"/>
      <c r="E1316" s="379"/>
      <c r="F1316" s="379"/>
      <c r="G1316" s="379"/>
    </row>
    <row r="1317" spans="2:7">
      <c r="B1317" s="165"/>
      <c r="C1317" s="166"/>
      <c r="D1317" s="378"/>
      <c r="E1317" s="379"/>
      <c r="F1317" s="379"/>
      <c r="G1317" s="379"/>
    </row>
    <row r="1318" spans="2:7">
      <c r="B1318" s="165"/>
      <c r="C1318" s="166"/>
      <c r="D1318" s="378"/>
      <c r="E1318" s="379"/>
      <c r="F1318" s="379"/>
      <c r="G1318" s="379"/>
    </row>
    <row r="1319" spans="2:7">
      <c r="B1319" s="165"/>
      <c r="C1319" s="166"/>
      <c r="D1319" s="378"/>
      <c r="E1319" s="379"/>
      <c r="F1319" s="379"/>
      <c r="G1319" s="379"/>
    </row>
    <row r="1320" spans="2:7">
      <c r="B1320" s="165"/>
      <c r="C1320" s="166"/>
      <c r="D1320" s="378"/>
      <c r="E1320" s="379"/>
      <c r="F1320" s="379"/>
      <c r="G1320" s="379"/>
    </row>
    <row r="1321" spans="2:7">
      <c r="B1321" s="165"/>
      <c r="C1321" s="166"/>
      <c r="D1321" s="378"/>
      <c r="E1321" s="379"/>
      <c r="F1321" s="379"/>
      <c r="G1321" s="379"/>
    </row>
    <row r="1322" spans="2:7">
      <c r="B1322" s="165"/>
      <c r="C1322" s="166"/>
      <c r="D1322" s="378"/>
      <c r="E1322" s="379"/>
      <c r="F1322" s="379"/>
      <c r="G1322" s="379"/>
    </row>
    <row r="1323" spans="2:7">
      <c r="B1323" s="165"/>
      <c r="C1323" s="166"/>
      <c r="D1323" s="378"/>
      <c r="E1323" s="379"/>
      <c r="F1323" s="379"/>
      <c r="G1323" s="379"/>
    </row>
    <row r="1324" spans="2:7">
      <c r="B1324" s="165"/>
      <c r="C1324" s="166"/>
      <c r="D1324" s="378"/>
      <c r="E1324" s="379"/>
      <c r="F1324" s="379"/>
      <c r="G1324" s="379"/>
    </row>
    <row r="1325" spans="2:7">
      <c r="B1325" s="165"/>
      <c r="C1325" s="166"/>
      <c r="D1325" s="378"/>
      <c r="E1325" s="379"/>
      <c r="F1325" s="379"/>
      <c r="G1325" s="379"/>
    </row>
    <row r="1326" spans="2:7">
      <c r="B1326" s="165"/>
      <c r="C1326" s="166"/>
      <c r="D1326" s="378"/>
      <c r="E1326" s="379"/>
      <c r="F1326" s="379"/>
      <c r="G1326" s="379"/>
    </row>
    <row r="1327" spans="2:7">
      <c r="B1327" s="165"/>
      <c r="C1327" s="166"/>
      <c r="D1327" s="378"/>
      <c r="E1327" s="379"/>
      <c r="F1327" s="379"/>
      <c r="G1327" s="379"/>
    </row>
    <row r="1328" spans="2:7">
      <c r="B1328" s="165"/>
      <c r="C1328" s="166"/>
      <c r="D1328" s="378"/>
      <c r="E1328" s="379"/>
      <c r="F1328" s="379"/>
      <c r="G1328" s="379"/>
    </row>
    <row r="1329" spans="2:7">
      <c r="B1329" s="165"/>
      <c r="C1329" s="166"/>
      <c r="D1329" s="378"/>
      <c r="E1329" s="379"/>
      <c r="F1329" s="379"/>
      <c r="G1329" s="379"/>
    </row>
    <row r="1330" spans="2:7">
      <c r="B1330" s="165"/>
      <c r="C1330" s="166"/>
      <c r="D1330" s="378"/>
      <c r="E1330" s="379"/>
      <c r="F1330" s="379"/>
      <c r="G1330" s="379"/>
    </row>
    <row r="1331" spans="2:7">
      <c r="B1331" s="165"/>
      <c r="C1331" s="166"/>
      <c r="D1331" s="378"/>
      <c r="E1331" s="379"/>
      <c r="F1331" s="379"/>
      <c r="G1331" s="379"/>
    </row>
    <row r="1332" spans="2:7">
      <c r="B1332" s="165"/>
      <c r="C1332" s="166"/>
      <c r="D1332" s="378"/>
      <c r="E1332" s="379"/>
      <c r="F1332" s="379"/>
      <c r="G1332" s="379"/>
    </row>
    <row r="1333" spans="2:7">
      <c r="B1333" s="165"/>
      <c r="C1333" s="166"/>
      <c r="D1333" s="378"/>
      <c r="E1333" s="379"/>
      <c r="F1333" s="379"/>
      <c r="G1333" s="379"/>
    </row>
    <row r="1334" spans="2:7">
      <c r="B1334" s="165"/>
      <c r="C1334" s="166"/>
      <c r="D1334" s="378"/>
      <c r="E1334" s="379"/>
      <c r="F1334" s="379"/>
      <c r="G1334" s="379"/>
    </row>
    <row r="1335" spans="2:7">
      <c r="B1335" s="165"/>
      <c r="C1335" s="166"/>
      <c r="D1335" s="378"/>
      <c r="E1335" s="379"/>
      <c r="F1335" s="379"/>
      <c r="G1335" s="379"/>
    </row>
    <row r="1336" spans="2:7">
      <c r="B1336" s="165"/>
      <c r="C1336" s="166"/>
      <c r="D1336" s="378"/>
      <c r="E1336" s="379"/>
      <c r="F1336" s="379"/>
      <c r="G1336" s="379"/>
    </row>
    <row r="1337" spans="2:7">
      <c r="B1337" s="165"/>
      <c r="C1337" s="166"/>
      <c r="D1337" s="378"/>
      <c r="E1337" s="379"/>
      <c r="F1337" s="379"/>
      <c r="G1337" s="379"/>
    </row>
    <row r="1338" spans="2:7">
      <c r="B1338" s="165"/>
      <c r="C1338" s="166"/>
      <c r="D1338" s="378"/>
      <c r="E1338" s="379"/>
      <c r="F1338" s="379"/>
      <c r="G1338" s="379"/>
    </row>
    <row r="1339" spans="2:7">
      <c r="B1339" s="165"/>
      <c r="C1339" s="166"/>
      <c r="D1339" s="378"/>
      <c r="E1339" s="379"/>
      <c r="F1339" s="379"/>
      <c r="G1339" s="379"/>
    </row>
    <row r="1340" spans="2:7">
      <c r="B1340" s="165"/>
      <c r="C1340" s="166"/>
      <c r="D1340" s="378"/>
      <c r="E1340" s="379"/>
      <c r="F1340" s="379"/>
      <c r="G1340" s="379"/>
    </row>
    <row r="1341" spans="2:7">
      <c r="B1341" s="165"/>
      <c r="C1341" s="166"/>
      <c r="D1341" s="378"/>
      <c r="E1341" s="379"/>
      <c r="F1341" s="379"/>
      <c r="G1341" s="379"/>
    </row>
    <row r="1342" spans="2:7">
      <c r="B1342" s="165"/>
      <c r="C1342" s="166"/>
      <c r="D1342" s="378"/>
      <c r="E1342" s="379"/>
      <c r="F1342" s="379"/>
      <c r="G1342" s="379"/>
    </row>
    <row r="1343" spans="2:7">
      <c r="B1343" s="165"/>
      <c r="C1343" s="166"/>
      <c r="D1343" s="378"/>
      <c r="E1343" s="379"/>
      <c r="F1343" s="379"/>
      <c r="G1343" s="379"/>
    </row>
    <row r="1344" spans="2:7">
      <c r="B1344" s="165"/>
      <c r="C1344" s="166"/>
      <c r="D1344" s="378"/>
      <c r="E1344" s="379"/>
      <c r="F1344" s="379"/>
      <c r="G1344" s="379"/>
    </row>
    <row r="1345" spans="2:7">
      <c r="B1345" s="165"/>
      <c r="C1345" s="166"/>
      <c r="D1345" s="378"/>
      <c r="E1345" s="379"/>
      <c r="F1345" s="379"/>
      <c r="G1345" s="379"/>
    </row>
    <row r="1346" spans="2:7">
      <c r="B1346" s="165"/>
      <c r="C1346" s="166"/>
      <c r="D1346" s="378"/>
      <c r="E1346" s="379"/>
      <c r="F1346" s="379"/>
      <c r="G1346" s="379"/>
    </row>
    <row r="1347" spans="2:7">
      <c r="B1347" s="165"/>
      <c r="C1347" s="166"/>
      <c r="D1347" s="378"/>
      <c r="E1347" s="379"/>
      <c r="F1347" s="379"/>
      <c r="G1347" s="379"/>
    </row>
    <row r="1348" spans="2:7">
      <c r="B1348" s="165"/>
      <c r="C1348" s="166"/>
      <c r="D1348" s="378"/>
      <c r="E1348" s="379"/>
      <c r="F1348" s="379"/>
      <c r="G1348" s="379"/>
    </row>
    <row r="1349" spans="2:7">
      <c r="B1349" s="165"/>
      <c r="C1349" s="166"/>
      <c r="D1349" s="378"/>
      <c r="E1349" s="379"/>
      <c r="F1349" s="379"/>
      <c r="G1349" s="379"/>
    </row>
    <row r="1350" spans="2:7">
      <c r="B1350" s="165"/>
      <c r="C1350" s="166"/>
      <c r="D1350" s="378"/>
      <c r="E1350" s="379"/>
      <c r="F1350" s="379"/>
      <c r="G1350" s="379"/>
    </row>
    <row r="1351" spans="2:7">
      <c r="B1351" s="165"/>
      <c r="C1351" s="166"/>
      <c r="D1351" s="378"/>
      <c r="E1351" s="379"/>
      <c r="F1351" s="379"/>
      <c r="G1351" s="379"/>
    </row>
    <row r="1352" spans="2:7">
      <c r="B1352" s="165"/>
      <c r="C1352" s="166"/>
      <c r="D1352" s="378"/>
      <c r="E1352" s="379"/>
      <c r="F1352" s="379"/>
      <c r="G1352" s="379"/>
    </row>
    <row r="1353" spans="2:7">
      <c r="B1353" s="165"/>
      <c r="C1353" s="166"/>
      <c r="D1353" s="378"/>
      <c r="E1353" s="379"/>
      <c r="F1353" s="379"/>
      <c r="G1353" s="379"/>
    </row>
    <row r="1354" spans="2:7">
      <c r="B1354" s="165"/>
      <c r="C1354" s="166"/>
      <c r="D1354" s="378"/>
      <c r="E1354" s="379"/>
      <c r="F1354" s="379"/>
      <c r="G1354" s="379"/>
    </row>
    <row r="1355" spans="2:7">
      <c r="B1355" s="165"/>
      <c r="C1355" s="166"/>
      <c r="D1355" s="378"/>
      <c r="E1355" s="379"/>
      <c r="F1355" s="379"/>
      <c r="G1355" s="379"/>
    </row>
    <row r="1356" spans="2:7">
      <c r="B1356" s="165"/>
      <c r="C1356" s="166"/>
      <c r="D1356" s="378"/>
      <c r="E1356" s="379"/>
      <c r="F1356" s="379"/>
      <c r="G1356" s="379"/>
    </row>
    <row r="1357" spans="2:7">
      <c r="B1357" s="165"/>
      <c r="C1357" s="166"/>
      <c r="D1357" s="378"/>
      <c r="E1357" s="379"/>
      <c r="F1357" s="379"/>
      <c r="G1357" s="379"/>
    </row>
    <row r="1358" spans="2:7">
      <c r="B1358" s="165"/>
      <c r="C1358" s="166"/>
      <c r="D1358" s="378"/>
      <c r="E1358" s="379"/>
      <c r="F1358" s="379"/>
      <c r="G1358" s="379"/>
    </row>
    <row r="1359" spans="2:7">
      <c r="B1359" s="165"/>
      <c r="C1359" s="166"/>
      <c r="D1359" s="378"/>
      <c r="E1359" s="379"/>
      <c r="F1359" s="379"/>
      <c r="G1359" s="379"/>
    </row>
    <row r="1360" spans="2:7">
      <c r="B1360" s="165"/>
      <c r="C1360" s="166"/>
      <c r="D1360" s="378"/>
      <c r="E1360" s="379"/>
      <c r="F1360" s="379"/>
      <c r="G1360" s="379"/>
    </row>
    <row r="1361" spans="2:7">
      <c r="B1361" s="165"/>
      <c r="C1361" s="166"/>
      <c r="D1361" s="378"/>
      <c r="E1361" s="379"/>
      <c r="F1361" s="379"/>
      <c r="G1361" s="379"/>
    </row>
    <row r="1362" spans="2:7">
      <c r="B1362" s="165"/>
      <c r="C1362" s="166"/>
      <c r="D1362" s="378"/>
      <c r="E1362" s="379"/>
      <c r="F1362" s="379"/>
      <c r="G1362" s="379"/>
    </row>
    <row r="1363" spans="2:7">
      <c r="B1363" s="165"/>
      <c r="C1363" s="166"/>
      <c r="D1363" s="378"/>
      <c r="E1363" s="379"/>
      <c r="F1363" s="379"/>
      <c r="G1363" s="379"/>
    </row>
    <row r="1364" spans="2:7">
      <c r="B1364" s="165"/>
      <c r="C1364" s="166"/>
      <c r="D1364" s="378"/>
      <c r="E1364" s="379"/>
      <c r="F1364" s="379"/>
      <c r="G1364" s="379"/>
    </row>
    <row r="1365" spans="2:7">
      <c r="B1365" s="165"/>
      <c r="C1365" s="166"/>
      <c r="D1365" s="378"/>
      <c r="E1365" s="379"/>
      <c r="F1365" s="379"/>
      <c r="G1365" s="379"/>
    </row>
    <row r="1366" spans="2:7">
      <c r="B1366" s="165"/>
      <c r="C1366" s="166"/>
      <c r="D1366" s="378"/>
      <c r="E1366" s="379"/>
      <c r="F1366" s="379"/>
      <c r="G1366" s="379"/>
    </row>
    <row r="1367" spans="2:7">
      <c r="B1367" s="165"/>
      <c r="C1367" s="166"/>
      <c r="D1367" s="378"/>
      <c r="E1367" s="379"/>
      <c r="F1367" s="379"/>
      <c r="G1367" s="379"/>
    </row>
    <row r="1368" spans="2:7">
      <c r="B1368" s="165"/>
      <c r="C1368" s="166"/>
      <c r="D1368" s="378"/>
      <c r="E1368" s="379"/>
      <c r="F1368" s="379"/>
      <c r="G1368" s="379"/>
    </row>
    <row r="1369" spans="2:7">
      <c r="B1369" s="165"/>
      <c r="C1369" s="166"/>
      <c r="D1369" s="378"/>
      <c r="E1369" s="379"/>
      <c r="F1369" s="379"/>
      <c r="G1369" s="379"/>
    </row>
    <row r="1370" spans="2:7">
      <c r="B1370" s="165"/>
      <c r="C1370" s="166"/>
      <c r="D1370" s="378"/>
      <c r="E1370" s="379"/>
      <c r="F1370" s="379"/>
      <c r="G1370" s="379"/>
    </row>
    <row r="1371" spans="2:7">
      <c r="B1371" s="165"/>
      <c r="C1371" s="166"/>
      <c r="D1371" s="378"/>
      <c r="E1371" s="379"/>
      <c r="F1371" s="379"/>
      <c r="G1371" s="379"/>
    </row>
    <row r="1372" spans="2:7">
      <c r="B1372" s="165"/>
      <c r="C1372" s="166"/>
      <c r="D1372" s="378"/>
      <c r="E1372" s="379"/>
      <c r="F1372" s="379"/>
      <c r="G1372" s="379"/>
    </row>
    <row r="1373" spans="2:7">
      <c r="B1373" s="165"/>
      <c r="C1373" s="166"/>
      <c r="D1373" s="378"/>
      <c r="E1373" s="379"/>
      <c r="F1373" s="379"/>
      <c r="G1373" s="379"/>
    </row>
    <row r="1374" spans="2:7">
      <c r="B1374" s="165"/>
      <c r="C1374" s="166"/>
      <c r="D1374" s="378"/>
      <c r="E1374" s="379"/>
      <c r="F1374" s="379"/>
      <c r="G1374" s="379"/>
    </row>
    <row r="1375" spans="2:7">
      <c r="B1375" s="165"/>
      <c r="C1375" s="166"/>
      <c r="D1375" s="378"/>
      <c r="E1375" s="379"/>
      <c r="F1375" s="379"/>
      <c r="G1375" s="379"/>
    </row>
    <row r="1376" spans="2:7">
      <c r="B1376" s="165"/>
      <c r="C1376" s="166"/>
      <c r="D1376" s="378"/>
      <c r="E1376" s="379"/>
      <c r="F1376" s="379"/>
      <c r="G1376" s="379"/>
    </row>
    <row r="1377" spans="2:7">
      <c r="B1377" s="165"/>
      <c r="C1377" s="166"/>
      <c r="D1377" s="378"/>
      <c r="E1377" s="379"/>
      <c r="F1377" s="379"/>
      <c r="G1377" s="379"/>
    </row>
    <row r="1378" spans="2:7">
      <c r="B1378" s="165"/>
      <c r="C1378" s="166"/>
      <c r="D1378" s="378"/>
      <c r="E1378" s="379"/>
      <c r="F1378" s="379"/>
      <c r="G1378" s="379"/>
    </row>
    <row r="1379" spans="2:7">
      <c r="B1379" s="165"/>
      <c r="C1379" s="166"/>
      <c r="D1379" s="378"/>
      <c r="E1379" s="379"/>
      <c r="F1379" s="379"/>
      <c r="G1379" s="379"/>
    </row>
    <row r="1380" spans="2:7">
      <c r="B1380" s="165"/>
      <c r="C1380" s="166"/>
      <c r="D1380" s="378"/>
      <c r="E1380" s="379"/>
      <c r="F1380" s="379"/>
      <c r="G1380" s="379"/>
    </row>
    <row r="1381" spans="2:7">
      <c r="B1381" s="165"/>
      <c r="C1381" s="166"/>
      <c r="D1381" s="378"/>
      <c r="E1381" s="379"/>
      <c r="F1381" s="379"/>
      <c r="G1381" s="379"/>
    </row>
    <row r="1382" spans="2:7">
      <c r="B1382" s="165"/>
      <c r="C1382" s="166"/>
      <c r="D1382" s="378"/>
      <c r="E1382" s="379"/>
      <c r="F1382" s="379"/>
      <c r="G1382" s="379"/>
    </row>
    <row r="1383" spans="2:7">
      <c r="B1383" s="165"/>
      <c r="C1383" s="166"/>
      <c r="D1383" s="378"/>
      <c r="E1383" s="379"/>
      <c r="F1383" s="379"/>
      <c r="G1383" s="379"/>
    </row>
    <row r="1384" spans="2:7">
      <c r="B1384" s="165"/>
      <c r="C1384" s="166"/>
      <c r="D1384" s="378"/>
      <c r="E1384" s="379"/>
      <c r="F1384" s="379"/>
      <c r="G1384" s="379"/>
    </row>
    <row r="1385" spans="2:7">
      <c r="B1385" s="165"/>
      <c r="C1385" s="166"/>
      <c r="D1385" s="378"/>
      <c r="E1385" s="379"/>
      <c r="F1385" s="379"/>
      <c r="G1385" s="379"/>
    </row>
    <row r="1386" spans="2:7">
      <c r="B1386" s="165"/>
      <c r="C1386" s="166"/>
      <c r="D1386" s="378"/>
      <c r="E1386" s="379"/>
      <c r="F1386" s="379"/>
      <c r="G1386" s="379"/>
    </row>
    <row r="1387" spans="2:7">
      <c r="B1387" s="165"/>
      <c r="C1387" s="166"/>
      <c r="D1387" s="378"/>
      <c r="E1387" s="379"/>
      <c r="F1387" s="379"/>
      <c r="G1387" s="379"/>
    </row>
    <row r="1388" spans="2:7">
      <c r="B1388" s="165"/>
      <c r="C1388" s="166"/>
      <c r="D1388" s="378"/>
      <c r="E1388" s="379"/>
      <c r="F1388" s="379"/>
      <c r="G1388" s="379"/>
    </row>
    <row r="1389" spans="2:7">
      <c r="B1389" s="165"/>
      <c r="C1389" s="166"/>
      <c r="D1389" s="378"/>
      <c r="E1389" s="379"/>
      <c r="F1389" s="379"/>
      <c r="G1389" s="379"/>
    </row>
    <row r="1390" spans="2:7">
      <c r="B1390" s="165"/>
      <c r="C1390" s="166"/>
      <c r="D1390" s="378"/>
      <c r="E1390" s="379"/>
      <c r="F1390" s="379"/>
      <c r="G1390" s="379"/>
    </row>
    <row r="1391" spans="2:7">
      <c r="B1391" s="165"/>
      <c r="C1391" s="166"/>
      <c r="D1391" s="378"/>
      <c r="E1391" s="379"/>
      <c r="F1391" s="379"/>
      <c r="G1391" s="379"/>
    </row>
    <row r="1392" spans="2:7">
      <c r="B1392" s="165"/>
      <c r="C1392" s="166"/>
      <c r="D1392" s="378"/>
      <c r="E1392" s="379"/>
      <c r="F1392" s="379"/>
      <c r="G1392" s="379"/>
    </row>
    <row r="1393" spans="2:7">
      <c r="B1393" s="165"/>
      <c r="C1393" s="166"/>
      <c r="D1393" s="378"/>
      <c r="E1393" s="379"/>
      <c r="F1393" s="379"/>
      <c r="G1393" s="379"/>
    </row>
    <row r="1394" spans="2:7">
      <c r="B1394" s="165"/>
      <c r="C1394" s="166"/>
      <c r="D1394" s="378"/>
      <c r="E1394" s="379"/>
      <c r="F1394" s="379"/>
      <c r="G1394" s="379"/>
    </row>
    <row r="1395" spans="2:7">
      <c r="B1395" s="165"/>
      <c r="C1395" s="166"/>
      <c r="D1395" s="378"/>
      <c r="E1395" s="379"/>
      <c r="F1395" s="379"/>
      <c r="G1395" s="379"/>
    </row>
    <row r="1396" spans="2:7">
      <c r="B1396" s="165"/>
      <c r="C1396" s="166"/>
      <c r="D1396" s="378"/>
      <c r="E1396" s="379"/>
      <c r="F1396" s="379"/>
      <c r="G1396" s="379"/>
    </row>
    <row r="1397" spans="2:7">
      <c r="B1397" s="165"/>
      <c r="C1397" s="166"/>
      <c r="D1397" s="378"/>
      <c r="E1397" s="379"/>
      <c r="F1397" s="379"/>
      <c r="G1397" s="379"/>
    </row>
    <row r="1398" spans="2:7">
      <c r="B1398" s="165"/>
      <c r="C1398" s="166"/>
      <c r="D1398" s="378"/>
      <c r="E1398" s="379"/>
      <c r="F1398" s="379"/>
      <c r="G1398" s="379"/>
    </row>
    <row r="1399" spans="2:7">
      <c r="B1399" s="165"/>
      <c r="C1399" s="166"/>
      <c r="D1399" s="378"/>
      <c r="E1399" s="379"/>
      <c r="F1399" s="379"/>
      <c r="G1399" s="379"/>
    </row>
    <row r="1400" spans="2:7">
      <c r="B1400" s="165"/>
      <c r="C1400" s="166"/>
      <c r="D1400" s="378"/>
      <c r="E1400" s="379"/>
      <c r="F1400" s="379"/>
      <c r="G1400" s="379"/>
    </row>
    <row r="1401" spans="2:7">
      <c r="B1401" s="165"/>
      <c r="C1401" s="166"/>
      <c r="D1401" s="378"/>
      <c r="E1401" s="379"/>
      <c r="F1401" s="379"/>
      <c r="G1401" s="379"/>
    </row>
    <row r="1402" spans="2:7">
      <c r="B1402" s="165"/>
      <c r="C1402" s="166"/>
      <c r="D1402" s="378"/>
      <c r="E1402" s="379"/>
      <c r="F1402" s="379"/>
      <c r="G1402" s="379"/>
    </row>
    <row r="1403" spans="2:7">
      <c r="B1403" s="165"/>
      <c r="C1403" s="166"/>
      <c r="D1403" s="378"/>
      <c r="E1403" s="379"/>
      <c r="F1403" s="379"/>
      <c r="G1403" s="379"/>
    </row>
    <row r="1404" spans="2:7">
      <c r="B1404" s="165"/>
      <c r="C1404" s="166"/>
      <c r="D1404" s="378"/>
      <c r="E1404" s="379"/>
      <c r="F1404" s="379"/>
      <c r="G1404" s="379"/>
    </row>
    <row r="1405" spans="2:7">
      <c r="B1405" s="165"/>
      <c r="C1405" s="166"/>
      <c r="D1405" s="378"/>
      <c r="E1405" s="379"/>
      <c r="F1405" s="379"/>
      <c r="G1405" s="379"/>
    </row>
    <row r="1406" spans="2:7">
      <c r="B1406" s="165"/>
      <c r="C1406" s="166"/>
      <c r="D1406" s="378"/>
      <c r="E1406" s="379"/>
      <c r="F1406" s="379"/>
      <c r="G1406" s="379"/>
    </row>
    <row r="1407" spans="2:7">
      <c r="B1407" s="165"/>
      <c r="C1407" s="166"/>
      <c r="D1407" s="378"/>
      <c r="E1407" s="379"/>
      <c r="F1407" s="379"/>
      <c r="G1407" s="379"/>
    </row>
    <row r="1408" spans="2:7">
      <c r="B1408" s="165"/>
      <c r="C1408" s="166"/>
      <c r="D1408" s="378"/>
      <c r="E1408" s="379"/>
      <c r="F1408" s="379"/>
      <c r="G1408" s="379"/>
    </row>
    <row r="1409" spans="2:7">
      <c r="B1409" s="165"/>
      <c r="C1409" s="166"/>
      <c r="D1409" s="378"/>
      <c r="E1409" s="379"/>
      <c r="F1409" s="379"/>
      <c r="G1409" s="379"/>
    </row>
    <row r="1410" spans="2:7">
      <c r="B1410" s="165"/>
      <c r="C1410" s="166"/>
      <c r="D1410" s="378"/>
      <c r="E1410" s="379"/>
      <c r="F1410" s="379"/>
      <c r="G1410" s="379"/>
    </row>
    <row r="1411" spans="2:7">
      <c r="B1411" s="165"/>
      <c r="C1411" s="166"/>
      <c r="D1411" s="378"/>
      <c r="E1411" s="379"/>
      <c r="F1411" s="379"/>
      <c r="G1411" s="379"/>
    </row>
    <row r="1412" spans="2:7">
      <c r="B1412" s="165"/>
      <c r="C1412" s="166"/>
      <c r="D1412" s="378"/>
      <c r="E1412" s="379"/>
      <c r="F1412" s="379"/>
      <c r="G1412" s="379"/>
    </row>
    <row r="1413" spans="2:7">
      <c r="B1413" s="165"/>
      <c r="C1413" s="166"/>
      <c r="D1413" s="378"/>
      <c r="E1413" s="379"/>
      <c r="F1413" s="379"/>
      <c r="G1413" s="379"/>
    </row>
    <row r="1414" spans="2:7">
      <c r="B1414" s="165"/>
      <c r="C1414" s="166"/>
      <c r="D1414" s="378"/>
      <c r="E1414" s="379"/>
      <c r="F1414" s="379"/>
      <c r="G1414" s="379"/>
    </row>
    <row r="1415" spans="2:7">
      <c r="B1415" s="165"/>
      <c r="C1415" s="166"/>
      <c r="D1415" s="378"/>
      <c r="E1415" s="379"/>
      <c r="F1415" s="379"/>
      <c r="G1415" s="379"/>
    </row>
    <row r="1416" spans="2:7">
      <c r="B1416" s="165"/>
      <c r="C1416" s="166"/>
      <c r="D1416" s="378"/>
      <c r="E1416" s="379"/>
      <c r="F1416" s="379"/>
      <c r="G1416" s="379"/>
    </row>
    <row r="1417" spans="2:7">
      <c r="B1417" s="165"/>
      <c r="C1417" s="166"/>
      <c r="D1417" s="378"/>
      <c r="E1417" s="379"/>
      <c r="F1417" s="379"/>
      <c r="G1417" s="379"/>
    </row>
    <row r="1418" spans="2:7">
      <c r="B1418" s="165"/>
      <c r="C1418" s="166"/>
      <c r="D1418" s="378"/>
      <c r="E1418" s="379"/>
      <c r="F1418" s="379"/>
      <c r="G1418" s="379"/>
    </row>
    <row r="1419" spans="2:7">
      <c r="B1419" s="165"/>
      <c r="C1419" s="166"/>
      <c r="D1419" s="378"/>
      <c r="E1419" s="379"/>
      <c r="F1419" s="379"/>
      <c r="G1419" s="379"/>
    </row>
    <row r="1420" spans="2:7">
      <c r="B1420" s="165"/>
      <c r="C1420" s="166"/>
      <c r="D1420" s="378"/>
      <c r="E1420" s="379"/>
      <c r="F1420" s="379"/>
      <c r="G1420" s="379"/>
    </row>
    <row r="1421" spans="2:7">
      <c r="B1421" s="165"/>
      <c r="C1421" s="166"/>
      <c r="D1421" s="378"/>
      <c r="E1421" s="379"/>
      <c r="F1421" s="379"/>
      <c r="G1421" s="379"/>
    </row>
    <row r="1422" spans="2:7">
      <c r="B1422" s="165"/>
      <c r="C1422" s="166"/>
      <c r="D1422" s="378"/>
      <c r="E1422" s="379"/>
      <c r="F1422" s="379"/>
      <c r="G1422" s="379"/>
    </row>
    <row r="1423" spans="2:7">
      <c r="B1423" s="165"/>
      <c r="C1423" s="166"/>
      <c r="D1423" s="378"/>
      <c r="E1423" s="379"/>
      <c r="F1423" s="379"/>
      <c r="G1423" s="379"/>
    </row>
    <row r="1424" spans="2:7">
      <c r="B1424" s="165"/>
      <c r="C1424" s="166"/>
      <c r="D1424" s="378"/>
      <c r="E1424" s="379"/>
      <c r="F1424" s="379"/>
      <c r="G1424" s="379"/>
    </row>
    <row r="1425" spans="2:7">
      <c r="B1425" s="165"/>
      <c r="C1425" s="166"/>
      <c r="D1425" s="378"/>
      <c r="E1425" s="379"/>
      <c r="F1425" s="379"/>
      <c r="G1425" s="379"/>
    </row>
    <row r="1426" spans="2:7">
      <c r="B1426" s="165"/>
      <c r="C1426" s="166"/>
      <c r="D1426" s="378"/>
      <c r="E1426" s="379"/>
      <c r="F1426" s="379"/>
      <c r="G1426" s="379"/>
    </row>
    <row r="1427" spans="2:7">
      <c r="B1427" s="165"/>
      <c r="C1427" s="166"/>
      <c r="D1427" s="378"/>
      <c r="E1427" s="379"/>
      <c r="F1427" s="379"/>
      <c r="G1427" s="379"/>
    </row>
    <row r="1428" spans="2:7">
      <c r="B1428" s="165"/>
      <c r="C1428" s="166"/>
      <c r="D1428" s="378"/>
      <c r="E1428" s="379"/>
      <c r="F1428" s="379"/>
      <c r="G1428" s="379"/>
    </row>
    <row r="1429" spans="2:7">
      <c r="B1429" s="165"/>
      <c r="C1429" s="166"/>
      <c r="D1429" s="378"/>
      <c r="E1429" s="379"/>
      <c r="F1429" s="379"/>
      <c r="G1429" s="379"/>
    </row>
    <row r="1430" spans="2:7">
      <c r="B1430" s="165"/>
      <c r="C1430" s="166"/>
      <c r="D1430" s="378"/>
      <c r="E1430" s="379"/>
      <c r="F1430" s="379"/>
      <c r="G1430" s="379"/>
    </row>
    <row r="1431" spans="2:7">
      <c r="B1431" s="165"/>
      <c r="C1431" s="166"/>
      <c r="D1431" s="378"/>
      <c r="E1431" s="379"/>
      <c r="F1431" s="379"/>
      <c r="G1431" s="379"/>
    </row>
    <row r="1432" spans="2:7">
      <c r="B1432" s="165"/>
      <c r="C1432" s="166"/>
      <c r="D1432" s="378"/>
      <c r="E1432" s="379"/>
      <c r="F1432" s="379"/>
      <c r="G1432" s="379"/>
    </row>
    <row r="1433" spans="2:7">
      <c r="B1433" s="165"/>
      <c r="C1433" s="166"/>
      <c r="D1433" s="378"/>
      <c r="E1433" s="379"/>
      <c r="F1433" s="379"/>
      <c r="G1433" s="379"/>
    </row>
    <row r="1434" spans="2:7">
      <c r="B1434" s="165"/>
      <c r="C1434" s="166"/>
      <c r="D1434" s="378"/>
      <c r="E1434" s="379"/>
      <c r="F1434" s="379"/>
      <c r="G1434" s="379"/>
    </row>
    <row r="1435" spans="2:7">
      <c r="B1435" s="165"/>
      <c r="C1435" s="166"/>
      <c r="D1435" s="378"/>
      <c r="E1435" s="379"/>
      <c r="F1435" s="379"/>
      <c r="G1435" s="379"/>
    </row>
    <row r="1436" spans="2:7">
      <c r="B1436" s="165"/>
      <c r="C1436" s="166"/>
      <c r="D1436" s="378"/>
      <c r="E1436" s="379"/>
      <c r="F1436" s="379"/>
      <c r="G1436" s="379"/>
    </row>
    <row r="1437" spans="2:7">
      <c r="B1437" s="165"/>
      <c r="C1437" s="166"/>
      <c r="D1437" s="378"/>
      <c r="E1437" s="379"/>
      <c r="F1437" s="379"/>
      <c r="G1437" s="379"/>
    </row>
    <row r="1438" spans="2:7">
      <c r="B1438" s="165"/>
      <c r="C1438" s="166"/>
      <c r="D1438" s="378"/>
      <c r="E1438" s="379"/>
      <c r="F1438" s="379"/>
      <c r="G1438" s="379"/>
    </row>
    <row r="1439" spans="2:7">
      <c r="B1439" s="165"/>
      <c r="C1439" s="166"/>
      <c r="D1439" s="378"/>
      <c r="E1439" s="379"/>
      <c r="F1439" s="379"/>
      <c r="G1439" s="379"/>
    </row>
    <row r="1440" spans="2:7">
      <c r="B1440" s="165"/>
      <c r="C1440" s="166"/>
      <c r="D1440" s="378"/>
      <c r="E1440" s="379"/>
      <c r="F1440" s="379"/>
      <c r="G1440" s="379"/>
    </row>
    <row r="1441" spans="2:7">
      <c r="B1441" s="165"/>
      <c r="C1441" s="166"/>
      <c r="D1441" s="378"/>
      <c r="E1441" s="379"/>
      <c r="F1441" s="379"/>
      <c r="G1441" s="379"/>
    </row>
    <row r="1442" spans="2:7">
      <c r="B1442" s="165"/>
      <c r="C1442" s="166"/>
      <c r="D1442" s="378"/>
      <c r="E1442" s="379"/>
      <c r="F1442" s="379"/>
      <c r="G1442" s="379"/>
    </row>
    <row r="1443" spans="2:7">
      <c r="B1443" s="165"/>
      <c r="C1443" s="166"/>
      <c r="D1443" s="378"/>
      <c r="E1443" s="379"/>
      <c r="F1443" s="379"/>
      <c r="G1443" s="379"/>
    </row>
    <row r="1444" spans="2:7">
      <c r="B1444" s="165"/>
      <c r="C1444" s="166"/>
      <c r="D1444" s="378"/>
      <c r="E1444" s="379"/>
      <c r="F1444" s="379"/>
      <c r="G1444" s="379"/>
    </row>
    <row r="1445" spans="2:7">
      <c r="B1445" s="165"/>
      <c r="C1445" s="166"/>
      <c r="D1445" s="378"/>
      <c r="E1445" s="379"/>
      <c r="F1445" s="379"/>
      <c r="G1445" s="379"/>
    </row>
    <row r="1446" spans="2:7">
      <c r="B1446" s="165"/>
      <c r="C1446" s="166"/>
      <c r="D1446" s="378"/>
      <c r="E1446" s="379"/>
      <c r="F1446" s="379"/>
      <c r="G1446" s="379"/>
    </row>
    <row r="1447" spans="2:7">
      <c r="B1447" s="165"/>
      <c r="C1447" s="166"/>
      <c r="D1447" s="378"/>
      <c r="E1447" s="379"/>
      <c r="F1447" s="379"/>
      <c r="G1447" s="379"/>
    </row>
    <row r="1448" spans="2:7">
      <c r="B1448" s="165"/>
      <c r="C1448" s="166"/>
      <c r="D1448" s="378"/>
      <c r="E1448" s="379"/>
      <c r="F1448" s="379"/>
      <c r="G1448" s="379"/>
    </row>
    <row r="1449" spans="2:7">
      <c r="B1449" s="165"/>
      <c r="C1449" s="166"/>
      <c r="D1449" s="378"/>
      <c r="E1449" s="379"/>
      <c r="F1449" s="379"/>
      <c r="G1449" s="379"/>
    </row>
    <row r="1450" spans="2:7">
      <c r="B1450" s="165"/>
      <c r="C1450" s="166"/>
      <c r="D1450" s="378"/>
      <c r="E1450" s="379"/>
      <c r="F1450" s="379"/>
      <c r="G1450" s="379"/>
    </row>
    <row r="1451" spans="2:7">
      <c r="B1451" s="165"/>
      <c r="C1451" s="166"/>
      <c r="D1451" s="378"/>
      <c r="E1451" s="379"/>
      <c r="F1451" s="379"/>
      <c r="G1451" s="379"/>
    </row>
    <row r="1452" spans="2:7">
      <c r="B1452" s="165"/>
      <c r="C1452" s="166"/>
      <c r="D1452" s="378"/>
      <c r="E1452" s="379"/>
      <c r="F1452" s="379"/>
      <c r="G1452" s="379"/>
    </row>
    <row r="1453" spans="2:7">
      <c r="B1453" s="165"/>
      <c r="C1453" s="166"/>
      <c r="D1453" s="378"/>
      <c r="E1453" s="379"/>
      <c r="F1453" s="379"/>
      <c r="G1453" s="379"/>
    </row>
    <row r="1454" spans="2:7">
      <c r="B1454" s="165"/>
      <c r="C1454" s="166"/>
      <c r="D1454" s="378"/>
      <c r="E1454" s="379"/>
      <c r="F1454" s="379"/>
      <c r="G1454" s="379"/>
    </row>
    <row r="1455" spans="2:7">
      <c r="B1455" s="165"/>
      <c r="C1455" s="166"/>
      <c r="D1455" s="378"/>
      <c r="E1455" s="379"/>
      <c r="F1455" s="379"/>
      <c r="G1455" s="379"/>
    </row>
    <row r="1456" spans="2:7">
      <c r="B1456" s="165"/>
      <c r="C1456" s="166"/>
      <c r="D1456" s="378"/>
      <c r="E1456" s="379"/>
      <c r="F1456" s="379"/>
      <c r="G1456" s="379"/>
    </row>
    <row r="1457" spans="2:7">
      <c r="B1457" s="165"/>
      <c r="C1457" s="166"/>
      <c r="D1457" s="378"/>
      <c r="E1457" s="379"/>
      <c r="F1457" s="379"/>
      <c r="G1457" s="379"/>
    </row>
    <row r="1458" spans="2:7">
      <c r="B1458" s="165"/>
      <c r="C1458" s="166"/>
      <c r="D1458" s="378"/>
      <c r="E1458" s="379"/>
      <c r="F1458" s="379"/>
      <c r="G1458" s="379"/>
    </row>
    <row r="1459" spans="2:7">
      <c r="B1459" s="165"/>
      <c r="C1459" s="166"/>
      <c r="D1459" s="378"/>
      <c r="E1459" s="379"/>
      <c r="F1459" s="379"/>
      <c r="G1459" s="379"/>
    </row>
    <row r="1460" spans="2:7">
      <c r="B1460" s="165"/>
      <c r="C1460" s="166"/>
      <c r="D1460" s="378"/>
      <c r="E1460" s="379"/>
      <c r="F1460" s="379"/>
      <c r="G1460" s="379"/>
    </row>
    <row r="1461" spans="2:7">
      <c r="B1461" s="165"/>
      <c r="C1461" s="166"/>
      <c r="D1461" s="378"/>
      <c r="E1461" s="379"/>
      <c r="F1461" s="379"/>
      <c r="G1461" s="379"/>
    </row>
    <row r="1462" spans="2:7">
      <c r="B1462" s="165"/>
      <c r="C1462" s="166"/>
      <c r="D1462" s="378"/>
      <c r="E1462" s="379"/>
      <c r="F1462" s="379"/>
      <c r="G1462" s="379"/>
    </row>
    <row r="1463" spans="2:7">
      <c r="B1463" s="165"/>
      <c r="C1463" s="166"/>
      <c r="D1463" s="378"/>
      <c r="E1463" s="379"/>
      <c r="F1463" s="379"/>
      <c r="G1463" s="379"/>
    </row>
    <row r="1464" spans="2:7">
      <c r="B1464" s="165"/>
      <c r="C1464" s="166"/>
      <c r="D1464" s="378"/>
      <c r="E1464" s="379"/>
      <c r="F1464" s="379"/>
      <c r="G1464" s="379"/>
    </row>
    <row r="1465" spans="2:7">
      <c r="B1465" s="165"/>
      <c r="C1465" s="166"/>
      <c r="D1465" s="378"/>
      <c r="E1465" s="379"/>
      <c r="F1465" s="379"/>
      <c r="G1465" s="379"/>
    </row>
    <row r="1466" spans="2:7">
      <c r="B1466" s="165"/>
      <c r="C1466" s="166"/>
      <c r="D1466" s="378"/>
      <c r="E1466" s="379"/>
      <c r="F1466" s="379"/>
      <c r="G1466" s="379"/>
    </row>
    <row r="1467" spans="2:7">
      <c r="B1467" s="165"/>
      <c r="C1467" s="166"/>
      <c r="D1467" s="378"/>
      <c r="E1467" s="379"/>
      <c r="F1467" s="379"/>
      <c r="G1467" s="379"/>
    </row>
    <row r="1468" spans="2:7">
      <c r="B1468" s="165"/>
      <c r="C1468" s="166"/>
      <c r="D1468" s="378"/>
      <c r="E1468" s="379"/>
      <c r="F1468" s="379"/>
      <c r="G1468" s="379"/>
    </row>
    <row r="1469" spans="2:7">
      <c r="B1469" s="165"/>
      <c r="C1469" s="166"/>
      <c r="D1469" s="378"/>
      <c r="E1469" s="379"/>
      <c r="F1469" s="379"/>
      <c r="G1469" s="379"/>
    </row>
    <row r="1470" spans="2:7">
      <c r="B1470" s="165"/>
      <c r="C1470" s="166"/>
      <c r="D1470" s="378"/>
      <c r="E1470" s="379"/>
      <c r="F1470" s="379"/>
      <c r="G1470" s="379"/>
    </row>
    <row r="1471" spans="2:7">
      <c r="B1471" s="165"/>
      <c r="C1471" s="166"/>
      <c r="D1471" s="378"/>
      <c r="E1471" s="379"/>
      <c r="F1471" s="379"/>
      <c r="G1471" s="379"/>
    </row>
    <row r="1472" spans="2:7">
      <c r="B1472" s="165"/>
      <c r="C1472" s="166"/>
      <c r="D1472" s="378"/>
      <c r="E1472" s="379"/>
      <c r="F1472" s="379"/>
      <c r="G1472" s="379"/>
    </row>
    <row r="1473" spans="2:7">
      <c r="B1473" s="165"/>
      <c r="C1473" s="166"/>
      <c r="D1473" s="378"/>
      <c r="E1473" s="379"/>
      <c r="F1473" s="379"/>
      <c r="G1473" s="379"/>
    </row>
    <row r="1474" spans="2:7">
      <c r="B1474" s="165"/>
      <c r="C1474" s="166"/>
      <c r="D1474" s="378"/>
      <c r="E1474" s="379"/>
      <c r="F1474" s="379"/>
      <c r="G1474" s="379"/>
    </row>
    <row r="1475" spans="2:7">
      <c r="B1475" s="165"/>
      <c r="C1475" s="166"/>
      <c r="D1475" s="378"/>
      <c r="E1475" s="379"/>
      <c r="F1475" s="379"/>
      <c r="G1475" s="379"/>
    </row>
    <row r="1476" spans="2:7">
      <c r="B1476" s="165"/>
      <c r="C1476" s="166"/>
      <c r="D1476" s="378"/>
      <c r="E1476" s="379"/>
      <c r="F1476" s="379"/>
      <c r="G1476" s="379"/>
    </row>
    <row r="1477" spans="2:7">
      <c r="B1477" s="165"/>
      <c r="C1477" s="166"/>
      <c r="D1477" s="378"/>
      <c r="E1477" s="379"/>
      <c r="F1477" s="379"/>
      <c r="G1477" s="379"/>
    </row>
    <row r="1478" spans="2:7">
      <c r="B1478" s="165"/>
      <c r="C1478" s="166"/>
      <c r="D1478" s="378"/>
      <c r="E1478" s="379"/>
      <c r="F1478" s="379"/>
      <c r="G1478" s="379"/>
    </row>
    <row r="1479" spans="2:7">
      <c r="B1479" s="165"/>
      <c r="C1479" s="166"/>
      <c r="D1479" s="378"/>
      <c r="E1479" s="379"/>
      <c r="F1479" s="379"/>
      <c r="G1479" s="379"/>
    </row>
    <row r="1480" spans="2:7">
      <c r="B1480" s="165"/>
      <c r="C1480" s="166"/>
      <c r="D1480" s="378"/>
      <c r="E1480" s="379"/>
      <c r="F1480" s="379"/>
      <c r="G1480" s="379"/>
    </row>
    <row r="1481" spans="2:7">
      <c r="B1481" s="165"/>
      <c r="C1481" s="166"/>
      <c r="D1481" s="378"/>
      <c r="E1481" s="379"/>
      <c r="F1481" s="379"/>
      <c r="G1481" s="379"/>
    </row>
    <row r="1482" spans="2:7">
      <c r="B1482" s="165"/>
      <c r="C1482" s="166"/>
      <c r="D1482" s="378"/>
      <c r="E1482" s="379"/>
      <c r="F1482" s="379"/>
      <c r="G1482" s="379"/>
    </row>
    <row r="1483" spans="2:7">
      <c r="B1483" s="165"/>
      <c r="C1483" s="166"/>
      <c r="D1483" s="378"/>
      <c r="E1483" s="379"/>
      <c r="F1483" s="379"/>
      <c r="G1483" s="379"/>
    </row>
    <row r="1484" spans="2:7">
      <c r="B1484" s="165"/>
      <c r="C1484" s="166"/>
      <c r="D1484" s="378"/>
      <c r="E1484" s="379"/>
      <c r="F1484" s="379"/>
      <c r="G1484" s="379"/>
    </row>
    <row r="1485" spans="2:7">
      <c r="B1485" s="165"/>
      <c r="C1485" s="166"/>
      <c r="D1485" s="378"/>
      <c r="E1485" s="379"/>
      <c r="F1485" s="379"/>
      <c r="G1485" s="379"/>
    </row>
    <row r="1486" spans="2:7">
      <c r="B1486" s="165"/>
      <c r="C1486" s="166"/>
      <c r="D1486" s="378"/>
      <c r="E1486" s="379"/>
      <c r="F1486" s="379"/>
      <c r="G1486" s="379"/>
    </row>
    <row r="1487" spans="2:7">
      <c r="B1487" s="165"/>
      <c r="C1487" s="166"/>
      <c r="D1487" s="378"/>
      <c r="E1487" s="379"/>
      <c r="F1487" s="379"/>
      <c r="G1487" s="379"/>
    </row>
    <row r="1488" spans="2:7">
      <c r="B1488" s="165"/>
      <c r="C1488" s="166"/>
      <c r="D1488" s="378"/>
      <c r="E1488" s="379"/>
      <c r="F1488" s="379"/>
      <c r="G1488" s="379"/>
    </row>
    <row r="1489" spans="2:7">
      <c r="B1489" s="165"/>
      <c r="C1489" s="166"/>
      <c r="D1489" s="378"/>
      <c r="E1489" s="379"/>
      <c r="F1489" s="379"/>
      <c r="G1489" s="379"/>
    </row>
    <row r="1490" spans="2:7">
      <c r="B1490" s="165"/>
      <c r="C1490" s="166"/>
      <c r="D1490" s="378"/>
      <c r="E1490" s="379"/>
      <c r="F1490" s="379"/>
      <c r="G1490" s="379"/>
    </row>
    <row r="1491" spans="2:7">
      <c r="B1491" s="165"/>
      <c r="C1491" s="166"/>
      <c r="D1491" s="378"/>
      <c r="E1491" s="379"/>
      <c r="F1491" s="379"/>
      <c r="G1491" s="379"/>
    </row>
    <row r="1492" spans="2:7">
      <c r="B1492" s="165"/>
      <c r="C1492" s="166"/>
      <c r="D1492" s="378"/>
      <c r="E1492" s="379"/>
      <c r="F1492" s="379"/>
      <c r="G1492" s="379"/>
    </row>
    <row r="1493" spans="2:7">
      <c r="B1493" s="165"/>
      <c r="C1493" s="166"/>
      <c r="D1493" s="378"/>
      <c r="E1493" s="379"/>
      <c r="F1493" s="379"/>
      <c r="G1493" s="379"/>
    </row>
    <row r="1494" spans="2:7">
      <c r="B1494" s="165"/>
      <c r="C1494" s="166"/>
      <c r="D1494" s="378"/>
      <c r="E1494" s="379"/>
      <c r="F1494" s="379"/>
      <c r="G1494" s="379"/>
    </row>
    <row r="1495" spans="2:7">
      <c r="B1495" s="165"/>
      <c r="C1495" s="166"/>
      <c r="D1495" s="378"/>
      <c r="E1495" s="379"/>
      <c r="F1495" s="379"/>
      <c r="G1495" s="379"/>
    </row>
    <row r="1496" spans="2:7">
      <c r="B1496" s="165"/>
      <c r="C1496" s="166"/>
      <c r="D1496" s="378"/>
      <c r="E1496" s="379"/>
      <c r="F1496" s="379"/>
      <c r="G1496" s="379"/>
    </row>
    <row r="1497" spans="2:7">
      <c r="B1497" s="165"/>
      <c r="C1497" s="166"/>
      <c r="D1497" s="378"/>
      <c r="E1497" s="379"/>
      <c r="F1497" s="379"/>
      <c r="G1497" s="379"/>
    </row>
    <row r="1498" spans="2:7">
      <c r="B1498" s="165"/>
      <c r="C1498" s="166"/>
      <c r="D1498" s="378"/>
      <c r="E1498" s="379"/>
      <c r="F1498" s="379"/>
      <c r="G1498" s="379"/>
    </row>
    <row r="1499" spans="2:7">
      <c r="B1499" s="165"/>
      <c r="C1499" s="166"/>
      <c r="D1499" s="378"/>
      <c r="E1499" s="379"/>
      <c r="F1499" s="379"/>
      <c r="G1499" s="379"/>
    </row>
    <row r="1500" spans="2:7">
      <c r="B1500" s="165"/>
      <c r="C1500" s="166"/>
      <c r="D1500" s="378"/>
      <c r="E1500" s="379"/>
      <c r="F1500" s="379"/>
      <c r="G1500" s="379"/>
    </row>
    <row r="1501" spans="2:7">
      <c r="B1501" s="165"/>
      <c r="C1501" s="166"/>
      <c r="D1501" s="378"/>
      <c r="E1501" s="379"/>
      <c r="F1501" s="379"/>
      <c r="G1501" s="379"/>
    </row>
    <row r="1502" spans="2:7">
      <c r="B1502" s="165"/>
      <c r="C1502" s="166"/>
      <c r="D1502" s="378"/>
      <c r="E1502" s="379"/>
      <c r="F1502" s="379"/>
      <c r="G1502" s="379"/>
    </row>
    <row r="1503" spans="2:7">
      <c r="B1503" s="165"/>
      <c r="C1503" s="166"/>
      <c r="D1503" s="378"/>
      <c r="E1503" s="379"/>
      <c r="F1503" s="379"/>
      <c r="G1503" s="379"/>
    </row>
    <row r="1504" spans="2:7">
      <c r="B1504" s="165"/>
      <c r="C1504" s="166"/>
      <c r="D1504" s="378"/>
      <c r="E1504" s="379"/>
      <c r="F1504" s="379"/>
      <c r="G1504" s="379"/>
    </row>
    <row r="1505" spans="2:7">
      <c r="B1505" s="165"/>
      <c r="C1505" s="166"/>
      <c r="D1505" s="378"/>
      <c r="E1505" s="379"/>
      <c r="F1505" s="379"/>
      <c r="G1505" s="379"/>
    </row>
    <row r="1506" spans="2:7">
      <c r="B1506" s="165"/>
      <c r="C1506" s="166"/>
      <c r="D1506" s="378"/>
      <c r="E1506" s="379"/>
      <c r="F1506" s="379"/>
      <c r="G1506" s="379"/>
    </row>
    <row r="1507" spans="2:7">
      <c r="B1507" s="165"/>
      <c r="C1507" s="166"/>
      <c r="D1507" s="378"/>
      <c r="E1507" s="379"/>
      <c r="F1507" s="379"/>
      <c r="G1507" s="379"/>
    </row>
    <row r="1508" spans="2:7">
      <c r="B1508" s="165"/>
      <c r="C1508" s="166"/>
      <c r="D1508" s="378"/>
      <c r="E1508" s="379"/>
      <c r="F1508" s="379"/>
      <c r="G1508" s="379"/>
    </row>
    <row r="1509" spans="2:7">
      <c r="B1509" s="165"/>
      <c r="C1509" s="166"/>
      <c r="D1509" s="378"/>
      <c r="E1509" s="379"/>
      <c r="F1509" s="379"/>
      <c r="G1509" s="379"/>
    </row>
    <row r="1510" spans="2:7">
      <c r="B1510" s="165"/>
      <c r="C1510" s="166"/>
      <c r="D1510" s="378"/>
      <c r="E1510" s="379"/>
      <c r="F1510" s="379"/>
      <c r="G1510" s="379"/>
    </row>
    <row r="1511" spans="2:7">
      <c r="B1511" s="165"/>
      <c r="C1511" s="166"/>
      <c r="D1511" s="378"/>
      <c r="E1511" s="379"/>
      <c r="F1511" s="379"/>
      <c r="G1511" s="379"/>
    </row>
    <row r="1512" spans="2:7">
      <c r="B1512" s="165"/>
      <c r="C1512" s="166"/>
      <c r="D1512" s="378"/>
      <c r="E1512" s="379"/>
      <c r="F1512" s="379"/>
      <c r="G1512" s="379"/>
    </row>
    <row r="1513" spans="2:7">
      <c r="B1513" s="165"/>
      <c r="C1513" s="166"/>
      <c r="D1513" s="378"/>
      <c r="E1513" s="379"/>
      <c r="F1513" s="379"/>
      <c r="G1513" s="379"/>
    </row>
    <row r="1514" spans="2:7">
      <c r="B1514" s="165"/>
      <c r="C1514" s="166"/>
      <c r="D1514" s="378"/>
      <c r="E1514" s="379"/>
      <c r="F1514" s="379"/>
      <c r="G1514" s="379"/>
    </row>
    <row r="1515" spans="2:7">
      <c r="B1515" s="165"/>
      <c r="C1515" s="166"/>
      <c r="D1515" s="378"/>
      <c r="E1515" s="379"/>
      <c r="F1515" s="379"/>
      <c r="G1515" s="379"/>
    </row>
    <row r="1516" spans="2:7">
      <c r="B1516" s="165"/>
      <c r="C1516" s="166"/>
      <c r="D1516" s="378"/>
      <c r="E1516" s="379"/>
      <c r="F1516" s="379"/>
      <c r="G1516" s="379"/>
    </row>
    <row r="1517" spans="2:7">
      <c r="B1517" s="165"/>
      <c r="C1517" s="166"/>
      <c r="D1517" s="378"/>
      <c r="E1517" s="379"/>
      <c r="F1517" s="379"/>
      <c r="G1517" s="379"/>
    </row>
  </sheetData>
  <sheetProtection selectLockedCells="1"/>
  <mergeCells count="141">
    <mergeCell ref="N88:Q88"/>
    <mergeCell ref="N89:Q89"/>
    <mergeCell ref="N84:Q84"/>
    <mergeCell ref="N83:Q83"/>
    <mergeCell ref="C69:D69"/>
    <mergeCell ref="N53:Q53"/>
    <mergeCell ref="N54:Q54"/>
    <mergeCell ref="N55:Q55"/>
    <mergeCell ref="N56:Q56"/>
    <mergeCell ref="N57:Q57"/>
    <mergeCell ref="N58:Q58"/>
    <mergeCell ref="B64:Q64"/>
    <mergeCell ref="H56:M56"/>
    <mergeCell ref="H58:M58"/>
    <mergeCell ref="B60:Q60"/>
    <mergeCell ref="N79:Q79"/>
    <mergeCell ref="B61:Q61"/>
    <mergeCell ref="B62:Q63"/>
    <mergeCell ref="N81:Q81"/>
    <mergeCell ref="N82:Q82"/>
    <mergeCell ref="F65:Q65"/>
    <mergeCell ref="H55:M55"/>
    <mergeCell ref="B75:Q75"/>
    <mergeCell ref="C73:D73"/>
    <mergeCell ref="D94:G94"/>
    <mergeCell ref="I78:M78"/>
    <mergeCell ref="I79:M79"/>
    <mergeCell ref="I80:M80"/>
    <mergeCell ref="I81:M81"/>
    <mergeCell ref="I82:M82"/>
    <mergeCell ref="G78:H78"/>
    <mergeCell ref="G79:H79"/>
    <mergeCell ref="G80:H80"/>
    <mergeCell ref="G81:H81"/>
    <mergeCell ref="G82:H82"/>
    <mergeCell ref="I83:M83"/>
    <mergeCell ref="G83:H83"/>
    <mergeCell ref="G84:H84"/>
    <mergeCell ref="I84:M84"/>
    <mergeCell ref="D92:G92"/>
    <mergeCell ref="D95:G95"/>
    <mergeCell ref="D96:G96"/>
    <mergeCell ref="I85:M85"/>
    <mergeCell ref="I86:M86"/>
    <mergeCell ref="I87:M87"/>
    <mergeCell ref="I88:M88"/>
    <mergeCell ref="B90:R90"/>
    <mergeCell ref="B96:C96"/>
    <mergeCell ref="H93:Q93"/>
    <mergeCell ref="I89:M89"/>
    <mergeCell ref="B92:C92"/>
    <mergeCell ref="B95:C95"/>
    <mergeCell ref="H92:Q92"/>
    <mergeCell ref="B93:C94"/>
    <mergeCell ref="F91:Q91"/>
    <mergeCell ref="G85:H85"/>
    <mergeCell ref="G86:H86"/>
    <mergeCell ref="G87:H87"/>
    <mergeCell ref="G88:H88"/>
    <mergeCell ref="G89:H89"/>
    <mergeCell ref="N87:Q87"/>
    <mergeCell ref="N86:Q86"/>
    <mergeCell ref="N85:Q85"/>
    <mergeCell ref="D93:G93"/>
    <mergeCell ref="A1:R1"/>
    <mergeCell ref="I15:N15"/>
    <mergeCell ref="J25:M25"/>
    <mergeCell ref="B77:B78"/>
    <mergeCell ref="C77:F77"/>
    <mergeCell ref="G77:M77"/>
    <mergeCell ref="C66:D66"/>
    <mergeCell ref="C67:D67"/>
    <mergeCell ref="C68:D68"/>
    <mergeCell ref="C70:D70"/>
    <mergeCell ref="C71:D71"/>
    <mergeCell ref="C58:D58"/>
    <mergeCell ref="C65:D65"/>
    <mergeCell ref="C53:D53"/>
    <mergeCell ref="C54:D54"/>
    <mergeCell ref="C55:D55"/>
    <mergeCell ref="I18:L18"/>
    <mergeCell ref="I19:L19"/>
    <mergeCell ref="F28:G28"/>
    <mergeCell ref="H42:Q42"/>
    <mergeCell ref="H49:M49"/>
    <mergeCell ref="H53:M53"/>
    <mergeCell ref="H54:M54"/>
    <mergeCell ref="H50:M50"/>
    <mergeCell ref="C72:D72"/>
    <mergeCell ref="B44:Q45"/>
    <mergeCell ref="C49:D49"/>
    <mergeCell ref="H47:M48"/>
    <mergeCell ref="C50:D50"/>
    <mergeCell ref="C56:D56"/>
    <mergeCell ref="C57:D57"/>
    <mergeCell ref="E47:F47"/>
    <mergeCell ref="C47:D48"/>
    <mergeCell ref="B47:B48"/>
    <mergeCell ref="G47:G48"/>
    <mergeCell ref="H57:M57"/>
    <mergeCell ref="C51:D51"/>
    <mergeCell ref="C52:D52"/>
    <mergeCell ref="N47:Q48"/>
    <mergeCell ref="N77:Q78"/>
    <mergeCell ref="N80:Q80"/>
    <mergeCell ref="N49:Q49"/>
    <mergeCell ref="H51:M51"/>
    <mergeCell ref="H52:M52"/>
    <mergeCell ref="N50:Q50"/>
    <mergeCell ref="N51:Q51"/>
    <mergeCell ref="N52:Q52"/>
    <mergeCell ref="I30:M30"/>
    <mergeCell ref="H33:Q34"/>
    <mergeCell ref="H37:Q37"/>
    <mergeCell ref="H38:Q38"/>
    <mergeCell ref="H39:Q39"/>
    <mergeCell ref="H40:Q40"/>
    <mergeCell ref="H41:Q41"/>
    <mergeCell ref="H35:Q35"/>
    <mergeCell ref="H36:Q36"/>
    <mergeCell ref="D33:G34"/>
    <mergeCell ref="B33:C33"/>
    <mergeCell ref="H28:K28"/>
    <mergeCell ref="H29:K29"/>
    <mergeCell ref="B31:Q31"/>
    <mergeCell ref="F29:G29"/>
    <mergeCell ref="F25:I25"/>
    <mergeCell ref="B2:D2"/>
    <mergeCell ref="B4:D4"/>
    <mergeCell ref="C3:D3"/>
    <mergeCell ref="C5:D5"/>
    <mergeCell ref="B7:D7"/>
    <mergeCell ref="D27:E27"/>
    <mergeCell ref="G14:H14"/>
    <mergeCell ref="G15:H15"/>
    <mergeCell ref="G18:H18"/>
    <mergeCell ref="G19:H19"/>
    <mergeCell ref="F5:G5"/>
    <mergeCell ref="B9:D9"/>
    <mergeCell ref="B6:D6"/>
    <mergeCell ref="B11:Q12"/>
  </mergeCells>
  <pageMargins left="0.3" right="0.25" top="0.74803149606299202" bottom="0.74803149606299202" header="0.31496062992126" footer="0.31496062992126"/>
  <pageSetup paperSize="9" scale="59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 moveWithCells="1">
              <from>
                <xdr:col>20</xdr:col>
                <xdr:colOff>847725</xdr:colOff>
                <xdr:row>0</xdr:row>
                <xdr:rowOff>190500</xdr:rowOff>
              </from>
              <to>
                <xdr:col>21</xdr:col>
                <xdr:colOff>676275</xdr:colOff>
                <xdr:row>0</xdr:row>
                <xdr:rowOff>447675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RangeAsPDF">
            <anchor>
              <from>
                <xdr:col>21</xdr:col>
                <xdr:colOff>847725</xdr:colOff>
                <xdr:row>0</xdr:row>
                <xdr:rowOff>76200</xdr:rowOff>
              </from>
              <to>
                <xdr:col>22</xdr:col>
                <xdr:colOff>600075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03F08C-1131-49D8-B567-4A16000616DD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32940EF8-798E-4256-9262-0A54CEB21BFC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15106781-A527-4D61-93A0-276C5848142A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expression" priority="4" id="{E53DB843-C05C-4CC6-993D-216FFCF81635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" id="{4EE07C86-C102-492A-8BF3-885FC024B168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" id="{5CF368C2-66B0-4822-8CED-81DBC035DB88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0" sqref="B30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13" t="s">
        <v>247</v>
      </c>
      <c r="B1" s="513"/>
      <c r="C1" s="513"/>
    </row>
    <row r="2" spans="1:7" ht="18" customHeight="1">
      <c r="A2" s="516" t="s">
        <v>222</v>
      </c>
      <c r="B2" s="516" t="s">
        <v>217</v>
      </c>
      <c r="C2" s="516" t="s">
        <v>221</v>
      </c>
    </row>
    <row r="3" spans="1:7" ht="22.5" customHeight="1">
      <c r="A3" s="516"/>
      <c r="B3" s="516"/>
      <c r="C3" s="516"/>
      <c r="F3" s="269" t="s">
        <v>525</v>
      </c>
      <c r="G3" s="270" t="s">
        <v>510</v>
      </c>
    </row>
    <row r="4" spans="1:7" ht="19.899999999999999" customHeight="1">
      <c r="A4" s="514" t="s">
        <v>10</v>
      </c>
      <c r="B4" s="285" t="s">
        <v>218</v>
      </c>
      <c r="C4" s="286">
        <f>C5+C6</f>
        <v>1</v>
      </c>
    </row>
    <row r="5" spans="1:7" ht="19.899999999999999" customHeight="1">
      <c r="A5" s="514"/>
      <c r="B5" s="285" t="s">
        <v>6</v>
      </c>
      <c r="C5" s="286">
        <f>IF(G3&lt;&gt;"",COUNTIFS(DSDV!$H$7:$H$216,ThietLap!$C$9,DSDV!$W$7:$W$216,G3),COUNTIFS(DSDV!$H$7:$H$216,ThietLap!$C$9))</f>
        <v>1</v>
      </c>
    </row>
    <row r="6" spans="1:7" ht="19.899999999999999" customHeight="1">
      <c r="A6" s="514"/>
      <c r="B6" s="285" t="s">
        <v>7</v>
      </c>
      <c r="C6" s="286">
        <f>IF(G3&lt;&gt;"",COUNTIFS(DSDV!$H$7:$H$216,ThietLap!$C$10,DSDV!$W$7:$W$216,G3),COUNTIFS(DSDV!$H$7:$H$216,ThietLap!$C$9))</f>
        <v>0</v>
      </c>
    </row>
    <row r="7" spans="1:7" ht="18" customHeight="1">
      <c r="A7" s="517" t="s">
        <v>95</v>
      </c>
      <c r="B7" s="287" t="s">
        <v>219</v>
      </c>
      <c r="C7" s="288">
        <f>IF(G3&lt;&gt;"",COUNTIFS(DSDV!$X$7:$X$216,ThietLap!$S$2,DSDV!$W$7:$W$216,G3),COUNTIFS(DSDV!$X$7:$X$216,ThietLap!$S$2))</f>
        <v>1</v>
      </c>
    </row>
    <row r="8" spans="1:7" ht="18" customHeight="1">
      <c r="A8" s="517"/>
      <c r="B8" s="287" t="s">
        <v>161</v>
      </c>
      <c r="C8" s="288">
        <f>IF(G3&lt;&gt;"",COUNTIFS(DSDV!$X$7:$X$216,"&lt;&gt;"&amp;"",DSDV!$W$7:$W$216,G3),COUNTIFS(DSDV!$X$7:$X$216,"&lt;&gt;"&amp;""))-C7</f>
        <v>0</v>
      </c>
    </row>
    <row r="9" spans="1:7" ht="19.899999999999999" customHeight="1">
      <c r="A9" s="518" t="s">
        <v>220</v>
      </c>
      <c r="B9" s="289" t="s">
        <v>148</v>
      </c>
      <c r="C9" s="290">
        <f>IF(G3&lt;&gt;"",COUNTIFS(DSDV!$AC$7:$AC$216,ThietLap!$H$9,DSDV!$W$7:$W$216,G3),COUNTIFS(DSDV!$AC$7:$AC$216,ThietLap!$H$9))</f>
        <v>0</v>
      </c>
    </row>
    <row r="10" spans="1:7" ht="19.899999999999999" customHeight="1">
      <c r="A10" s="518"/>
      <c r="B10" s="289" t="s">
        <v>15</v>
      </c>
      <c r="C10" s="290">
        <f>IF(G3&lt;&gt;"",COUNTIFS(DSDV!$AC$7:$AC$216,ThietLap!$H$10,DSDV!$W$7:$W$216,G3),COUNTIFS(DSDV!$AC$7:$AC$216,ThietLap!$H$10))</f>
        <v>0</v>
      </c>
    </row>
    <row r="11" spans="1:7" ht="19.899999999999999" customHeight="1">
      <c r="A11" s="518"/>
      <c r="B11" s="289" t="s">
        <v>149</v>
      </c>
      <c r="C11" s="290">
        <f>IF(G3&lt;&gt;"",COUNTIFS(DSDV!$AC$7:$AC$216,ThietLap!$H$11,DSDV!$W$7:$W$216,G3),COUNTIFS(DSDV!$AC$7:$AC$216,ThietLap!$H$11))</f>
        <v>1</v>
      </c>
    </row>
    <row r="12" spans="1:7" ht="19.899999999999999" customHeight="1">
      <c r="A12" s="518"/>
      <c r="B12" s="289" t="s">
        <v>150</v>
      </c>
      <c r="C12" s="290">
        <f>IF(G3&lt;&gt;"",COUNTIFS(DSDV!$AC$7:$AC$216,ThietLap!$H$12,DSDV!$W$7:$W$216,G3),COUNTIFS(DSDV!$AC$7:$AC$216,ThietLap!$H$12))</f>
        <v>0</v>
      </c>
    </row>
    <row r="13" spans="1:7" ht="19.899999999999999" customHeight="1">
      <c r="A13" s="515" t="s">
        <v>112</v>
      </c>
      <c r="B13" s="291" t="s">
        <v>113</v>
      </c>
      <c r="C13" s="292">
        <f>IF(G3&lt;&gt;"",COUNTIFS(DSDV!$I$7:$I$216,ThietLap!$U$2,DSDV!$W$7:$W$216,G3),COUNTIFS(DSDV!$I$7:$I$216,ThietLap!$U$2))</f>
        <v>0</v>
      </c>
    </row>
    <row r="14" spans="1:7" ht="19.899999999999999" customHeight="1">
      <c r="A14" s="515"/>
      <c r="B14" s="291" t="s">
        <v>228</v>
      </c>
      <c r="C14" s="292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15"/>
      <c r="B15" s="291" t="s">
        <v>229</v>
      </c>
      <c r="C15" s="292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15"/>
      <c r="B16" s="291" t="s">
        <v>230</v>
      </c>
      <c r="C16" s="292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19" t="s">
        <v>119</v>
      </c>
      <c r="B17" s="293" t="s">
        <v>127</v>
      </c>
      <c r="C17" s="294">
        <f>IF(G3&lt;&gt;"",COUNTIFS(DSDV!$AF$7:$AF$216,ThietLap!$E$9,DSDV!$W$7:$W$216,G3),COUNTIFS(DSDV!$AF$7:$AF$216,ThietLap!$E$9))</f>
        <v>0</v>
      </c>
    </row>
    <row r="18" spans="1:3" ht="19.899999999999999" customHeight="1">
      <c r="A18" s="519"/>
      <c r="B18" s="293" t="s">
        <v>128</v>
      </c>
      <c r="C18" s="294">
        <f>IF(G3&lt;&gt;"",COUNTIFS(DSDV!$AF$7:$AF$216,ThietLap!$E$10,DSDV!$W$7:$W$216,G3),COUNTIFS(DSDV!$AF$7:$AF$216,ThietLap!$E$10))</f>
        <v>0</v>
      </c>
    </row>
    <row r="19" spans="1:3" ht="19.899999999999999" customHeight="1">
      <c r="A19" s="519"/>
      <c r="B19" s="293" t="s">
        <v>129</v>
      </c>
      <c r="C19" s="294">
        <f>IF(G3&lt;&gt;"",COUNTIFS(DSDV!$AF$7:$AF$216,ThietLap!$E$11,DSDV!$W$7:$W$216,G3),COUNTIFS(DSDV!$AF$7:$AF$216,ThietLap!$E$11))</f>
        <v>1</v>
      </c>
    </row>
    <row r="20" spans="1:3" ht="19.899999999999999" customHeight="1">
      <c r="A20" s="519"/>
      <c r="B20" s="293" t="s">
        <v>130</v>
      </c>
      <c r="C20" s="294">
        <f>IF(G2&lt;&gt;"",COUNTIFS(DSDV!$AF$7:$AF$216,ThietLap!$E$12,DSDV!$W$7:$W$216,G2),COUNTIFS(DSDV!$AF$7:$AF$216,ThietLap!$E$12))</f>
        <v>0</v>
      </c>
    </row>
    <row r="21" spans="1:3" ht="19.899999999999999" customHeight="1">
      <c r="A21" s="519"/>
      <c r="B21" s="293" t="s">
        <v>161</v>
      </c>
      <c r="C21" s="294">
        <f>IF(G3&lt;&gt;"",COUNTIFS(DSDV!$AF$7:$AF$216,ThietLap!$E$12,DSDV!$W$7:$W$216,G3),COUNTIFS(DSDV!$AF$7:$AF$216,ThietLap!$E$12))</f>
        <v>0</v>
      </c>
    </row>
    <row r="22" spans="1:3" ht="19.899999999999999" customHeight="1">
      <c r="A22" s="520" t="s">
        <v>231</v>
      </c>
      <c r="B22" s="295" t="s">
        <v>234</v>
      </c>
      <c r="C22" s="296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20"/>
      <c r="B23" s="295" t="s">
        <v>235</v>
      </c>
      <c r="C23" s="296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20"/>
      <c r="B24" s="295" t="s">
        <v>232</v>
      </c>
      <c r="C24" s="296">
        <f ca="1">IF(G3&lt;&gt;"",COUNTIFS(DSDV!$AK$7:$AK$216,"&gt;"&amp;36,DSDV!$W$7:$W$216,G3),COUNTIFS(DSDV!$AK$7:$AK$216,"&gt;"&amp;36))</f>
        <v>1</v>
      </c>
    </row>
    <row r="25" spans="1:3" ht="19.899999999999999" customHeight="1">
      <c r="A25" s="521" t="s">
        <v>118</v>
      </c>
      <c r="B25" s="297" t="s">
        <v>120</v>
      </c>
      <c r="C25" s="298">
        <f>COUNTIFS(DSDV!$J$7:$J$216,B25,DSDV!$W$7:$W$216,$G$3)</f>
        <v>0</v>
      </c>
    </row>
    <row r="26" spans="1:3" ht="19.899999999999999" customHeight="1">
      <c r="A26" s="521"/>
      <c r="B26" s="297" t="s">
        <v>121</v>
      </c>
      <c r="C26" s="298">
        <f>COUNTIFS(DSDV!$J$7:$J$216,B26,DSDV!$W$7:$W$216,$G$3)</f>
        <v>1</v>
      </c>
    </row>
    <row r="27" spans="1:3" ht="19.899999999999999" customHeight="1">
      <c r="A27" s="521"/>
      <c r="B27" s="297" t="s">
        <v>122</v>
      </c>
      <c r="C27" s="298">
        <f>COUNTIFS(DSDV!$J$7:$J$216,B27,DSDV!$W$7:$W$216,$G$3)</f>
        <v>0</v>
      </c>
    </row>
    <row r="28" spans="1:3" ht="19.899999999999999" customHeight="1">
      <c r="A28" s="521"/>
      <c r="B28" s="297" t="s">
        <v>123</v>
      </c>
      <c r="C28" s="298">
        <f>COUNTIFS(DSDV!$J$7:$J$216,B28,DSDV!$W$7:$W$216,$G$3)</f>
        <v>0</v>
      </c>
    </row>
    <row r="29" spans="1:3" ht="19.899999999999999" customHeight="1">
      <c r="A29" s="521"/>
      <c r="B29" s="297" t="s">
        <v>124</v>
      </c>
      <c r="C29" s="298">
        <f>COUNTIFS(DSDV!$J$7:$J$216,B29,DSDV!$W$7:$W$216,$G$3)</f>
        <v>0</v>
      </c>
    </row>
    <row r="30" spans="1:3" ht="19.899999999999999" customHeight="1">
      <c r="A30" s="521"/>
      <c r="B30" s="297" t="s">
        <v>720</v>
      </c>
      <c r="C30" s="298">
        <f>COUNTIFS(DSDV!$J$7:$J$216,B30,DSDV!$W$7:$W$216,$G$3)</f>
        <v>0</v>
      </c>
    </row>
    <row r="31" spans="1:3" ht="19.899999999999999" customHeight="1">
      <c r="A31" s="521"/>
      <c r="B31" s="297" t="s">
        <v>125</v>
      </c>
      <c r="C31" s="298">
        <f>COUNTIFS(DSDV!$J$7:$J$216,B31,DSDV!$W$7:$W$216,$G$3)</f>
        <v>0</v>
      </c>
    </row>
    <row r="32" spans="1:3" ht="19.899999999999999" customHeight="1">
      <c r="A32" s="522" t="s">
        <v>237</v>
      </c>
      <c r="B32" s="299" t="s">
        <v>15</v>
      </c>
      <c r="C32" s="300">
        <f>IF(G3&lt;&gt;"",COUNTIFS(DSDV!$AB$7:$AB$216,ThietLap!$G$13,DSDV!$W$7:$W$216,G3),COUNTIFS(DSDV!$AB$7:$AB$216,ThietLap!$G$13))</f>
        <v>1</v>
      </c>
    </row>
    <row r="33" spans="1:3" ht="19.899999999999999" customHeight="1">
      <c r="A33" s="522"/>
      <c r="B33" s="299" t="s">
        <v>153</v>
      </c>
      <c r="C33" s="300">
        <f>IF(G3&lt;&gt;"",COUNTIFS(DSDV!$AB$7:$AB$216,ThietLap!$G$12,DSDV!$W$7:$W$216,G3),COUNTIFS(DSDV!$AB$7:$AB$216,ThietLap!$G$12))</f>
        <v>0</v>
      </c>
    </row>
    <row r="34" spans="1:3" ht="19.899999999999999" customHeight="1">
      <c r="A34" s="522"/>
      <c r="B34" s="299" t="s">
        <v>4</v>
      </c>
      <c r="C34" s="300">
        <f>IF(G3&lt;&gt;"",COUNTIFS(DSDV!$AB$7:$AB$216,ThietLap!$G$11,DSDV!$W$7:$W$216,G3),COUNTIFS(DSDV!$AB$7:$AB$216,ThietLap!$G$11))</f>
        <v>0</v>
      </c>
    </row>
    <row r="35" spans="1:3" ht="19.899999999999999" customHeight="1">
      <c r="A35" s="522"/>
      <c r="B35" s="299" t="s">
        <v>152</v>
      </c>
      <c r="C35" s="300">
        <f>IF(G3&lt;&gt;"",COUNTIFS(DSDV!$AB$7:$AB$216,ThietLap!$G$10,DSDV!$W$7:$W$216,G3),COUNTIFS(DSDV!$AB$7:$AB$216,ThietLap!$G$10))</f>
        <v>0</v>
      </c>
    </row>
    <row r="36" spans="1:3" ht="19.899999999999999" customHeight="1">
      <c r="A36" s="522"/>
      <c r="B36" s="299" t="s">
        <v>151</v>
      </c>
      <c r="C36" s="300">
        <f>IF(G3&lt;&gt;"",COUNTIFS(DSDV!$AB$7:$AB$216,ThietLap!$G$9,DSDV!$W$7:$W$216,G3),COUNTIFS(DSDV!$AB$7:$AB$216,ThietLap!$G$9))</f>
        <v>0</v>
      </c>
    </row>
    <row r="37" spans="1:3" ht="19.899999999999999" customHeight="1">
      <c r="A37" s="515" t="s">
        <v>239</v>
      </c>
      <c r="B37" s="291" t="s">
        <v>240</v>
      </c>
      <c r="C37" s="292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15"/>
      <c r="B38" s="291" t="s">
        <v>241</v>
      </c>
      <c r="C38" s="292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15"/>
      <c r="B39" s="291" t="s">
        <v>242</v>
      </c>
      <c r="C39" s="292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15"/>
      <c r="B40" s="291" t="s">
        <v>243</v>
      </c>
      <c r="C40" s="292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15"/>
      <c r="B41" s="291" t="s">
        <v>244</v>
      </c>
      <c r="C41" s="292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15"/>
      <c r="B42" s="291" t="s">
        <v>245</v>
      </c>
      <c r="C42" s="292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15"/>
      <c r="B43" s="291" t="s">
        <v>246</v>
      </c>
      <c r="C43" s="292">
        <f ca="1">(SUM(DSDV!$AJ$7:$AJ$216))/COUNTIFS(DSDV!$AJ$7:$AJ$216,"&gt;"&amp;0)</f>
        <v>32</v>
      </c>
    </row>
    <row r="44" spans="1:3" ht="19.899999999999999" customHeight="1">
      <c r="A44" s="512" t="s">
        <v>131</v>
      </c>
      <c r="B44" s="301" t="s">
        <v>490</v>
      </c>
      <c r="C44" s="298">
        <f>IF(G3&lt;&gt;"",COUNTIFS(DSDV!$T$7:$T$216,ThietLap!$F$9,DSDV!$W$7:$W$216,G3),COUNTIFS(DSDV!$T$7:$T$216,ThietLap!$F$9))</f>
        <v>0</v>
      </c>
    </row>
    <row r="45" spans="1:3" ht="19.899999999999999" customHeight="1">
      <c r="A45" s="512"/>
      <c r="B45" s="301" t="s">
        <v>491</v>
      </c>
      <c r="C45" s="298">
        <f>IF(G3&lt;&gt;"",COUNTIFS(DSDV!$T$7:$T$216,ThietLap!$F$10,DSDV!$W$7:$W$216,G3),COUNTIFS(DSDV!$T$7:$T$216,ThietLap!$F$10))</f>
        <v>0</v>
      </c>
    </row>
    <row r="46" spans="1:3" ht="19.899999999999999" customHeight="1">
      <c r="A46" s="512"/>
      <c r="B46" s="301" t="s">
        <v>134</v>
      </c>
      <c r="C46" s="298">
        <f>IF(G3&lt;&gt;"",COUNTIFS(DSDV!$T$7:$T$216,ThietLap!$F$11,DSDV!$W$7:$W$216,G3),COUNTIFS(DSDV!$T$7:$T$216,ThietLap!$F$11))</f>
        <v>0</v>
      </c>
    </row>
    <row r="47" spans="1:3" ht="19.899999999999999" customHeight="1">
      <c r="A47" s="512"/>
      <c r="B47" s="301" t="s">
        <v>133</v>
      </c>
      <c r="C47" s="298">
        <f>IF(G3&lt;&gt;"",COUNTIFS(DSDV!$T$7:$T$216,ThietLap!$F$12,DSDV!$W$7:$W$216,G3),COUNTIFS(DSDV!$T$7:$T$216,ThietLap!$F$12))</f>
        <v>0</v>
      </c>
    </row>
    <row r="48" spans="1:3" ht="19.899999999999999" customHeight="1">
      <c r="A48" s="512"/>
      <c r="B48" s="301" t="s">
        <v>492</v>
      </c>
      <c r="C48" s="298">
        <f>IF(G3&lt;&gt;"",COUNTIFS(DSDV!$T$7:$T$216,ThietLap!$F$13,DSDV!$W$7:$W$216,G3),COUNTIFS(DSDV!$T$7:$T$216,ThietLap!$F$13))</f>
        <v>0</v>
      </c>
    </row>
    <row r="49" spans="1:3" ht="19.899999999999999" customHeight="1">
      <c r="A49" s="512"/>
      <c r="B49" s="301" t="s">
        <v>135</v>
      </c>
      <c r="C49" s="298">
        <f>IF(G3&lt;&gt;"",COUNTIFS(DSDV!$T$7:$T$216,ThietLap!$F$14,DSDV!$W$7:$W$216,G3),COUNTIFS(DSDV!$T$7:$T$216,ThietLap!$F$14))</f>
        <v>1</v>
      </c>
    </row>
    <row r="50" spans="1:3" ht="16.5">
      <c r="A50" s="512"/>
      <c r="B50" s="301" t="s">
        <v>530</v>
      </c>
      <c r="C50" s="298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sqref="A1:I1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23" t="s">
        <v>144</v>
      </c>
      <c r="B1" s="524"/>
      <c r="C1" s="524"/>
      <c r="D1" s="524"/>
      <c r="E1" s="524"/>
      <c r="F1" s="524"/>
      <c r="G1" s="524"/>
      <c r="H1" s="524"/>
      <c r="I1" s="524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32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33"/>
      <c r="B3" s="50" t="s">
        <v>155</v>
      </c>
      <c r="C3" s="536"/>
      <c r="D3" s="537"/>
      <c r="E3" s="538" t="s">
        <v>158</v>
      </c>
      <c r="F3" s="539"/>
      <c r="G3" s="540"/>
      <c r="H3" s="541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34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33"/>
      <c r="B5" s="50" t="s">
        <v>156</v>
      </c>
      <c r="C5" s="536"/>
      <c r="D5" s="537"/>
      <c r="E5" s="538" t="s">
        <v>159</v>
      </c>
      <c r="F5" s="539"/>
      <c r="G5" s="540"/>
      <c r="H5" s="541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33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33"/>
      <c r="B7" s="50" t="s">
        <v>462</v>
      </c>
      <c r="C7" s="178"/>
      <c r="D7" s="542"/>
      <c r="E7" s="542"/>
      <c r="F7" s="542"/>
      <c r="G7" s="540"/>
      <c r="H7" s="541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35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25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26"/>
      <c r="B10" s="29" t="s">
        <v>94</v>
      </c>
      <c r="C10" s="528"/>
      <c r="D10" s="528"/>
      <c r="E10" s="84" t="s">
        <v>249</v>
      </c>
      <c r="F10" s="528"/>
      <c r="G10" s="528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26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26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26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26"/>
      <c r="B14" s="29" t="s">
        <v>111</v>
      </c>
      <c r="C14" s="16"/>
      <c r="D14" s="57" t="s">
        <v>112</v>
      </c>
      <c r="E14" s="16"/>
      <c r="F14" s="29" t="s">
        <v>3</v>
      </c>
      <c r="G14" s="528"/>
      <c r="H14" s="528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26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26"/>
      <c r="B16" s="85" t="s">
        <v>116</v>
      </c>
      <c r="C16" s="529"/>
      <c r="D16" s="530"/>
      <c r="E16" s="530"/>
      <c r="F16" s="530"/>
      <c r="G16" s="530"/>
      <c r="H16" s="531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26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26"/>
      <c r="B18" s="29" t="s">
        <v>117</v>
      </c>
      <c r="C18" s="529"/>
      <c r="D18" s="530"/>
      <c r="E18" s="530"/>
      <c r="F18" s="530"/>
      <c r="G18" s="530"/>
      <c r="H18" s="531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27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45"/>
      <c r="B21" s="42" t="s">
        <v>118</v>
      </c>
      <c r="C21" s="114"/>
      <c r="D21" s="42" t="s">
        <v>119</v>
      </c>
      <c r="E21" s="114"/>
      <c r="F21" s="42" t="s">
        <v>131</v>
      </c>
      <c r="G21" s="551"/>
      <c r="H21" s="552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45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45"/>
      <c r="B23" s="42" t="s">
        <v>136</v>
      </c>
      <c r="C23" s="15"/>
      <c r="D23" s="42" t="s">
        <v>137</v>
      </c>
      <c r="E23" s="529"/>
      <c r="F23" s="530"/>
      <c r="G23" s="530"/>
      <c r="H23" s="531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45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45"/>
      <c r="B25" s="42" t="s">
        <v>138</v>
      </c>
      <c r="C25" s="15"/>
      <c r="D25" s="42" t="s">
        <v>137</v>
      </c>
      <c r="E25" s="529"/>
      <c r="F25" s="530"/>
      <c r="G25" s="530"/>
      <c r="H25" s="531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45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45"/>
      <c r="B27" s="42" t="s">
        <v>139</v>
      </c>
      <c r="C27" s="15"/>
      <c r="D27" s="42" t="s">
        <v>141</v>
      </c>
      <c r="E27" s="15"/>
      <c r="F27" s="42" t="s">
        <v>140</v>
      </c>
      <c r="G27" s="543"/>
      <c r="H27" s="544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46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32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33"/>
      <c r="B30" s="50" t="s">
        <v>142</v>
      </c>
      <c r="C30" s="549"/>
      <c r="D30" s="550"/>
      <c r="E30" s="107" t="s">
        <v>143</v>
      </c>
      <c r="F30" s="547"/>
      <c r="G30" s="553"/>
      <c r="H30" s="548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34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33"/>
      <c r="B32" s="50" t="s">
        <v>145</v>
      </c>
      <c r="C32" s="536"/>
      <c r="D32" s="537"/>
      <c r="E32" s="538" t="s">
        <v>146</v>
      </c>
      <c r="F32" s="539"/>
      <c r="G32" s="547"/>
      <c r="H32" s="548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33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33"/>
      <c r="B34" s="50" t="s">
        <v>471</v>
      </c>
      <c r="C34" s="529"/>
      <c r="D34" s="530"/>
      <c r="E34" s="530"/>
      <c r="F34" s="530"/>
      <c r="G34" s="530"/>
      <c r="H34" s="531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35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  <mc:AlternateContent xmlns:mc="http://schemas.openxmlformats.org/markup-compatibility/2006">
      <mc:Choice Requires="x14">
        <control shapeId="5124" r:id="rId6" name="ComboBox2">
          <controlPr defaultSize="0" print="0" autoLine="0" r:id="rId7">
            <anchor moveWithCells="1">
              <from>
                <xdr:col>7</xdr:col>
                <xdr:colOff>123825</xdr:colOff>
                <xdr:row>0</xdr:row>
                <xdr:rowOff>276225</xdr:rowOff>
              </from>
              <to>
                <xdr:col>7</xdr:col>
                <xdr:colOff>923925</xdr:colOff>
                <xdr:row>0</xdr:row>
                <xdr:rowOff>523875</xdr:rowOff>
              </to>
            </anchor>
          </controlPr>
        </control>
      </mc:Choice>
      <mc:Fallback>
        <control shapeId="5124" r:id="rId6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4">
        <f>IF(DSDV!K7&lt;&gt;"",DSDV!K7,"")</f>
        <v>34700</v>
      </c>
      <c r="D2" s="366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4">
        <f>IF(DSDV!K8&lt;&gt;"",DSDV!K8,"")</f>
        <v>35001</v>
      </c>
      <c r="D3" s="366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4">
        <f>IF(DSDV!K9&lt;&gt;"",DSDV!K9,"")</f>
        <v>30339</v>
      </c>
      <c r="D4" s="366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4" t="str">
        <f>IF(DSDV!K10&lt;&gt;"",DSDV!K10,"")</f>
        <v/>
      </c>
      <c r="D5" s="366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4" t="str">
        <f>IF(DSDV!K11&lt;&gt;"",DSDV!K11,"")</f>
        <v/>
      </c>
      <c r="D6" s="366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4" t="str">
        <f>IF(DSDV!K12&lt;&gt;"",DSDV!K12,"")</f>
        <v/>
      </c>
      <c r="D7" s="366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4" t="str">
        <f>IF(DSDV!K13&lt;&gt;"",DSDV!K13,"")</f>
        <v/>
      </c>
      <c r="D8" s="366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4" t="str">
        <f>IF(DSDV!K14&lt;&gt;"",DSDV!K14,"")</f>
        <v/>
      </c>
      <c r="D9" s="366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4" t="str">
        <f>IF(DSDV!K15&lt;&gt;"",DSDV!K15,"")</f>
        <v/>
      </c>
      <c r="D10" s="366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4" t="str">
        <f>IF(DSDV!K16&lt;&gt;"",DSDV!K16,"")</f>
        <v/>
      </c>
      <c r="D11" s="366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4" t="str">
        <f>IF(DSDV!K17&lt;&gt;"",DSDV!K17,"")</f>
        <v/>
      </c>
      <c r="D12" s="366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4" t="str">
        <f>IF(DSDV!K18&lt;&gt;"",DSDV!K18,"")</f>
        <v/>
      </c>
      <c r="D13" s="366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4" t="str">
        <f>IF(DSDV!K19&lt;&gt;"",DSDV!K19,"")</f>
        <v/>
      </c>
      <c r="D14" s="366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4" t="str">
        <f>IF(DSDV!K20&lt;&gt;"",DSDV!K20,"")</f>
        <v/>
      </c>
      <c r="D15" s="366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4" t="str">
        <f>IF(DSDV!K21&lt;&gt;"",DSDV!K21,"")</f>
        <v/>
      </c>
      <c r="D16" s="366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4" t="str">
        <f>IF(DSDV!K22&lt;&gt;"",DSDV!K22,"")</f>
        <v/>
      </c>
      <c r="D17" s="366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4" t="str">
        <f>IF(DSDV!K23&lt;&gt;"",DSDV!K23,"")</f>
        <v/>
      </c>
      <c r="D18" s="366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4" t="str">
        <f>IF(DSDV!K24&lt;&gt;"",DSDV!K24,"")</f>
        <v/>
      </c>
      <c r="D19" s="366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4" t="str">
        <f>IF(DSDV!K25&lt;&gt;"",DSDV!K25,"")</f>
        <v/>
      </c>
      <c r="D20" s="366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4" t="str">
        <f>IF(DSDV!K26&lt;&gt;"",DSDV!K26,"")</f>
        <v/>
      </c>
      <c r="D21" s="366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4" t="str">
        <f>IF(DSDV!K27&lt;&gt;"",DSDV!K27,"")</f>
        <v/>
      </c>
      <c r="D22" s="366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4" t="str">
        <f>IF(DSDV!K28&lt;&gt;"",DSDV!K28,"")</f>
        <v/>
      </c>
      <c r="D23" s="366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4" t="str">
        <f>IF(DSDV!K29&lt;&gt;"",DSDV!K29,"")</f>
        <v/>
      </c>
      <c r="D24" s="366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4" t="str">
        <f>IF(DSDV!K30&lt;&gt;"",DSDV!K30,"")</f>
        <v/>
      </c>
      <c r="D25" s="366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4" t="str">
        <f>IF(DSDV!K31&lt;&gt;"",DSDV!K31,"")</f>
        <v/>
      </c>
      <c r="D26" s="366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4" t="str">
        <f>IF(DSDV!K32&lt;&gt;"",DSDV!K32,"")</f>
        <v/>
      </c>
      <c r="D27" s="366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4" t="str">
        <f>IF(DSDV!K33&lt;&gt;"",DSDV!K33,"")</f>
        <v/>
      </c>
      <c r="D28" s="366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4" t="str">
        <f>IF(DSDV!K34&lt;&gt;"",DSDV!K34,"")</f>
        <v/>
      </c>
      <c r="D29" s="366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4" t="str">
        <f>IF(DSDV!K35&lt;&gt;"",DSDV!K35,"")</f>
        <v/>
      </c>
      <c r="D30" s="366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4" t="str">
        <f>IF(DSDV!K36&lt;&gt;"",DSDV!K36,"")</f>
        <v/>
      </c>
      <c r="D31" s="366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4" t="str">
        <f>IF(DSDV!K37&lt;&gt;"",DSDV!K37,"")</f>
        <v/>
      </c>
      <c r="D32" s="366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4" t="str">
        <f>IF(DSDV!K38&lt;&gt;"",DSDV!K38,"")</f>
        <v/>
      </c>
      <c r="D33" s="366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4" t="str">
        <f>IF(DSDV!K39&lt;&gt;"",DSDV!K39,"")</f>
        <v/>
      </c>
      <c r="D34" s="366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4" t="str">
        <f>IF(DSDV!K40&lt;&gt;"",DSDV!K40,"")</f>
        <v/>
      </c>
      <c r="D35" s="366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4" t="str">
        <f>IF(DSDV!K41&lt;&gt;"",DSDV!K41,"")</f>
        <v/>
      </c>
      <c r="D36" s="366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4" t="str">
        <f>IF(DSDV!K42&lt;&gt;"",DSDV!K42,"")</f>
        <v/>
      </c>
      <c r="D37" s="366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4" t="str">
        <f>IF(DSDV!K43&lt;&gt;"",DSDV!K43,"")</f>
        <v/>
      </c>
      <c r="D38" s="366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4" t="str">
        <f>IF(DSDV!K44&lt;&gt;"",DSDV!K44,"")</f>
        <v/>
      </c>
      <c r="D39" s="366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4" t="str">
        <f>IF(DSDV!K45&lt;&gt;"",DSDV!K45,"")</f>
        <v/>
      </c>
      <c r="D40" s="366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4" t="str">
        <f>IF(DSDV!K46&lt;&gt;"",DSDV!K46,"")</f>
        <v/>
      </c>
      <c r="D41" s="366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4" t="str">
        <f>IF(DSDV!K47&lt;&gt;"",DSDV!K47,"")</f>
        <v/>
      </c>
      <c r="D42" s="366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4" t="str">
        <f>IF(DSDV!K48&lt;&gt;"",DSDV!K48,"")</f>
        <v/>
      </c>
      <c r="D43" s="366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4" t="str">
        <f>IF(DSDV!K49&lt;&gt;"",DSDV!K49,"")</f>
        <v/>
      </c>
      <c r="D44" s="366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4" t="str">
        <f>IF(DSDV!K50&lt;&gt;"",DSDV!K50,"")</f>
        <v/>
      </c>
      <c r="D45" s="366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4" t="str">
        <f>IF(DSDV!K51&lt;&gt;"",DSDV!K51,"")</f>
        <v/>
      </c>
      <c r="D46" s="366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4" t="str">
        <f>IF(DSDV!K52&lt;&gt;"",DSDV!K52,"")</f>
        <v/>
      </c>
      <c r="D47" s="366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4" t="str">
        <f>IF(DSDV!K53&lt;&gt;"",DSDV!K53,"")</f>
        <v/>
      </c>
      <c r="D48" s="366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4" t="str">
        <f>IF(DSDV!K54&lt;&gt;"",DSDV!K54,"")</f>
        <v/>
      </c>
      <c r="D49" s="366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4" t="str">
        <f>IF(DSDV!K55&lt;&gt;"",DSDV!K55,"")</f>
        <v/>
      </c>
      <c r="D50" s="366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4" t="str">
        <f>IF(DSDV!K56&lt;&gt;"",DSDV!K56,"")</f>
        <v/>
      </c>
      <c r="D51" s="366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4" t="str">
        <f>IF(DSDV!K57&lt;&gt;"",DSDV!K57,"")</f>
        <v/>
      </c>
      <c r="D52" s="366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4" t="str">
        <f>IF(DSDV!K58&lt;&gt;"",DSDV!K58,"")</f>
        <v/>
      </c>
      <c r="D53" s="366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4" t="str">
        <f>IF(DSDV!K59&lt;&gt;"",DSDV!K59,"")</f>
        <v/>
      </c>
      <c r="D54" s="366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4" t="str">
        <f>IF(DSDV!K60&lt;&gt;"",DSDV!K60,"")</f>
        <v/>
      </c>
      <c r="D55" s="366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4" t="str">
        <f>IF(DSDV!K61&lt;&gt;"",DSDV!K61,"")</f>
        <v/>
      </c>
      <c r="D56" s="366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4" t="str">
        <f>IF(DSDV!K62&lt;&gt;"",DSDV!K62,"")</f>
        <v/>
      </c>
      <c r="D57" s="366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4" t="str">
        <f>IF(DSDV!K63&lt;&gt;"",DSDV!K63,"")</f>
        <v/>
      </c>
      <c r="D58" s="366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4" t="str">
        <f>IF(DSDV!K64&lt;&gt;"",DSDV!K64,"")</f>
        <v/>
      </c>
      <c r="D59" s="366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4" t="str">
        <f>IF(DSDV!K65&lt;&gt;"",DSDV!K65,"")</f>
        <v/>
      </c>
      <c r="D60" s="366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4" t="str">
        <f>IF(DSDV!K66&lt;&gt;"",DSDV!K66,"")</f>
        <v/>
      </c>
      <c r="D61" s="366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4" t="str">
        <f>IF(DSDV!K67&lt;&gt;"",DSDV!K67,"")</f>
        <v/>
      </c>
      <c r="D62" s="366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4" t="str">
        <f>IF(DSDV!K68&lt;&gt;"",DSDV!K68,"")</f>
        <v/>
      </c>
      <c r="D63" s="366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4" t="str">
        <f>IF(DSDV!K69&lt;&gt;"",DSDV!K69,"")</f>
        <v/>
      </c>
      <c r="D64" s="366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4" t="str">
        <f>IF(DSDV!K70&lt;&gt;"",DSDV!K70,"")</f>
        <v/>
      </c>
      <c r="D65" s="366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4" t="str">
        <f>IF(DSDV!K71&lt;&gt;"",DSDV!K71,"")</f>
        <v/>
      </c>
      <c r="D66" s="366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4" t="str">
        <f>IF(DSDV!K72&lt;&gt;"",DSDV!K72,"")</f>
        <v/>
      </c>
      <c r="D67" s="366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4" t="str">
        <f>IF(DSDV!K73&lt;&gt;"",DSDV!K73,"")</f>
        <v/>
      </c>
      <c r="D68" s="366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4" t="str">
        <f>IF(DSDV!K74&lt;&gt;"",DSDV!K74,"")</f>
        <v/>
      </c>
      <c r="D69" s="366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4" t="str">
        <f>IF(DSDV!K75&lt;&gt;"",DSDV!K75,"")</f>
        <v/>
      </c>
      <c r="D70" s="366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4" t="str">
        <f>IF(DSDV!K76&lt;&gt;"",DSDV!K76,"")</f>
        <v/>
      </c>
      <c r="D71" s="366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4" t="str">
        <f>IF(DSDV!K77&lt;&gt;"",DSDV!K77,"")</f>
        <v/>
      </c>
      <c r="D72" s="366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4" t="str">
        <f>IF(DSDV!K78&lt;&gt;"",DSDV!K78,"")</f>
        <v/>
      </c>
      <c r="D73" s="366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4" t="str">
        <f>IF(DSDV!K79&lt;&gt;"",DSDV!K79,"")</f>
        <v/>
      </c>
      <c r="D74" s="366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4" t="str">
        <f>IF(DSDV!K80&lt;&gt;"",DSDV!K80,"")</f>
        <v/>
      </c>
      <c r="D75" s="366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4" t="str">
        <f>IF(DSDV!K81&lt;&gt;"",DSDV!K81,"")</f>
        <v/>
      </c>
      <c r="D76" s="366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4" t="str">
        <f>IF(DSDV!K82&lt;&gt;"",DSDV!K82,"")</f>
        <v/>
      </c>
      <c r="D77" s="366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4" t="str">
        <f>IF(DSDV!K83&lt;&gt;"",DSDV!K83,"")</f>
        <v/>
      </c>
      <c r="D78" s="366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4" t="str">
        <f>IF(DSDV!K84&lt;&gt;"",DSDV!K84,"")</f>
        <v/>
      </c>
      <c r="D79" s="366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4" t="str">
        <f>IF(DSDV!K85&lt;&gt;"",DSDV!K85,"")</f>
        <v/>
      </c>
      <c r="D80" s="366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4" t="str">
        <f>IF(DSDV!K86&lt;&gt;"",DSDV!K86,"")</f>
        <v/>
      </c>
      <c r="D81" s="366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4" t="str">
        <f>IF(DSDV!K87&lt;&gt;"",DSDV!K87,"")</f>
        <v/>
      </c>
      <c r="D82" s="366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4" t="str">
        <f>IF(DSDV!K88&lt;&gt;"",DSDV!K88,"")</f>
        <v/>
      </c>
      <c r="D83" s="366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4" t="str">
        <f>IF(DSDV!K89&lt;&gt;"",DSDV!K89,"")</f>
        <v/>
      </c>
      <c r="D84" s="366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4" t="str">
        <f>IF(DSDV!K90&lt;&gt;"",DSDV!K90,"")</f>
        <v/>
      </c>
      <c r="D85" s="366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4" t="str">
        <f>IF(DSDV!K91&lt;&gt;"",DSDV!K91,"")</f>
        <v/>
      </c>
      <c r="D86" s="366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4" t="str">
        <f>IF(DSDV!K92&lt;&gt;"",DSDV!K92,"")</f>
        <v/>
      </c>
      <c r="D87" s="366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4" t="str">
        <f>IF(DSDV!K93&lt;&gt;"",DSDV!K93,"")</f>
        <v/>
      </c>
      <c r="D88" s="366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4" t="str">
        <f>IF(DSDV!K94&lt;&gt;"",DSDV!K94,"")</f>
        <v/>
      </c>
      <c r="D89" s="366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4" t="str">
        <f>IF(DSDV!K95&lt;&gt;"",DSDV!K95,"")</f>
        <v/>
      </c>
      <c r="D90" s="366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4" t="str">
        <f>IF(DSDV!K96&lt;&gt;"",DSDV!K96,"")</f>
        <v/>
      </c>
      <c r="D91" s="366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4" t="str">
        <f>IF(DSDV!K97&lt;&gt;"",DSDV!K97,"")</f>
        <v/>
      </c>
      <c r="D92" s="366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4" t="str">
        <f>IF(DSDV!K98&lt;&gt;"",DSDV!K98,"")</f>
        <v/>
      </c>
      <c r="D93" s="366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4" t="str">
        <f>IF(DSDV!K99&lt;&gt;"",DSDV!K99,"")</f>
        <v/>
      </c>
      <c r="D94" s="366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4" t="str">
        <f>IF(DSDV!K100&lt;&gt;"",DSDV!K100,"")</f>
        <v/>
      </c>
      <c r="D95" s="366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4" t="str">
        <f>IF(DSDV!K101&lt;&gt;"",DSDV!K101,"")</f>
        <v/>
      </c>
      <c r="D96" s="366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4" t="str">
        <f>IF(DSDV!K102&lt;&gt;"",DSDV!K102,"")</f>
        <v/>
      </c>
      <c r="D97" s="366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4" t="str">
        <f>IF(DSDV!K103&lt;&gt;"",DSDV!K103,"")</f>
        <v/>
      </c>
      <c r="D98" s="366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4" t="str">
        <f>IF(DSDV!K104&lt;&gt;"",DSDV!K104,"")</f>
        <v/>
      </c>
      <c r="D99" s="366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4" t="str">
        <f>IF(DSDV!K105&lt;&gt;"",DSDV!K105,"")</f>
        <v/>
      </c>
      <c r="D100" s="366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4" t="str">
        <f>IF(DSDV!K106&lt;&gt;"",DSDV!K106,"")</f>
        <v/>
      </c>
      <c r="D101" s="366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4" t="str">
        <f>IF(DSDV!K107&lt;&gt;"",DSDV!K107,"")</f>
        <v/>
      </c>
      <c r="D102" s="366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4" t="str">
        <f>IF(DSDV!K108&lt;&gt;"",DSDV!K108,"")</f>
        <v/>
      </c>
      <c r="D103" s="366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4" t="str">
        <f>IF(DSDV!K109&lt;&gt;"",DSDV!K109,"")</f>
        <v/>
      </c>
      <c r="D104" s="366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4" t="str">
        <f>IF(DSDV!K110&lt;&gt;"",DSDV!K110,"")</f>
        <v/>
      </c>
      <c r="D105" s="366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4" t="str">
        <f>IF(DSDV!K111&lt;&gt;"",DSDV!K111,"")</f>
        <v/>
      </c>
      <c r="D106" s="366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4" t="str">
        <f>IF(DSDV!K112&lt;&gt;"",DSDV!K112,"")</f>
        <v/>
      </c>
      <c r="D107" s="366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4" t="str">
        <f>IF(DSDV!K113&lt;&gt;"",DSDV!K113,"")</f>
        <v/>
      </c>
      <c r="D108" s="366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4" t="str">
        <f>IF(DSDV!K114&lt;&gt;"",DSDV!K114,"")</f>
        <v/>
      </c>
      <c r="D109" s="366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4" t="str">
        <f>IF(DSDV!K115&lt;&gt;"",DSDV!K115,"")</f>
        <v/>
      </c>
      <c r="D110" s="366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4" t="str">
        <f>IF(DSDV!K116&lt;&gt;"",DSDV!K116,"")</f>
        <v/>
      </c>
      <c r="D111" s="366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4" t="str">
        <f>IF(DSDV!K117&lt;&gt;"",DSDV!K117,"")</f>
        <v/>
      </c>
      <c r="D112" s="366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4" t="str">
        <f>IF(DSDV!K118&lt;&gt;"",DSDV!K118,"")</f>
        <v/>
      </c>
      <c r="D113" s="366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4" t="str">
        <f>IF(DSDV!K119&lt;&gt;"",DSDV!K119,"")</f>
        <v/>
      </c>
      <c r="D114" s="366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4" t="str">
        <f>IF(DSDV!K120&lt;&gt;"",DSDV!K120,"")</f>
        <v/>
      </c>
      <c r="D115" s="366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4" t="str">
        <f>IF(DSDV!K121&lt;&gt;"",DSDV!K121,"")</f>
        <v/>
      </c>
      <c r="D116" s="366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4" t="str">
        <f>IF(DSDV!K122&lt;&gt;"",DSDV!K122,"")</f>
        <v/>
      </c>
      <c r="D117" s="366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4" t="str">
        <f>IF(DSDV!K123&lt;&gt;"",DSDV!K123,"")</f>
        <v/>
      </c>
      <c r="D118" s="366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4" t="str">
        <f>IF(DSDV!K124&lt;&gt;"",DSDV!K124,"")</f>
        <v/>
      </c>
      <c r="D119" s="366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4" t="str">
        <f>IF(DSDV!K125&lt;&gt;"",DSDV!K125,"")</f>
        <v/>
      </c>
      <c r="D120" s="366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4" t="str">
        <f>IF(DSDV!K126&lt;&gt;"",DSDV!K126,"")</f>
        <v/>
      </c>
      <c r="D121" s="366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4" t="str">
        <f>IF(DSDV!K127&lt;&gt;"",DSDV!K127,"")</f>
        <v/>
      </c>
      <c r="D122" s="366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4" t="str">
        <f>IF(DSDV!K128&lt;&gt;"",DSDV!K128,"")</f>
        <v/>
      </c>
      <c r="D123" s="366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4" t="str">
        <f>IF(DSDV!K129&lt;&gt;"",DSDV!K129,"")</f>
        <v/>
      </c>
      <c r="D124" s="366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4" t="str">
        <f>IF(DSDV!K130&lt;&gt;"",DSDV!K130,"")</f>
        <v/>
      </c>
      <c r="D125" s="366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4" t="str">
        <f>IF(DSDV!K131&lt;&gt;"",DSDV!K131,"")</f>
        <v/>
      </c>
      <c r="D126" s="366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4" t="str">
        <f>IF(DSDV!K132&lt;&gt;"",DSDV!K132,"")</f>
        <v/>
      </c>
      <c r="D127" s="366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4" t="str">
        <f>IF(DSDV!K133&lt;&gt;"",DSDV!K133,"")</f>
        <v/>
      </c>
      <c r="D128" s="366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4" t="str">
        <f>IF(DSDV!K134&lt;&gt;"",DSDV!K134,"")</f>
        <v/>
      </c>
      <c r="D129" s="366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4" t="str">
        <f>IF(DSDV!K135&lt;&gt;"",DSDV!K135,"")</f>
        <v/>
      </c>
      <c r="D130" s="366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4" t="str">
        <f>IF(DSDV!K136&lt;&gt;"",DSDV!K136,"")</f>
        <v/>
      </c>
      <c r="D131" s="366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4" t="str">
        <f>IF(DSDV!K137&lt;&gt;"",DSDV!K137,"")</f>
        <v/>
      </c>
      <c r="D132" s="366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4" t="str">
        <f>IF(DSDV!K138&lt;&gt;"",DSDV!K138,"")</f>
        <v/>
      </c>
      <c r="D133" s="366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4" t="str">
        <f>IF(DSDV!K139&lt;&gt;"",DSDV!K139,"")</f>
        <v/>
      </c>
      <c r="D134" s="366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4" t="str">
        <f>IF(DSDV!K140&lt;&gt;"",DSDV!K140,"")</f>
        <v/>
      </c>
      <c r="D135" s="366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4" t="str">
        <f>IF(DSDV!K141&lt;&gt;"",DSDV!K141,"")</f>
        <v/>
      </c>
      <c r="D136" s="366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4" t="str">
        <f>IF(DSDV!K142&lt;&gt;"",DSDV!K142,"")</f>
        <v/>
      </c>
      <c r="D137" s="366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4" t="str">
        <f>IF(DSDV!K143&lt;&gt;"",DSDV!K143,"")</f>
        <v/>
      </c>
      <c r="D138" s="366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4" t="str">
        <f>IF(DSDV!K144&lt;&gt;"",DSDV!K144,"")</f>
        <v/>
      </c>
      <c r="D139" s="366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4" t="str">
        <f>IF(DSDV!K145&lt;&gt;"",DSDV!K145,"")</f>
        <v/>
      </c>
      <c r="D140" s="366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4" t="str">
        <f>IF(DSDV!K146&lt;&gt;"",DSDV!K146,"")</f>
        <v/>
      </c>
      <c r="D141" s="366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4" t="str">
        <f>IF(DSDV!K147&lt;&gt;"",DSDV!K147,"")</f>
        <v/>
      </c>
      <c r="D142" s="366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4" t="str">
        <f>IF(DSDV!K148&lt;&gt;"",DSDV!K148,"")</f>
        <v/>
      </c>
      <c r="D143" s="366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4" t="str">
        <f>IF(DSDV!K149&lt;&gt;"",DSDV!K149,"")</f>
        <v/>
      </c>
      <c r="D144" s="366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4" t="str">
        <f>IF(DSDV!K150&lt;&gt;"",DSDV!K150,"")</f>
        <v/>
      </c>
      <c r="D145" s="366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4" t="str">
        <f>IF(DSDV!K151&lt;&gt;"",DSDV!K151,"")</f>
        <v/>
      </c>
      <c r="D146" s="366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4" t="str">
        <f>IF(DSDV!K152&lt;&gt;"",DSDV!K152,"")</f>
        <v/>
      </c>
      <c r="D147" s="366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4" t="str">
        <f>IF(DSDV!K153&lt;&gt;"",DSDV!K153,"")</f>
        <v/>
      </c>
      <c r="D148" s="366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4" t="str">
        <f>IF(DSDV!K154&lt;&gt;"",DSDV!K154,"")</f>
        <v/>
      </c>
      <c r="D149" s="366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4" t="str">
        <f>IF(DSDV!K155&lt;&gt;"",DSDV!K155,"")</f>
        <v/>
      </c>
      <c r="D150" s="366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4" t="str">
        <f>IF(DSDV!K156&lt;&gt;"",DSDV!K156,"")</f>
        <v/>
      </c>
      <c r="D151" s="366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4" t="str">
        <f>IF(DSDV!K157&lt;&gt;"",DSDV!K157,"")</f>
        <v/>
      </c>
      <c r="D152" s="366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4" t="str">
        <f>IF(DSDV!K158&lt;&gt;"",DSDV!K158,"")</f>
        <v/>
      </c>
      <c r="D153" s="366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4" t="str">
        <f>IF(DSDV!K159&lt;&gt;"",DSDV!K159,"")</f>
        <v/>
      </c>
      <c r="D154" s="366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4" t="str">
        <f>IF(DSDV!K160&lt;&gt;"",DSDV!K160,"")</f>
        <v/>
      </c>
      <c r="D155" s="366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4" t="str">
        <f>IF(DSDV!K161&lt;&gt;"",DSDV!K161,"")</f>
        <v/>
      </c>
      <c r="D156" s="366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4" t="str">
        <f>IF(DSDV!K162&lt;&gt;"",DSDV!K162,"")</f>
        <v/>
      </c>
      <c r="D157" s="366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4" t="str">
        <f>IF(DSDV!K163&lt;&gt;"",DSDV!K163,"")</f>
        <v/>
      </c>
      <c r="D158" s="366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4" t="str">
        <f>IF(DSDV!K164&lt;&gt;"",DSDV!K164,"")</f>
        <v/>
      </c>
      <c r="D159" s="366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4" t="str">
        <f>IF(DSDV!K165&lt;&gt;"",DSDV!K165,"")</f>
        <v/>
      </c>
      <c r="D160" s="366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4" t="str">
        <f>IF(DSDV!K166&lt;&gt;"",DSDV!K166,"")</f>
        <v/>
      </c>
      <c r="D161" s="366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4" t="str">
        <f>IF(DSDV!K167&lt;&gt;"",DSDV!K167,"")</f>
        <v/>
      </c>
      <c r="D162" s="366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4" t="str">
        <f>IF(DSDV!K168&lt;&gt;"",DSDV!K168,"")</f>
        <v/>
      </c>
      <c r="D163" s="366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4" t="str">
        <f>IF(DSDV!K169&lt;&gt;"",DSDV!K169,"")</f>
        <v/>
      </c>
      <c r="D164" s="366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4" t="str">
        <f>IF(DSDV!K170&lt;&gt;"",DSDV!K170,"")</f>
        <v/>
      </c>
      <c r="D165" s="366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4" t="str">
        <f>IF(DSDV!K171&lt;&gt;"",DSDV!K171,"")</f>
        <v/>
      </c>
      <c r="D166" s="366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4" t="str">
        <f>IF(DSDV!K172&lt;&gt;"",DSDV!K172,"")</f>
        <v/>
      </c>
      <c r="D167" s="366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4" t="str">
        <f>IF(DSDV!K173&lt;&gt;"",DSDV!K173,"")</f>
        <v/>
      </c>
      <c r="D168" s="366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4" t="str">
        <f>IF(DSDV!K174&lt;&gt;"",DSDV!K174,"")</f>
        <v/>
      </c>
      <c r="D169" s="366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4" t="str">
        <f>IF(DSDV!K175&lt;&gt;"",DSDV!K175,"")</f>
        <v/>
      </c>
      <c r="D170" s="366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4" t="str">
        <f>IF(DSDV!K176&lt;&gt;"",DSDV!K176,"")</f>
        <v/>
      </c>
      <c r="D171" s="366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4" t="str">
        <f>IF(DSDV!K177&lt;&gt;"",DSDV!K177,"")</f>
        <v/>
      </c>
      <c r="D172" s="366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4" t="str">
        <f>IF(DSDV!K178&lt;&gt;"",DSDV!K178,"")</f>
        <v/>
      </c>
      <c r="D173" s="366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4" t="str">
        <f>IF(DSDV!K179&lt;&gt;"",DSDV!K179,"")</f>
        <v/>
      </c>
      <c r="D174" s="366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4" t="str">
        <f>IF(DSDV!K180&lt;&gt;"",DSDV!K180,"")</f>
        <v/>
      </c>
      <c r="D175" s="366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4" t="str">
        <f>IF(DSDV!K181&lt;&gt;"",DSDV!K181,"")</f>
        <v/>
      </c>
      <c r="D176" s="366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4" t="str">
        <f>IF(DSDV!K182&lt;&gt;"",DSDV!K182,"")</f>
        <v/>
      </c>
      <c r="D177" s="366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4" t="str">
        <f>IF(DSDV!K183&lt;&gt;"",DSDV!K183,"")</f>
        <v/>
      </c>
      <c r="D178" s="366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4" t="str">
        <f>IF(DSDV!K184&lt;&gt;"",DSDV!K184,"")</f>
        <v/>
      </c>
      <c r="D179" s="366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4" t="str">
        <f>IF(DSDV!K185&lt;&gt;"",DSDV!K185,"")</f>
        <v/>
      </c>
      <c r="D180" s="366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4" t="str">
        <f>IF(DSDV!K186&lt;&gt;"",DSDV!K186,"")</f>
        <v/>
      </c>
      <c r="D181" s="366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4" t="str">
        <f>IF(DSDV!K187&lt;&gt;"",DSDV!K187,"")</f>
        <v/>
      </c>
      <c r="D182" s="366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4" t="str">
        <f>IF(DSDV!K188&lt;&gt;"",DSDV!K188,"")</f>
        <v/>
      </c>
      <c r="D183" s="366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4" t="str">
        <f>IF(DSDV!K189&lt;&gt;"",DSDV!K189,"")</f>
        <v/>
      </c>
      <c r="D184" s="366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4" t="str">
        <f>IF(DSDV!K190&lt;&gt;"",DSDV!K190,"")</f>
        <v/>
      </c>
      <c r="D185" s="366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4" t="str">
        <f>IF(DSDV!K191&lt;&gt;"",DSDV!K191,"")</f>
        <v/>
      </c>
      <c r="D186" s="366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4" t="str">
        <f>IF(DSDV!K192&lt;&gt;"",DSDV!K192,"")</f>
        <v/>
      </c>
      <c r="D187" s="366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4" t="str">
        <f>IF(DSDV!K193&lt;&gt;"",DSDV!K193,"")</f>
        <v/>
      </c>
      <c r="D188" s="366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4" t="str">
        <f>IF(DSDV!K194&lt;&gt;"",DSDV!K194,"")</f>
        <v/>
      </c>
      <c r="D189" s="366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4" t="str">
        <f>IF(DSDV!K195&lt;&gt;"",DSDV!K195,"")</f>
        <v/>
      </c>
      <c r="D190" s="366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4" t="str">
        <f>IF(DSDV!K196&lt;&gt;"",DSDV!K196,"")</f>
        <v/>
      </c>
      <c r="D191" s="366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4" t="str">
        <f>IF(DSDV!K197&lt;&gt;"",DSDV!K197,"")</f>
        <v/>
      </c>
      <c r="D192" s="366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4" t="str">
        <f>IF(DSDV!K198&lt;&gt;"",DSDV!K198,"")</f>
        <v/>
      </c>
      <c r="D193" s="366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4" t="str">
        <f>IF(DSDV!K199&lt;&gt;"",DSDV!K199,"")</f>
        <v/>
      </c>
      <c r="D194" s="366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4" t="str">
        <f>IF(DSDV!K200&lt;&gt;"",DSDV!K200,"")</f>
        <v/>
      </c>
      <c r="D195" s="366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4" t="str">
        <f>IF(DSDV!K201&lt;&gt;"",DSDV!K201,"")</f>
        <v/>
      </c>
      <c r="D196" s="366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4" t="str">
        <f>IF(DSDV!K202&lt;&gt;"",DSDV!K202,"")</f>
        <v/>
      </c>
      <c r="D197" s="366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4" t="str">
        <f>IF(DSDV!K203&lt;&gt;"",DSDV!K203,"")</f>
        <v/>
      </c>
      <c r="D198" s="366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4" t="str">
        <f>IF(DSDV!K204&lt;&gt;"",DSDV!K204,"")</f>
        <v/>
      </c>
      <c r="D199" s="366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4" t="str">
        <f>IF(DSDV!K205&lt;&gt;"",DSDV!K205,"")</f>
        <v/>
      </c>
      <c r="D200" s="366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4" t="str">
        <f>IF(DSDV!K206&lt;&gt;"",DSDV!K206,"")</f>
        <v/>
      </c>
      <c r="D201" s="366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4" t="str">
        <f>IF(DSDV!K207&lt;&gt;"",DSDV!K207,"")</f>
        <v/>
      </c>
      <c r="D202" s="366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4" t="str">
        <f>IF(DSDV!K208&lt;&gt;"",DSDV!K208,"")</f>
        <v/>
      </c>
      <c r="D203" s="366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4" t="str">
        <f>IF(DSDV!K209&lt;&gt;"",DSDV!K209,"")</f>
        <v/>
      </c>
      <c r="D204" s="366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4" t="str">
        <f>IF(DSDV!K210&lt;&gt;"",DSDV!K210,"")</f>
        <v/>
      </c>
      <c r="D205" s="366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4" t="str">
        <f>IF(DSDV!K211&lt;&gt;"",DSDV!K211,"")</f>
        <v/>
      </c>
      <c r="D206" s="366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4" t="str">
        <f>IF(DSDV!K212&lt;&gt;"",DSDV!K212,"")</f>
        <v/>
      </c>
      <c r="D207" s="366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4" t="str">
        <f>IF(DSDV!K213&lt;&gt;"",DSDV!K213,"")</f>
        <v/>
      </c>
      <c r="D208" s="366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4" t="str">
        <f>IF(DSDV!K214&lt;&gt;"",DSDV!K214,"")</f>
        <v/>
      </c>
      <c r="D209" s="366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4" t="str">
        <f>IF(DSDV!K215&lt;&gt;"",DSDV!K215,"")</f>
        <v/>
      </c>
      <c r="D210" s="366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4" t="str">
        <f>IF(DSDV!K216&lt;&gt;"",DSDV!K216,"")</f>
        <v/>
      </c>
      <c r="D211" s="366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4" t="str">
        <f>IF(DSDV!K217&lt;&gt;"",DSDV!K217,"")</f>
        <v/>
      </c>
      <c r="D212" s="366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4" t="str">
        <f>IF(DSDV!K218&lt;&gt;"",DSDV!K218,"")</f>
        <v/>
      </c>
      <c r="D213" s="366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4" t="str">
        <f>IF(DSDV!K219&lt;&gt;"",DSDV!K219,"")</f>
        <v/>
      </c>
      <c r="D214" s="366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4" t="str">
        <f>IF(DSDV!K220&lt;&gt;"",DSDV!K220,"")</f>
        <v/>
      </c>
      <c r="D215" s="366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4" t="str">
        <f>IF(DSDV!K221&lt;&gt;"",DSDV!K221,"")</f>
        <v/>
      </c>
      <c r="D216" s="366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4" t="str">
        <f>IF(DSDV!K222&lt;&gt;"",DSDV!K222,"")</f>
        <v/>
      </c>
      <c r="D217" s="366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4" t="str">
        <f>IF(DSDV!K223&lt;&gt;"",DSDV!K223,"")</f>
        <v/>
      </c>
      <c r="D218" s="366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4" t="str">
        <f>IF(DSDV!K224&lt;&gt;"",DSDV!K224,"")</f>
        <v/>
      </c>
      <c r="D219" s="366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4" t="str">
        <f>IF(DSDV!K225&lt;&gt;"",DSDV!K225,"")</f>
        <v/>
      </c>
      <c r="D220" s="366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4" t="str">
        <f>IF(DSDV!K226&lt;&gt;"",DSDV!K226,"")</f>
        <v/>
      </c>
      <c r="D221" s="366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4" t="str">
        <f>IF(DSDV!K227&lt;&gt;"",DSDV!K227,"")</f>
        <v/>
      </c>
      <c r="D222" s="366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4" t="str">
        <f>IF(DSDV!K228&lt;&gt;"",DSDV!K228,"")</f>
        <v/>
      </c>
      <c r="D223" s="366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4" t="str">
        <f>IF(DSDV!K229&lt;&gt;"",DSDV!K229,"")</f>
        <v/>
      </c>
      <c r="D224" s="366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4" t="str">
        <f>IF(DSDV!K230&lt;&gt;"",DSDV!K230,"")</f>
        <v/>
      </c>
      <c r="D225" s="366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4" t="str">
        <f>IF(DSDV!K231&lt;&gt;"",DSDV!K231,"")</f>
        <v/>
      </c>
      <c r="D226" s="366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4" t="str">
        <f>IF(DSDV!K232&lt;&gt;"",DSDV!K232,"")</f>
        <v/>
      </c>
      <c r="D227" s="366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4" t="str">
        <f>IF(DSDV!K233&lt;&gt;"",DSDV!K233,"")</f>
        <v/>
      </c>
      <c r="D228" s="366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4" t="str">
        <f>IF(DSDV!K234&lt;&gt;"",DSDV!K234,"")</f>
        <v/>
      </c>
      <c r="D229" s="366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4" t="str">
        <f>IF(DSDV!K235&lt;&gt;"",DSDV!K235,"")</f>
        <v/>
      </c>
      <c r="D230" s="366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4" t="str">
        <f>IF(DSDV!K236&lt;&gt;"",DSDV!K236,"")</f>
        <v/>
      </c>
      <c r="D231" s="366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4" t="str">
        <f>IF(DSDV!K237&lt;&gt;"",DSDV!K237,"")</f>
        <v/>
      </c>
      <c r="D232" s="366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4" t="str">
        <f>IF(DSDV!K238&lt;&gt;"",DSDV!K238,"")</f>
        <v/>
      </c>
      <c r="D233" s="366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4" t="str">
        <f>IF(DSDV!K239&lt;&gt;"",DSDV!K239,"")</f>
        <v/>
      </c>
      <c r="D234" s="366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4" t="str">
        <f>IF(DSDV!K240&lt;&gt;"",DSDV!K240,"")</f>
        <v/>
      </c>
      <c r="D235" s="366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4" t="str">
        <f>IF(DSDV!K241&lt;&gt;"",DSDV!K241,"")</f>
        <v/>
      </c>
      <c r="D236" s="366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4" t="str">
        <f>IF(DSDV!K242&lt;&gt;"",DSDV!K242,"")</f>
        <v/>
      </c>
      <c r="D237" s="366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4" t="str">
        <f>IF(DSDV!K243&lt;&gt;"",DSDV!K243,"")</f>
        <v/>
      </c>
      <c r="D238" s="366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4" t="str">
        <f>IF(DSDV!K244&lt;&gt;"",DSDV!K244,"")</f>
        <v/>
      </c>
      <c r="D239" s="366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4" t="str">
        <f>IF(DSDV!K245&lt;&gt;"",DSDV!K245,"")</f>
        <v/>
      </c>
      <c r="D240" s="366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4" t="str">
        <f>IF(DSDV!K246&lt;&gt;"",DSDV!K246,"")</f>
        <v/>
      </c>
      <c r="D241" s="366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4" t="str">
        <f>IF(DSDV!K247&lt;&gt;"",DSDV!K247,"")</f>
        <v/>
      </c>
      <c r="D242" s="366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4" t="str">
        <f>IF(DSDV!K248&lt;&gt;"",DSDV!K248,"")</f>
        <v/>
      </c>
      <c r="D243" s="366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4" t="str">
        <f>IF(DSDV!K249&lt;&gt;"",DSDV!K249,"")</f>
        <v/>
      </c>
      <c r="D244" s="366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4" t="str">
        <f>IF(DSDV!K250&lt;&gt;"",DSDV!K250,"")</f>
        <v/>
      </c>
      <c r="D245" s="366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4" t="str">
        <f>IF(DSDV!K251&lt;&gt;"",DSDV!K251,"")</f>
        <v/>
      </c>
      <c r="D246" s="366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4" t="str">
        <f>IF(DSDV!K252&lt;&gt;"",DSDV!K252,"")</f>
        <v/>
      </c>
      <c r="D247" s="366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4" t="str">
        <f>IF(DSDV!K253&lt;&gt;"",DSDV!K253,"")</f>
        <v/>
      </c>
      <c r="D248" s="366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4" t="str">
        <f>IF(DSDV!K254&lt;&gt;"",DSDV!K254,"")</f>
        <v/>
      </c>
      <c r="D249" s="366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4" t="str">
        <f>IF(DSDV!K255&lt;&gt;"",DSDV!K255,"")</f>
        <v/>
      </c>
      <c r="D250" s="366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4" t="str">
        <f>IF(DSDV!K256&lt;&gt;"",DSDV!K256,"")</f>
        <v/>
      </c>
      <c r="D251" s="366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4" t="str">
        <f>IF(DSDV!K257&lt;&gt;"",DSDV!K257,"")</f>
        <v/>
      </c>
      <c r="D252" s="366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4" t="str">
        <f>IF(DSDV!K258&lt;&gt;"",DSDV!K258,"")</f>
        <v/>
      </c>
      <c r="D253" s="366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4" t="str">
        <f>IF(DSDV!K259&lt;&gt;"",DSDV!K259,"")</f>
        <v/>
      </c>
      <c r="D254" s="366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4" t="str">
        <f>IF(DSDV!K260&lt;&gt;"",DSDV!K260,"")</f>
        <v/>
      </c>
      <c r="D255" s="366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4" t="str">
        <f>IF(DSDV!K261&lt;&gt;"",DSDV!K261,"")</f>
        <v/>
      </c>
      <c r="D256" s="366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4" t="str">
        <f>IF(DSDV!K262&lt;&gt;"",DSDV!K262,"")</f>
        <v/>
      </c>
      <c r="D257" s="366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4" t="str">
        <f>IF(DSDV!K263&lt;&gt;"",DSDV!K263,"")</f>
        <v/>
      </c>
      <c r="D258" s="366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4" t="str">
        <f>IF(DSDV!K264&lt;&gt;"",DSDV!K264,"")</f>
        <v/>
      </c>
      <c r="D259" s="366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4" t="str">
        <f>IF(DSDV!K265&lt;&gt;"",DSDV!K265,"")</f>
        <v/>
      </c>
      <c r="D260" s="366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4" t="str">
        <f>IF(DSDV!K266&lt;&gt;"",DSDV!K266,"")</f>
        <v/>
      </c>
      <c r="D261" s="366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4" t="str">
        <f>IF(DSDV!K267&lt;&gt;"",DSDV!K267,"")</f>
        <v/>
      </c>
      <c r="D262" s="366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4" t="str">
        <f>IF(DSDV!K268&lt;&gt;"",DSDV!K268,"")</f>
        <v/>
      </c>
      <c r="D263" s="366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4" t="str">
        <f>IF(DSDV!K269&lt;&gt;"",DSDV!K269,"")</f>
        <v/>
      </c>
      <c r="D264" s="366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4" t="str">
        <f>IF(DSDV!K270&lt;&gt;"",DSDV!K270,"")</f>
        <v/>
      </c>
      <c r="D265" s="366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4" t="str">
        <f>IF(DSDV!K271&lt;&gt;"",DSDV!K271,"")</f>
        <v/>
      </c>
      <c r="D266" s="366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4" t="str">
        <f>IF(DSDV!K272&lt;&gt;"",DSDV!K272,"")</f>
        <v/>
      </c>
      <c r="D267" s="366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4" t="str">
        <f>IF(DSDV!K273&lt;&gt;"",DSDV!K273,"")</f>
        <v/>
      </c>
      <c r="D268" s="366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4" t="str">
        <f>IF(DSDV!K274&lt;&gt;"",DSDV!K274,"")</f>
        <v/>
      </c>
      <c r="D269" s="366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4" t="str">
        <f>IF(DSDV!K275&lt;&gt;"",DSDV!K275,"")</f>
        <v/>
      </c>
      <c r="D270" s="366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4" t="str">
        <f>IF(DSDV!K276&lt;&gt;"",DSDV!K276,"")</f>
        <v/>
      </c>
      <c r="D271" s="366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4" t="str">
        <f>IF(DSDV!K277&lt;&gt;"",DSDV!K277,"")</f>
        <v/>
      </c>
      <c r="D272" s="366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4" t="str">
        <f>IF(DSDV!K278&lt;&gt;"",DSDV!K278,"")</f>
        <v/>
      </c>
      <c r="D273" s="366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4" t="str">
        <f>IF(DSDV!K279&lt;&gt;"",DSDV!K279,"")</f>
        <v/>
      </c>
      <c r="D274" s="366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4" t="str">
        <f>IF(DSDV!K280&lt;&gt;"",DSDV!K280,"")</f>
        <v/>
      </c>
      <c r="D275" s="366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4" t="str">
        <f>IF(DSDV!K281&lt;&gt;"",DSDV!K281,"")</f>
        <v/>
      </c>
      <c r="D276" s="366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4" t="str">
        <f>IF(DSDV!K282&lt;&gt;"",DSDV!K282,"")</f>
        <v/>
      </c>
      <c r="D277" s="366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4" t="str">
        <f>IF(DSDV!K283&lt;&gt;"",DSDV!K283,"")</f>
        <v/>
      </c>
      <c r="D278" s="366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4" t="str">
        <f>IF(DSDV!K284&lt;&gt;"",DSDV!K284,"")</f>
        <v/>
      </c>
      <c r="D279" s="366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4" t="str">
        <f>IF(DSDV!K285&lt;&gt;"",DSDV!K285,"")</f>
        <v/>
      </c>
      <c r="D280" s="366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4" t="str">
        <f>IF(DSDV!K286&lt;&gt;"",DSDV!K286,"")</f>
        <v/>
      </c>
      <c r="D281" s="366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4" t="str">
        <f>IF(DSDV!K287&lt;&gt;"",DSDV!K287,"")</f>
        <v/>
      </c>
      <c r="D282" s="366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4" t="str">
        <f>IF(DSDV!K288&lt;&gt;"",DSDV!K288,"")</f>
        <v/>
      </c>
      <c r="D283" s="366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4" t="str">
        <f>IF(DSDV!K289&lt;&gt;"",DSDV!K289,"")</f>
        <v/>
      </c>
      <c r="D284" s="366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4" t="str">
        <f>IF(DSDV!K290&lt;&gt;"",DSDV!K290,"")</f>
        <v/>
      </c>
      <c r="D285" s="366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4" t="str">
        <f>IF(DSDV!K291&lt;&gt;"",DSDV!K291,"")</f>
        <v/>
      </c>
      <c r="D286" s="366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4" t="str">
        <f>IF(DSDV!K292&lt;&gt;"",DSDV!K292,"")</f>
        <v/>
      </c>
      <c r="D287" s="366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4" t="str">
        <f>IF(DSDV!K293&lt;&gt;"",DSDV!K293,"")</f>
        <v/>
      </c>
      <c r="D288" s="366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4" t="str">
        <f>IF(DSDV!K294&lt;&gt;"",DSDV!K294,"")</f>
        <v/>
      </c>
      <c r="D289" s="366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4" t="str">
        <f>IF(DSDV!K295&lt;&gt;"",DSDV!K295,"")</f>
        <v/>
      </c>
      <c r="D290" s="366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4" t="str">
        <f>IF(DSDV!K296&lt;&gt;"",DSDV!K296,"")</f>
        <v/>
      </c>
      <c r="D291" s="366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4" t="str">
        <f>IF(DSDV!K297&lt;&gt;"",DSDV!K297,"")</f>
        <v/>
      </c>
      <c r="D292" s="366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4" t="str">
        <f>IF(DSDV!K298&lt;&gt;"",DSDV!K298,"")</f>
        <v/>
      </c>
      <c r="D293" s="366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4" t="str">
        <f>IF(DSDV!K299&lt;&gt;"",DSDV!K299,"")</f>
        <v/>
      </c>
      <c r="D294" s="366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4" t="str">
        <f>IF(DSDV!K300&lt;&gt;"",DSDV!K300,"")</f>
        <v/>
      </c>
      <c r="D295" s="366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4" t="str">
        <f>IF(DSDV!K301&lt;&gt;"",DSDV!K301,"")</f>
        <v/>
      </c>
      <c r="D296" s="366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4" t="str">
        <f>IF(DSDV!K302&lt;&gt;"",DSDV!K302,"")</f>
        <v/>
      </c>
      <c r="D297" s="366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4" t="str">
        <f>IF(DSDV!K303&lt;&gt;"",DSDV!K303,"")</f>
        <v/>
      </c>
      <c r="D298" s="366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4" t="str">
        <f>IF(DSDV!K304&lt;&gt;"",DSDV!K304,"")</f>
        <v/>
      </c>
      <c r="D299" s="366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4" t="str">
        <f>IF(DSDV!K305&lt;&gt;"",DSDV!K305,"")</f>
        <v/>
      </c>
      <c r="D300" s="366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4" t="str">
        <f>IF(DSDV!K306&lt;&gt;"",DSDV!K306,"")</f>
        <v/>
      </c>
      <c r="D301" s="366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4" t="str">
        <f>IF(DSDV!K307&lt;&gt;"",DSDV!K307,"")</f>
        <v/>
      </c>
      <c r="D302" s="366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4" t="str">
        <f>IF(DSDV!K308&lt;&gt;"",DSDV!K308,"")</f>
        <v/>
      </c>
      <c r="D303" s="366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4" t="str">
        <f>IF(DSDV!K309&lt;&gt;"",DSDV!K309,"")</f>
        <v/>
      </c>
      <c r="D304" s="366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4" t="str">
        <f>IF(DSDV!K310&lt;&gt;"",DSDV!K310,"")</f>
        <v/>
      </c>
      <c r="D305" s="366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4" t="str">
        <f>IF(DSDV!K311&lt;&gt;"",DSDV!K311,"")</f>
        <v/>
      </c>
      <c r="D306" s="366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4" t="str">
        <f>IF(DSDV!K312&lt;&gt;"",DSDV!K312,"")</f>
        <v/>
      </c>
      <c r="D307" s="366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4" t="str">
        <f>IF(DSDV!K313&lt;&gt;"",DSDV!K313,"")</f>
        <v/>
      </c>
      <c r="D308" s="366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4" t="str">
        <f>IF(DSDV!K314&lt;&gt;"",DSDV!K314,"")</f>
        <v/>
      </c>
      <c r="D309" s="366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4" t="str">
        <f>IF(DSDV!K315&lt;&gt;"",DSDV!K315,"")</f>
        <v/>
      </c>
      <c r="D310" s="366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4" t="str">
        <f>IF(DSDV!K316&lt;&gt;"",DSDV!K316,"")</f>
        <v/>
      </c>
      <c r="D311" s="366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4" t="str">
        <f>IF(DSDV!K317&lt;&gt;"",DSDV!K317,"")</f>
        <v/>
      </c>
      <c r="D312" s="366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4" t="str">
        <f>IF(DSDV!K318&lt;&gt;"",DSDV!K318,"")</f>
        <v/>
      </c>
      <c r="D313" s="366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4" t="str">
        <f>IF(DSDV!K319&lt;&gt;"",DSDV!K319,"")</f>
        <v/>
      </c>
      <c r="D314" s="366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4" t="str">
        <f>IF(DSDV!K320&lt;&gt;"",DSDV!K320,"")</f>
        <v/>
      </c>
      <c r="D315" s="366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4" t="str">
        <f>IF(DSDV!K321&lt;&gt;"",DSDV!K321,"")</f>
        <v/>
      </c>
      <c r="D316" s="366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4" t="str">
        <f>IF(DSDV!K322&lt;&gt;"",DSDV!K322,"")</f>
        <v/>
      </c>
      <c r="D317" s="366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4" t="str">
        <f>IF(DSDV!K323&lt;&gt;"",DSDV!K323,"")</f>
        <v/>
      </c>
      <c r="D318" s="366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4" t="str">
        <f>IF(DSDV!K324&lt;&gt;"",DSDV!K324,"")</f>
        <v/>
      </c>
      <c r="D319" s="366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4" t="str">
        <f>IF(DSDV!K325&lt;&gt;"",DSDV!K325,"")</f>
        <v/>
      </c>
      <c r="D320" s="366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4" t="str">
        <f>IF(DSDV!K326&lt;&gt;"",DSDV!K326,"")</f>
        <v/>
      </c>
      <c r="D321" s="366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4" t="str">
        <f>IF(DSDV!K327&lt;&gt;"",DSDV!K327,"")</f>
        <v/>
      </c>
      <c r="D322" s="366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4" t="str">
        <f>IF(DSDV!K328&lt;&gt;"",DSDV!K328,"")</f>
        <v/>
      </c>
      <c r="D323" s="366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4" t="str">
        <f>IF(DSDV!K329&lt;&gt;"",DSDV!K329,"")</f>
        <v/>
      </c>
      <c r="D324" s="366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4" t="str">
        <f>IF(DSDV!K330&lt;&gt;"",DSDV!K330,"")</f>
        <v/>
      </c>
      <c r="D325" s="366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4" t="str">
        <f>IF(DSDV!K331&lt;&gt;"",DSDV!K331,"")</f>
        <v/>
      </c>
      <c r="D326" s="366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4" t="str">
        <f>IF(DSDV!K332&lt;&gt;"",DSDV!K332,"")</f>
        <v/>
      </c>
      <c r="D327" s="366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4" t="str">
        <f>IF(DSDV!K333&lt;&gt;"",DSDV!K333,"")</f>
        <v/>
      </c>
      <c r="D328" s="366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4" t="str">
        <f>IF(DSDV!K334&lt;&gt;"",DSDV!K334,"")</f>
        <v/>
      </c>
      <c r="D329" s="366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4" t="str">
        <f>IF(DSDV!K335&lt;&gt;"",DSDV!K335,"")</f>
        <v/>
      </c>
      <c r="D330" s="366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4" t="str">
        <f>IF(DSDV!K336&lt;&gt;"",DSDV!K336,"")</f>
        <v/>
      </c>
      <c r="D331" s="366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4" t="str">
        <f>IF(DSDV!K337&lt;&gt;"",DSDV!K337,"")</f>
        <v/>
      </c>
      <c r="D332" s="366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4" t="str">
        <f>IF(DSDV!K338&lt;&gt;"",DSDV!K338,"")</f>
        <v/>
      </c>
      <c r="D333" s="366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4" t="str">
        <f>IF(DSDV!K339&lt;&gt;"",DSDV!K339,"")</f>
        <v/>
      </c>
      <c r="D334" s="366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4" t="str">
        <f>IF(DSDV!K340&lt;&gt;"",DSDV!K340,"")</f>
        <v/>
      </c>
      <c r="D335" s="366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4" t="str">
        <f>IF(DSDV!K341&lt;&gt;"",DSDV!K341,"")</f>
        <v/>
      </c>
      <c r="D336" s="366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4" t="str">
        <f>IF(DSDV!K342&lt;&gt;"",DSDV!K342,"")</f>
        <v/>
      </c>
      <c r="D337" s="366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4" t="str">
        <f>IF(DSDV!K343&lt;&gt;"",DSDV!K343,"")</f>
        <v/>
      </c>
      <c r="D338" s="366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4" t="str">
        <f>IF(DSDV!K344&lt;&gt;"",DSDV!K344,"")</f>
        <v/>
      </c>
      <c r="D339" s="366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4" t="str">
        <f>IF(DSDV!K345&lt;&gt;"",DSDV!K345,"")</f>
        <v/>
      </c>
      <c r="D340" s="366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4" t="str">
        <f>IF(DSDV!K346&lt;&gt;"",DSDV!K346,"")</f>
        <v/>
      </c>
      <c r="D341" s="366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4" t="str">
        <f>IF(DSDV!K347&lt;&gt;"",DSDV!K347,"")</f>
        <v/>
      </c>
      <c r="D342" s="366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4" t="str">
        <f>IF(DSDV!K348&lt;&gt;"",DSDV!K348,"")</f>
        <v/>
      </c>
      <c r="D343" s="366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4" t="str">
        <f>IF(DSDV!K349&lt;&gt;"",DSDV!K349,"")</f>
        <v/>
      </c>
      <c r="D344" s="366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4" t="str">
        <f>IF(DSDV!K350&lt;&gt;"",DSDV!K350,"")</f>
        <v/>
      </c>
      <c r="D345" s="366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4" t="str">
        <f>IF(DSDV!K351&lt;&gt;"",DSDV!K351,"")</f>
        <v/>
      </c>
      <c r="D346" s="366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4" t="str">
        <f>IF(DSDV!K352&lt;&gt;"",DSDV!K352,"")</f>
        <v/>
      </c>
      <c r="D347" s="366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4" t="str">
        <f>IF(DSDV!K353&lt;&gt;"",DSDV!K353,"")</f>
        <v/>
      </c>
      <c r="D348" s="366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4" t="str">
        <f>IF(DSDV!K354&lt;&gt;"",DSDV!K354,"")</f>
        <v/>
      </c>
      <c r="D349" s="366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4" t="str">
        <f>IF(DSDV!K355&lt;&gt;"",DSDV!K355,"")</f>
        <v/>
      </c>
      <c r="D350" s="366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4" t="str">
        <f>IF(DSDV!K356&lt;&gt;"",DSDV!K356,"")</f>
        <v/>
      </c>
      <c r="D351" s="366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4" t="str">
        <f>IF(DSDV!K357&lt;&gt;"",DSDV!K357,"")</f>
        <v/>
      </c>
      <c r="D352" s="366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4" t="str">
        <f>IF(DSDV!K358&lt;&gt;"",DSDV!K358,"")</f>
        <v/>
      </c>
      <c r="D353" s="366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4" t="str">
        <f>IF(DSDV!K359&lt;&gt;"",DSDV!K359,"")</f>
        <v/>
      </c>
      <c r="D354" s="366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4" t="str">
        <f>IF(DSDV!K360&lt;&gt;"",DSDV!K360,"")</f>
        <v/>
      </c>
      <c r="D355" s="366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4" t="str">
        <f>IF(DSDV!K361&lt;&gt;"",DSDV!K361,"")</f>
        <v/>
      </c>
      <c r="D356" s="366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4" t="str">
        <f>IF(DSDV!K362&lt;&gt;"",DSDV!K362,"")</f>
        <v/>
      </c>
      <c r="D357" s="366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4" t="str">
        <f>IF(DSDV!K363&lt;&gt;"",DSDV!K363,"")</f>
        <v/>
      </c>
      <c r="D358" s="366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4" t="str">
        <f>IF(DSDV!K364&lt;&gt;"",DSDV!K364,"")</f>
        <v/>
      </c>
      <c r="D359" s="366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4" t="str">
        <f>IF(DSDV!K365&lt;&gt;"",DSDV!K365,"")</f>
        <v/>
      </c>
      <c r="D360" s="366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4" t="str">
        <f>IF(DSDV!K366&lt;&gt;"",DSDV!K366,"")</f>
        <v/>
      </c>
      <c r="D361" s="366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4" t="str">
        <f>IF(DSDV!K367&lt;&gt;"",DSDV!K367,"")</f>
        <v/>
      </c>
      <c r="D362" s="366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4" t="str">
        <f>IF(DSDV!K368&lt;&gt;"",DSDV!K368,"")</f>
        <v/>
      </c>
      <c r="D363" s="366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4" t="str">
        <f>IF(DSDV!K369&lt;&gt;"",DSDV!K369,"")</f>
        <v/>
      </c>
      <c r="D364" s="366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4" t="str">
        <f>IF(DSDV!K370&lt;&gt;"",DSDV!K370,"")</f>
        <v/>
      </c>
      <c r="D365" s="366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4" t="str">
        <f>IF(DSDV!K371&lt;&gt;"",DSDV!K371,"")</f>
        <v/>
      </c>
      <c r="D366" s="366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4" t="str">
        <f>IF(DSDV!K372&lt;&gt;"",DSDV!K372,"")</f>
        <v/>
      </c>
      <c r="D367" s="366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4" t="str">
        <f>IF(DSDV!K373&lt;&gt;"",DSDV!K373,"")</f>
        <v/>
      </c>
      <c r="D368" s="366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4" t="str">
        <f>IF(DSDV!K374&lt;&gt;"",DSDV!K374,"")</f>
        <v/>
      </c>
      <c r="D369" s="366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4" t="str">
        <f>IF(DSDV!K375&lt;&gt;"",DSDV!K375,"")</f>
        <v/>
      </c>
      <c r="D370" s="366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4" t="str">
        <f>IF(DSDV!K376&lt;&gt;"",DSDV!K376,"")</f>
        <v/>
      </c>
      <c r="D371" s="366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4" t="str">
        <f>IF(DSDV!K377&lt;&gt;"",DSDV!K377,"")</f>
        <v/>
      </c>
      <c r="D372" s="366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4" t="str">
        <f>IF(DSDV!K378&lt;&gt;"",DSDV!K378,"")</f>
        <v/>
      </c>
      <c r="D373" s="366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4" t="str">
        <f>IF(DSDV!K379&lt;&gt;"",DSDV!K379,"")</f>
        <v/>
      </c>
      <c r="D374" s="366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4" t="str">
        <f>IF(DSDV!K380&lt;&gt;"",DSDV!K380,"")</f>
        <v/>
      </c>
      <c r="D375" s="366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4" t="str">
        <f>IF(DSDV!K381&lt;&gt;"",DSDV!K381,"")</f>
        <v/>
      </c>
      <c r="D376" s="366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4" t="str">
        <f>IF(DSDV!K382&lt;&gt;"",DSDV!K382,"")</f>
        <v/>
      </c>
      <c r="D377" s="366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4" t="str">
        <f>IF(DSDV!K383&lt;&gt;"",DSDV!K383,"")</f>
        <v/>
      </c>
      <c r="D378" s="366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4" t="str">
        <f>IF(DSDV!K384&lt;&gt;"",DSDV!K384,"")</f>
        <v/>
      </c>
      <c r="D379" s="366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4" t="str">
        <f>IF(DSDV!K385&lt;&gt;"",DSDV!K385,"")</f>
        <v/>
      </c>
      <c r="D380" s="366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4" t="str">
        <f>IF(DSDV!K386&lt;&gt;"",DSDV!K386,"")</f>
        <v/>
      </c>
      <c r="D381" s="366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4" t="str">
        <f>IF(DSDV!K387&lt;&gt;"",DSDV!K387,"")</f>
        <v/>
      </c>
      <c r="D382" s="366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4" t="str">
        <f>IF(DSDV!K388&lt;&gt;"",DSDV!K388,"")</f>
        <v/>
      </c>
      <c r="D383" s="366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4" t="str">
        <f>IF(DSDV!K389&lt;&gt;"",DSDV!K389,"")</f>
        <v/>
      </c>
      <c r="D384" s="366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4" t="str">
        <f>IF(DSDV!K390&lt;&gt;"",DSDV!K390,"")</f>
        <v/>
      </c>
      <c r="D385" s="366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4" t="str">
        <f>IF(DSDV!K391&lt;&gt;"",DSDV!K391,"")</f>
        <v/>
      </c>
      <c r="D386" s="366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4" t="str">
        <f>IF(DSDV!K392&lt;&gt;"",DSDV!K392,"")</f>
        <v/>
      </c>
      <c r="D387" s="366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4" t="str">
        <f>IF(DSDV!K393&lt;&gt;"",DSDV!K393,"")</f>
        <v/>
      </c>
      <c r="D388" s="366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4" t="str">
        <f>IF(DSDV!K394&lt;&gt;"",DSDV!K394,"")</f>
        <v/>
      </c>
      <c r="D389" s="366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4" t="str">
        <f>IF(DSDV!K395&lt;&gt;"",DSDV!K395,"")</f>
        <v/>
      </c>
      <c r="D390" s="366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4" t="str">
        <f>IF(DSDV!K396&lt;&gt;"",DSDV!K396,"")</f>
        <v/>
      </c>
      <c r="D391" s="366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4" t="str">
        <f>IF(DSDV!K397&lt;&gt;"",DSDV!K397,"")</f>
        <v/>
      </c>
      <c r="D392" s="366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4" t="str">
        <f>IF(DSDV!K398&lt;&gt;"",DSDV!K398,"")</f>
        <v/>
      </c>
      <c r="D393" s="366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4" t="str">
        <f>IF(DSDV!K399&lt;&gt;"",DSDV!K399,"")</f>
        <v/>
      </c>
      <c r="D394" s="366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4" t="str">
        <f>IF(DSDV!K400&lt;&gt;"",DSDV!K400,"")</f>
        <v/>
      </c>
      <c r="D395" s="366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4" t="str">
        <f>IF(DSDV!K401&lt;&gt;"",DSDV!K401,"")</f>
        <v/>
      </c>
      <c r="D396" s="366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4" t="str">
        <f>IF(DSDV!K402&lt;&gt;"",DSDV!K402,"")</f>
        <v/>
      </c>
      <c r="D397" s="366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4" t="str">
        <f>IF(DSDV!K403&lt;&gt;"",DSDV!K403,"")</f>
        <v/>
      </c>
      <c r="D398" s="366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4" t="str">
        <f>IF(DSDV!K404&lt;&gt;"",DSDV!K404,"")</f>
        <v/>
      </c>
      <c r="D399" s="366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4" t="str">
        <f>IF(DSDV!K405&lt;&gt;"",DSDV!K405,"")</f>
        <v/>
      </c>
      <c r="D400" s="366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4" t="str">
        <f>IF(DSDV!K406&lt;&gt;"",DSDV!K406,"")</f>
        <v/>
      </c>
      <c r="D401" s="366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4" t="str">
        <f>IF(DSDV!K407&lt;&gt;"",DSDV!K407,"")</f>
        <v/>
      </c>
      <c r="D402" s="366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4" t="str">
        <f>IF(DSDV!K408&lt;&gt;"",DSDV!K408,"")</f>
        <v/>
      </c>
      <c r="D403" s="366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4" t="str">
        <f>IF(DSDV!K409&lt;&gt;"",DSDV!K409,"")</f>
        <v/>
      </c>
      <c r="D404" s="366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4" t="str">
        <f>IF(DSDV!K410&lt;&gt;"",DSDV!K410,"")</f>
        <v/>
      </c>
      <c r="D405" s="366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4" t="str">
        <f>IF(DSDV!K411&lt;&gt;"",DSDV!K411,"")</f>
        <v/>
      </c>
      <c r="D406" s="366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4" t="str">
        <f>IF(DSDV!K412&lt;&gt;"",DSDV!K412,"")</f>
        <v/>
      </c>
      <c r="D407" s="366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4" t="str">
        <f>IF(DSDV!K413&lt;&gt;"",DSDV!K413,"")</f>
        <v/>
      </c>
      <c r="D408" s="366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4" t="str">
        <f>IF(DSDV!K414&lt;&gt;"",DSDV!K414,"")</f>
        <v/>
      </c>
      <c r="D409" s="366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4" t="str">
        <f>IF(DSDV!K415&lt;&gt;"",DSDV!K415,"")</f>
        <v/>
      </c>
      <c r="D410" s="366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4" t="str">
        <f>IF(DSDV!K416&lt;&gt;"",DSDV!K416,"")</f>
        <v/>
      </c>
      <c r="D411" s="366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4" t="str">
        <f>IF(DSDV!K417&lt;&gt;"",DSDV!K417,"")</f>
        <v/>
      </c>
      <c r="D412" s="366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4" t="str">
        <f>IF(DSDV!K418&lt;&gt;"",DSDV!K418,"")</f>
        <v/>
      </c>
      <c r="D413" s="366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4" t="str">
        <f>IF(DSDV!K419&lt;&gt;"",DSDV!K419,"")</f>
        <v/>
      </c>
      <c r="D414" s="366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4" t="str">
        <f>IF(DSDV!K420&lt;&gt;"",DSDV!K420,"")</f>
        <v/>
      </c>
      <c r="D415" s="366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4" t="str">
        <f>IF(DSDV!K421&lt;&gt;"",DSDV!K421,"")</f>
        <v/>
      </c>
      <c r="D416" s="366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4" t="str">
        <f>IF(DSDV!K422&lt;&gt;"",DSDV!K422,"")</f>
        <v/>
      </c>
      <c r="D417" s="366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4" t="str">
        <f>IF(DSDV!K423&lt;&gt;"",DSDV!K423,"")</f>
        <v/>
      </c>
      <c r="D418" s="366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4" t="str">
        <f>IF(DSDV!K424&lt;&gt;"",DSDV!K424,"")</f>
        <v/>
      </c>
      <c r="D419" s="366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4" t="str">
        <f>IF(DSDV!K425&lt;&gt;"",DSDV!K425,"")</f>
        <v/>
      </c>
      <c r="D420" s="366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4" t="str">
        <f>IF(DSDV!K426&lt;&gt;"",DSDV!K426,"")</f>
        <v/>
      </c>
      <c r="D421" s="366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4" t="str">
        <f>IF(DSDV!K427&lt;&gt;"",DSDV!K427,"")</f>
        <v/>
      </c>
      <c r="D422" s="366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4" t="str">
        <f>IF(DSDV!K428&lt;&gt;"",DSDV!K428,"")</f>
        <v/>
      </c>
      <c r="D423" s="366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4" t="str">
        <f>IF(DSDV!K429&lt;&gt;"",DSDV!K429,"")</f>
        <v/>
      </c>
      <c r="D424" s="366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4" t="str">
        <f>IF(DSDV!K430&lt;&gt;"",DSDV!K430,"")</f>
        <v/>
      </c>
      <c r="D425" s="366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4" t="str">
        <f>IF(DSDV!K431&lt;&gt;"",DSDV!K431,"")</f>
        <v/>
      </c>
      <c r="D426" s="366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4" t="str">
        <f>IF(DSDV!K432&lt;&gt;"",DSDV!K432,"")</f>
        <v/>
      </c>
      <c r="D427" s="366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4" t="str">
        <f>IF(DSDV!K433&lt;&gt;"",DSDV!K433,"")</f>
        <v/>
      </c>
      <c r="D428" s="366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4" t="str">
        <f>IF(DSDV!K434&lt;&gt;"",DSDV!K434,"")</f>
        <v/>
      </c>
      <c r="D429" s="366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4" t="str">
        <f>IF(DSDV!K435&lt;&gt;"",DSDV!K435,"")</f>
        <v/>
      </c>
      <c r="D430" s="366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4" t="str">
        <f>IF(DSDV!K436&lt;&gt;"",DSDV!K436,"")</f>
        <v/>
      </c>
      <c r="D431" s="366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4" t="str">
        <f>IF(DSDV!K437&lt;&gt;"",DSDV!K437,"")</f>
        <v/>
      </c>
      <c r="D432" s="366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4" t="str">
        <f>IF(DSDV!K438&lt;&gt;"",DSDV!K438,"")</f>
        <v/>
      </c>
      <c r="D433" s="366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4" t="str">
        <f>IF(DSDV!K439&lt;&gt;"",DSDV!K439,"")</f>
        <v/>
      </c>
      <c r="D434" s="366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4" t="str">
        <f>IF(DSDV!K440&lt;&gt;"",DSDV!K440,"")</f>
        <v/>
      </c>
      <c r="D435" s="366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4" t="str">
        <f>IF(DSDV!K441&lt;&gt;"",DSDV!K441,"")</f>
        <v/>
      </c>
      <c r="D436" s="366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4" t="str">
        <f>IF(DSDV!K442&lt;&gt;"",DSDV!K442,"")</f>
        <v/>
      </c>
      <c r="D437" s="366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4" t="str">
        <f>IF(DSDV!K443&lt;&gt;"",DSDV!K443,"")</f>
        <v/>
      </c>
      <c r="D438" s="366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4" t="str">
        <f>IF(DSDV!K444&lt;&gt;"",DSDV!K444,"")</f>
        <v/>
      </c>
      <c r="D439" s="366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4" t="str">
        <f>IF(DSDV!K445&lt;&gt;"",DSDV!K445,"")</f>
        <v/>
      </c>
      <c r="D440" s="366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4" t="str">
        <f>IF(DSDV!K446&lt;&gt;"",DSDV!K446,"")</f>
        <v/>
      </c>
      <c r="D441" s="366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4" t="str">
        <f>IF(DSDV!K447&lt;&gt;"",DSDV!K447,"")</f>
        <v/>
      </c>
      <c r="D442" s="366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4" t="str">
        <f>IF(DSDV!K448&lt;&gt;"",DSDV!K448,"")</f>
        <v/>
      </c>
      <c r="D443" s="366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4" t="str">
        <f>IF(DSDV!K449&lt;&gt;"",DSDV!K449,"")</f>
        <v/>
      </c>
      <c r="D444" s="366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4" t="str">
        <f>IF(DSDV!K450&lt;&gt;"",DSDV!K450,"")</f>
        <v/>
      </c>
      <c r="D445" s="366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4" t="str">
        <f>IF(DSDV!K451&lt;&gt;"",DSDV!K451,"")</f>
        <v/>
      </c>
      <c r="D446" s="366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4" t="str">
        <f>IF(DSDV!K452&lt;&gt;"",DSDV!K452,"")</f>
        <v/>
      </c>
      <c r="D447" s="366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4" t="str">
        <f>IF(DSDV!K453&lt;&gt;"",DSDV!K453,"")</f>
        <v/>
      </c>
      <c r="D448" s="366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4" t="str">
        <f>IF(DSDV!K454&lt;&gt;"",DSDV!K454,"")</f>
        <v/>
      </c>
      <c r="D449" s="366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4" t="str">
        <f>IF(DSDV!K455&lt;&gt;"",DSDV!K455,"")</f>
        <v/>
      </c>
      <c r="D450" s="366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4" t="str">
        <f>IF(DSDV!K456&lt;&gt;"",DSDV!K456,"")</f>
        <v/>
      </c>
      <c r="D451" s="366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4" t="str">
        <f>IF(DSDV!K457&lt;&gt;"",DSDV!K457,"")</f>
        <v/>
      </c>
      <c r="D452" s="366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4" t="str">
        <f>IF(DSDV!K458&lt;&gt;"",DSDV!K458,"")</f>
        <v/>
      </c>
      <c r="D453" s="366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4" t="str">
        <f>IF(DSDV!K459&lt;&gt;"",DSDV!K459,"")</f>
        <v/>
      </c>
      <c r="D454" s="366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4" t="str">
        <f>IF(DSDV!K460&lt;&gt;"",DSDV!K460,"")</f>
        <v/>
      </c>
      <c r="D455" s="366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4" t="str">
        <f>IF(DSDV!K461&lt;&gt;"",DSDV!K461,"")</f>
        <v/>
      </c>
      <c r="D456" s="366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4" t="str">
        <f>IF(DSDV!K462&lt;&gt;"",DSDV!K462,"")</f>
        <v/>
      </c>
      <c r="D457" s="366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4" t="str">
        <f>IF(DSDV!K463&lt;&gt;"",DSDV!K463,"")</f>
        <v/>
      </c>
      <c r="D458" s="366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4" t="str">
        <f>IF(DSDV!K464&lt;&gt;"",DSDV!K464,"")</f>
        <v/>
      </c>
      <c r="D459" s="366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4" t="str">
        <f>IF(DSDV!K465&lt;&gt;"",DSDV!K465,"")</f>
        <v/>
      </c>
      <c r="D460" s="366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4" t="str">
        <f>IF(DSDV!K466&lt;&gt;"",DSDV!K466,"")</f>
        <v/>
      </c>
      <c r="D461" s="366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4" t="str">
        <f>IF(DSDV!K467&lt;&gt;"",DSDV!K467,"")</f>
        <v/>
      </c>
      <c r="D462" s="366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4" t="str">
        <f>IF(DSDV!K468&lt;&gt;"",DSDV!K468,"")</f>
        <v/>
      </c>
      <c r="D463" s="366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4" t="str">
        <f>IF(DSDV!K469&lt;&gt;"",DSDV!K469,"")</f>
        <v/>
      </c>
      <c r="D464" s="366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4" t="str">
        <f>IF(DSDV!K470&lt;&gt;"",DSDV!K470,"")</f>
        <v/>
      </c>
      <c r="D465" s="366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4" t="str">
        <f>IF(DSDV!K471&lt;&gt;"",DSDV!K471,"")</f>
        <v/>
      </c>
      <c r="D466" s="366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4" t="str">
        <f>IF(DSDV!K472&lt;&gt;"",DSDV!K472,"")</f>
        <v/>
      </c>
      <c r="D467" s="366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4" t="str">
        <f>IF(DSDV!K473&lt;&gt;"",DSDV!K473,"")</f>
        <v/>
      </c>
      <c r="D468" s="366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4" t="str">
        <f>IF(DSDV!K474&lt;&gt;"",DSDV!K474,"")</f>
        <v/>
      </c>
      <c r="D469" s="366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4" t="str">
        <f>IF(DSDV!K475&lt;&gt;"",DSDV!K475,"")</f>
        <v/>
      </c>
      <c r="D470" s="366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4" t="str">
        <f>IF(DSDV!K476&lt;&gt;"",DSDV!K476,"")</f>
        <v/>
      </c>
      <c r="D471" s="366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4" t="str">
        <f>IF(DSDV!K477&lt;&gt;"",DSDV!K477,"")</f>
        <v/>
      </c>
      <c r="D472" s="366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4" t="str">
        <f>IF(DSDV!K478&lt;&gt;"",DSDV!K478,"")</f>
        <v/>
      </c>
      <c r="D473" s="366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4" t="str">
        <f>IF(DSDV!K479&lt;&gt;"",DSDV!K479,"")</f>
        <v/>
      </c>
      <c r="D474" s="366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4" t="str">
        <f>IF(DSDV!K480&lt;&gt;"",DSDV!K480,"")</f>
        <v/>
      </c>
      <c r="D475" s="366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4" t="str">
        <f>IF(DSDV!K481&lt;&gt;"",DSDV!K481,"")</f>
        <v/>
      </c>
      <c r="D476" s="366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4" t="str">
        <f>IF(DSDV!K482&lt;&gt;"",DSDV!K482,"")</f>
        <v/>
      </c>
      <c r="D477" s="366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4" t="str">
        <f>IF(DSDV!K483&lt;&gt;"",DSDV!K483,"")</f>
        <v/>
      </c>
      <c r="D478" s="366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4" t="str">
        <f>IF(DSDV!K484&lt;&gt;"",DSDV!K484,"")</f>
        <v/>
      </c>
      <c r="D479" s="366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4" t="str">
        <f>IF(DSDV!K485&lt;&gt;"",DSDV!K485,"")</f>
        <v/>
      </c>
      <c r="D480" s="366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4" t="str">
        <f>IF(DSDV!K486&lt;&gt;"",DSDV!K486,"")</f>
        <v/>
      </c>
      <c r="D481" s="366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4" t="str">
        <f>IF(DSDV!K487&lt;&gt;"",DSDV!K487,"")</f>
        <v/>
      </c>
      <c r="D482" s="366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4" t="str">
        <f>IF(DSDV!K488&lt;&gt;"",DSDV!K488,"")</f>
        <v/>
      </c>
      <c r="D483" s="366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4" t="str">
        <f>IF(DSDV!K489&lt;&gt;"",DSDV!K489,"")</f>
        <v/>
      </c>
      <c r="D484" s="366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4" t="str">
        <f>IF(DSDV!K490&lt;&gt;"",DSDV!K490,"")</f>
        <v/>
      </c>
      <c r="D485" s="366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4" t="str">
        <f>IF(DSDV!K491&lt;&gt;"",DSDV!K491,"")</f>
        <v/>
      </c>
      <c r="D486" s="366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4" t="str">
        <f>IF(DSDV!K492&lt;&gt;"",DSDV!K492,"")</f>
        <v/>
      </c>
      <c r="D487" s="366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4" t="str">
        <f>IF(DSDV!K493&lt;&gt;"",DSDV!K493,"")</f>
        <v/>
      </c>
      <c r="D488" s="366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4" t="str">
        <f>IF(DSDV!K494&lt;&gt;"",DSDV!K494,"")</f>
        <v/>
      </c>
      <c r="D489" s="366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4" t="str">
        <f>IF(DSDV!K495&lt;&gt;"",DSDV!K495,"")</f>
        <v/>
      </c>
      <c r="D490" s="366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4" t="str">
        <f>IF(DSDV!K496&lt;&gt;"",DSDV!K496,"")</f>
        <v/>
      </c>
      <c r="D491" s="366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4" t="str">
        <f>IF(DSDV!K497&lt;&gt;"",DSDV!K497,"")</f>
        <v/>
      </c>
      <c r="D492" s="366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4" t="str">
        <f>IF(DSDV!K498&lt;&gt;"",DSDV!K498,"")</f>
        <v/>
      </c>
      <c r="D493" s="366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4" t="str">
        <f>IF(DSDV!K499&lt;&gt;"",DSDV!K499,"")</f>
        <v/>
      </c>
      <c r="D494" s="366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4" t="str">
        <f>IF(DSDV!K500&lt;&gt;"",DSDV!K500,"")</f>
        <v/>
      </c>
      <c r="D495" s="366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4" t="str">
        <f>IF(DSDV!K501&lt;&gt;"",DSDV!K501,"")</f>
        <v/>
      </c>
      <c r="D496" s="366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4" t="str">
        <f>IF(DSDV!K502&lt;&gt;"",DSDV!K502,"")</f>
        <v/>
      </c>
      <c r="D497" s="366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4" t="str">
        <f>IF(DSDV!K503&lt;&gt;"",DSDV!K503,"")</f>
        <v/>
      </c>
      <c r="D498" s="366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4" t="str">
        <f>IF(DSDV!K504&lt;&gt;"",DSDV!K504,"")</f>
        <v/>
      </c>
      <c r="D499" s="366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4" t="str">
        <f>IF(DSDV!K505&lt;&gt;"",DSDV!K505,"")</f>
        <v/>
      </c>
      <c r="D500" s="366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4" t="str">
        <f>IF(DSDV!K506&lt;&gt;"",DSDV!K506,"")</f>
        <v/>
      </c>
      <c r="D501" s="366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4" t="str">
        <f>IF(DSDV!K507&lt;&gt;"",DSDV!K507,"")</f>
        <v/>
      </c>
      <c r="D502" s="366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4" t="str">
        <f>IF(DSDV!K508&lt;&gt;"",DSDV!K508,"")</f>
        <v/>
      </c>
      <c r="D503" s="366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4" t="str">
        <f>IF(DSDV!K509&lt;&gt;"",DSDV!K509,"")</f>
        <v/>
      </c>
      <c r="D504" s="366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4" t="str">
        <f>IF(DSDV!K510&lt;&gt;"",DSDV!K510,"")</f>
        <v/>
      </c>
      <c r="D505" s="366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4" t="str">
        <f>IF(DSDV!K511&lt;&gt;"",DSDV!K511,"")</f>
        <v/>
      </c>
      <c r="D506" s="366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4" t="str">
        <f>IF(DSDV!K512&lt;&gt;"",DSDV!K512,"")</f>
        <v/>
      </c>
      <c r="D507" s="366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4" t="str">
        <f>IF(DSDV!K513&lt;&gt;"",DSDV!K513,"")</f>
        <v/>
      </c>
      <c r="D508" s="366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4" t="str">
        <f>IF(DSDV!K514&lt;&gt;"",DSDV!K514,"")</f>
        <v/>
      </c>
      <c r="D509" s="366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4" t="str">
        <f>IF(DSDV!K515&lt;&gt;"",DSDV!K515,"")</f>
        <v/>
      </c>
      <c r="D510" s="366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4" t="str">
        <f>IF(DSDV!K516&lt;&gt;"",DSDV!K516,"")</f>
        <v/>
      </c>
      <c r="D511" s="366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4" t="str">
        <f>IF(DSDV!K517&lt;&gt;"",DSDV!K517,"")</f>
        <v/>
      </c>
      <c r="D512" s="366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4" t="str">
        <f>IF(DSDV!K518&lt;&gt;"",DSDV!K518,"")</f>
        <v/>
      </c>
      <c r="D513" s="366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4" t="str">
        <f>IF(DSDV!K519&lt;&gt;"",DSDV!K519,"")</f>
        <v/>
      </c>
      <c r="D514" s="366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4" t="str">
        <f>IF(DSDV!K520&lt;&gt;"",DSDV!K520,"")</f>
        <v/>
      </c>
      <c r="D515" s="366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4" t="str">
        <f>IF(DSDV!K521&lt;&gt;"",DSDV!K521,"")</f>
        <v/>
      </c>
      <c r="D516" s="366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4" t="str">
        <f>IF(DSDV!K522&lt;&gt;"",DSDV!K522,"")</f>
        <v/>
      </c>
      <c r="D517" s="366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4" t="str">
        <f>IF(DSDV!K523&lt;&gt;"",DSDV!K523,"")</f>
        <v/>
      </c>
      <c r="D518" s="366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4" t="str">
        <f>IF(DSDV!K524&lt;&gt;"",DSDV!K524,"")</f>
        <v/>
      </c>
      <c r="D519" s="366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4" t="str">
        <f>IF(DSDV!K525&lt;&gt;"",DSDV!K525,"")</f>
        <v/>
      </c>
      <c r="D520" s="366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4" t="str">
        <f>IF(DSDV!K526&lt;&gt;"",DSDV!K526,"")</f>
        <v/>
      </c>
      <c r="D521" s="366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4" t="str">
        <f>IF(DSDV!K527&lt;&gt;"",DSDV!K527,"")</f>
        <v/>
      </c>
      <c r="D522" s="366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4" t="str">
        <f>IF(DSDV!K528&lt;&gt;"",DSDV!K528,"")</f>
        <v/>
      </c>
      <c r="D523" s="366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4" t="str">
        <f>IF(DSDV!K529&lt;&gt;"",DSDV!K529,"")</f>
        <v/>
      </c>
      <c r="D524" s="366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4" t="str">
        <f>IF(DSDV!K530&lt;&gt;"",DSDV!K530,"")</f>
        <v/>
      </c>
      <c r="D525" s="366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4" t="str">
        <f>IF(DSDV!K531&lt;&gt;"",DSDV!K531,"")</f>
        <v/>
      </c>
      <c r="D526" s="366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4" t="str">
        <f>IF(DSDV!K532&lt;&gt;"",DSDV!K532,"")</f>
        <v/>
      </c>
      <c r="D527" s="366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4" t="str">
        <f>IF(DSDV!K533&lt;&gt;"",DSDV!K533,"")</f>
        <v/>
      </c>
      <c r="D528" s="366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4" t="str">
        <f>IF(DSDV!K534&lt;&gt;"",DSDV!K534,"")</f>
        <v/>
      </c>
      <c r="D529" s="366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4" t="str">
        <f>IF(DSDV!K535&lt;&gt;"",DSDV!K535,"")</f>
        <v/>
      </c>
      <c r="D530" s="366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4" t="str">
        <f>IF(DSDV!K536&lt;&gt;"",DSDV!K536,"")</f>
        <v/>
      </c>
      <c r="D531" s="366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4" t="str">
        <f>IF(DSDV!K537&lt;&gt;"",DSDV!K537,"")</f>
        <v/>
      </c>
      <c r="D532" s="366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4" t="str">
        <f>IF(DSDV!K538&lt;&gt;"",DSDV!K538,"")</f>
        <v/>
      </c>
      <c r="D533" s="366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4" t="str">
        <f>IF(DSDV!K539&lt;&gt;"",DSDV!K539,"")</f>
        <v/>
      </c>
      <c r="D534" s="366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4" t="str">
        <f>IF(DSDV!K540&lt;&gt;"",DSDV!K540,"")</f>
        <v/>
      </c>
      <c r="D535" s="366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4" t="str">
        <f>IF(DSDV!K541&lt;&gt;"",DSDV!K541,"")</f>
        <v/>
      </c>
      <c r="D536" s="366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4" t="str">
        <f>IF(DSDV!K542&lt;&gt;"",DSDV!K542,"")</f>
        <v/>
      </c>
      <c r="D537" s="366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4" t="str">
        <f>IF(DSDV!K543&lt;&gt;"",DSDV!K543,"")</f>
        <v/>
      </c>
      <c r="D538" s="366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4" t="str">
        <f>IF(DSDV!K544&lt;&gt;"",DSDV!K544,"")</f>
        <v/>
      </c>
      <c r="D539" s="366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4" t="str">
        <f>IF(DSDV!K545&lt;&gt;"",DSDV!K545,"")</f>
        <v/>
      </c>
      <c r="D540" s="366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4" t="str">
        <f>IF(DSDV!K546&lt;&gt;"",DSDV!K546,"")</f>
        <v/>
      </c>
      <c r="D541" s="366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4" t="str">
        <f>IF(DSDV!K547&lt;&gt;"",DSDV!K547,"")</f>
        <v/>
      </c>
      <c r="D542" s="366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4" t="str">
        <f>IF(DSDV!K548&lt;&gt;"",DSDV!K548,"")</f>
        <v/>
      </c>
      <c r="D543" s="366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4" t="str">
        <f>IF(DSDV!K549&lt;&gt;"",DSDV!K549,"")</f>
        <v/>
      </c>
      <c r="D544" s="366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4" t="str">
        <f>IF(DSDV!K550&lt;&gt;"",DSDV!K550,"")</f>
        <v/>
      </c>
      <c r="D545" s="366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4" t="str">
        <f>IF(DSDV!K551&lt;&gt;"",DSDV!K551,"")</f>
        <v/>
      </c>
      <c r="D546" s="366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4" t="str">
        <f>IF(DSDV!K552&lt;&gt;"",DSDV!K552,"")</f>
        <v/>
      </c>
      <c r="D547" s="366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4" t="str">
        <f>IF(DSDV!K553&lt;&gt;"",DSDV!K553,"")</f>
        <v/>
      </c>
      <c r="D548" s="366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4" t="str">
        <f>IF(DSDV!K554&lt;&gt;"",DSDV!K554,"")</f>
        <v/>
      </c>
      <c r="D549" s="366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4" t="str">
        <f>IF(DSDV!K555&lt;&gt;"",DSDV!K555,"")</f>
        <v/>
      </c>
      <c r="D550" s="366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4" t="str">
        <f>IF(DSDV!K556&lt;&gt;"",DSDV!K556,"")</f>
        <v/>
      </c>
      <c r="D551" s="366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4" t="str">
        <f>IF(DSDV!K557&lt;&gt;"",DSDV!K557,"")</f>
        <v/>
      </c>
      <c r="D552" s="366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4" t="str">
        <f>IF(DSDV!K558&lt;&gt;"",DSDV!K558,"")</f>
        <v/>
      </c>
      <c r="D553" s="366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4" t="str">
        <f>IF(DSDV!K559&lt;&gt;"",DSDV!K559,"")</f>
        <v/>
      </c>
      <c r="D554" s="366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4" t="str">
        <f>IF(DSDV!K560&lt;&gt;"",DSDV!K560,"")</f>
        <v/>
      </c>
      <c r="D555" s="366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4" t="str">
        <f>IF(DSDV!K561&lt;&gt;"",DSDV!K561,"")</f>
        <v/>
      </c>
      <c r="D556" s="366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4" t="str">
        <f>IF(DSDV!K562&lt;&gt;"",DSDV!K562,"")</f>
        <v/>
      </c>
      <c r="D557" s="366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4" t="str">
        <f>IF(DSDV!K563&lt;&gt;"",DSDV!K563,"")</f>
        <v/>
      </c>
      <c r="D558" s="366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4" t="str">
        <f>IF(DSDV!K564&lt;&gt;"",DSDV!K564,"")</f>
        <v/>
      </c>
      <c r="D559" s="366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4" t="str">
        <f>IF(DSDV!K565&lt;&gt;"",DSDV!K565,"")</f>
        <v/>
      </c>
      <c r="D560" s="366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4" t="str">
        <f>IF(DSDV!K566&lt;&gt;"",DSDV!K566,"")</f>
        <v/>
      </c>
      <c r="D561" s="366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4" t="str">
        <f>IF(DSDV!K567&lt;&gt;"",DSDV!K567,"")</f>
        <v/>
      </c>
      <c r="D562" s="366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4" t="str">
        <f>IF(DSDV!K568&lt;&gt;"",DSDV!K568,"")</f>
        <v/>
      </c>
      <c r="D563" s="366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4" t="str">
        <f>IF(DSDV!K569&lt;&gt;"",DSDV!K569,"")</f>
        <v/>
      </c>
      <c r="D564" s="366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4" t="str">
        <f>IF(DSDV!K570&lt;&gt;"",DSDV!K570,"")</f>
        <v/>
      </c>
      <c r="D565" s="366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4" t="str">
        <f>IF(DSDV!K571&lt;&gt;"",DSDV!K571,"")</f>
        <v/>
      </c>
      <c r="D566" s="366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4" t="str">
        <f>IF(DSDV!K572&lt;&gt;"",DSDV!K572,"")</f>
        <v/>
      </c>
      <c r="D567" s="366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4" t="str">
        <f>IF(DSDV!K573&lt;&gt;"",DSDV!K573,"")</f>
        <v/>
      </c>
      <c r="D568" s="366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4" t="str">
        <f>IF(DSDV!K574&lt;&gt;"",DSDV!K574,"")</f>
        <v/>
      </c>
      <c r="D569" s="366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4" t="str">
        <f>IF(DSDV!K575&lt;&gt;"",DSDV!K575,"")</f>
        <v/>
      </c>
      <c r="D570" s="366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4" t="str">
        <f>IF(DSDV!K576&lt;&gt;"",DSDV!K576,"")</f>
        <v/>
      </c>
      <c r="D571" s="366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4" t="str">
        <f>IF(DSDV!K577&lt;&gt;"",DSDV!K577,"")</f>
        <v/>
      </c>
      <c r="D572" s="366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4" t="str">
        <f>IF(DSDV!K578&lt;&gt;"",DSDV!K578,"")</f>
        <v/>
      </c>
      <c r="D573" s="366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4" t="str">
        <f>IF(DSDV!K579&lt;&gt;"",DSDV!K579,"")</f>
        <v/>
      </c>
      <c r="D574" s="366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4" t="str">
        <f>IF(DSDV!K580&lt;&gt;"",DSDV!K580,"")</f>
        <v/>
      </c>
      <c r="D575" s="366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4" t="str">
        <f>IF(DSDV!K581&lt;&gt;"",DSDV!K581,"")</f>
        <v/>
      </c>
      <c r="D576" s="366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4" t="str">
        <f>IF(DSDV!K582&lt;&gt;"",DSDV!K582,"")</f>
        <v/>
      </c>
      <c r="D577" s="366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4" t="str">
        <f>IF(DSDV!K583&lt;&gt;"",DSDV!K583,"")</f>
        <v/>
      </c>
      <c r="D578" s="366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4" t="str">
        <f>IF(DSDV!K584&lt;&gt;"",DSDV!K584,"")</f>
        <v/>
      </c>
      <c r="D579" s="366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4" t="str">
        <f>IF(DSDV!K585&lt;&gt;"",DSDV!K585,"")</f>
        <v/>
      </c>
      <c r="D580" s="366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4" t="str">
        <f>IF(DSDV!K586&lt;&gt;"",DSDV!K586,"")</f>
        <v/>
      </c>
      <c r="D581" s="366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4" t="str">
        <f>IF(DSDV!K587&lt;&gt;"",DSDV!K587,"")</f>
        <v/>
      </c>
      <c r="D582" s="366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4" t="str">
        <f>IF(DSDV!K588&lt;&gt;"",DSDV!K588,"")</f>
        <v/>
      </c>
      <c r="D583" s="366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4" t="str">
        <f>IF(DSDV!K589&lt;&gt;"",DSDV!K589,"")</f>
        <v/>
      </c>
      <c r="D584" s="366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4" t="str">
        <f>IF(DSDV!K590&lt;&gt;"",DSDV!K590,"")</f>
        <v/>
      </c>
      <c r="D585" s="366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4" t="str">
        <f>IF(DSDV!K591&lt;&gt;"",DSDV!K591,"")</f>
        <v/>
      </c>
      <c r="D586" s="366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4" t="str">
        <f>IF(DSDV!K592&lt;&gt;"",DSDV!K592,"")</f>
        <v/>
      </c>
      <c r="D587" s="366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4" t="str">
        <f>IF(DSDV!K593&lt;&gt;"",DSDV!K593,"")</f>
        <v/>
      </c>
      <c r="D588" s="366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4" t="str">
        <f>IF(DSDV!K594&lt;&gt;"",DSDV!K594,"")</f>
        <v/>
      </c>
      <c r="D589" s="366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4" t="str">
        <f>IF(DSDV!K595&lt;&gt;"",DSDV!K595,"")</f>
        <v/>
      </c>
      <c r="D590" s="366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4" t="str">
        <f>IF(DSDV!K596&lt;&gt;"",DSDV!K596,"")</f>
        <v/>
      </c>
      <c r="D591" s="366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4" t="str">
        <f>IF(DSDV!K597&lt;&gt;"",DSDV!K597,"")</f>
        <v/>
      </c>
      <c r="D592" s="366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4" t="str">
        <f>IF(DSDV!K598&lt;&gt;"",DSDV!K598,"")</f>
        <v/>
      </c>
      <c r="D593" s="366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4" t="str">
        <f>IF(DSDV!K599&lt;&gt;"",DSDV!K599,"")</f>
        <v/>
      </c>
      <c r="D594" s="366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4" t="str">
        <f>IF(DSDV!K600&lt;&gt;"",DSDV!K600,"")</f>
        <v/>
      </c>
      <c r="D595" s="366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4" t="str">
        <f>IF(DSDV!K601&lt;&gt;"",DSDV!K601,"")</f>
        <v/>
      </c>
      <c r="D596" s="366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4" t="str">
        <f>IF(DSDV!K602&lt;&gt;"",DSDV!K602,"")</f>
        <v/>
      </c>
      <c r="D597" s="366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4" t="str">
        <f>IF(DSDV!K603&lt;&gt;"",DSDV!K603,"")</f>
        <v/>
      </c>
      <c r="D598" s="366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4" t="str">
        <f>IF(DSDV!K604&lt;&gt;"",DSDV!K604,"")</f>
        <v/>
      </c>
      <c r="D599" s="366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4" t="str">
        <f>IF(DSDV!K605&lt;&gt;"",DSDV!K605,"")</f>
        <v/>
      </c>
      <c r="D600" s="366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4" t="str">
        <f>IF(DSDV!K606&lt;&gt;"",DSDV!K606,"")</f>
        <v/>
      </c>
      <c r="D601" s="366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4" t="str">
        <f>IF(DSDV!K607&lt;&gt;"",DSDV!K607,"")</f>
        <v/>
      </c>
      <c r="D602" s="366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4" t="str">
        <f>IF(DSDV!K608&lt;&gt;"",DSDV!K608,"")</f>
        <v/>
      </c>
      <c r="D603" s="366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4" t="str">
        <f>IF(DSDV!K609&lt;&gt;"",DSDV!K609,"")</f>
        <v/>
      </c>
      <c r="D604" s="366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4" t="str">
        <f>IF(DSDV!K610&lt;&gt;"",DSDV!K610,"")</f>
        <v/>
      </c>
      <c r="D605" s="366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4" t="str">
        <f>IF(DSDV!K611&lt;&gt;"",DSDV!K611,"")</f>
        <v/>
      </c>
      <c r="D606" s="366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4" t="str">
        <f>IF(DSDV!K612&lt;&gt;"",DSDV!K612,"")</f>
        <v/>
      </c>
      <c r="D607" s="366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4" t="str">
        <f>IF(DSDV!K613&lt;&gt;"",DSDV!K613,"")</f>
        <v/>
      </c>
      <c r="D608" s="366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4" t="str">
        <f>IF(DSDV!K614&lt;&gt;"",DSDV!K614,"")</f>
        <v/>
      </c>
      <c r="D609" s="366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4" t="str">
        <f>IF(DSDV!K615&lt;&gt;"",DSDV!K615,"")</f>
        <v/>
      </c>
      <c r="D610" s="366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4" t="str">
        <f>IF(DSDV!K616&lt;&gt;"",DSDV!K616,"")</f>
        <v/>
      </c>
      <c r="D611" s="366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4" t="str">
        <f>IF(DSDV!K617&lt;&gt;"",DSDV!K617,"")</f>
        <v/>
      </c>
      <c r="D612" s="366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4" t="str">
        <f>IF(DSDV!K618&lt;&gt;"",DSDV!K618,"")</f>
        <v/>
      </c>
      <c r="D613" s="366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4" t="str">
        <f>IF(DSDV!K619&lt;&gt;"",DSDV!K619,"")</f>
        <v/>
      </c>
      <c r="D614" s="366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4" t="str">
        <f>IF(DSDV!K620&lt;&gt;"",DSDV!K620,"")</f>
        <v/>
      </c>
      <c r="D615" s="366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4" t="str">
        <f>IF(DSDV!K621&lt;&gt;"",DSDV!K621,"")</f>
        <v/>
      </c>
      <c r="D616" s="366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4" t="str">
        <f>IF(DSDV!K622&lt;&gt;"",DSDV!K622,"")</f>
        <v/>
      </c>
      <c r="D617" s="366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4" t="str">
        <f>IF(DSDV!K623&lt;&gt;"",DSDV!K623,"")</f>
        <v/>
      </c>
      <c r="D618" s="366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4" t="str">
        <f>IF(DSDV!K624&lt;&gt;"",DSDV!K624,"")</f>
        <v/>
      </c>
      <c r="D619" s="366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4" t="str">
        <f>IF(DSDV!K625&lt;&gt;"",DSDV!K625,"")</f>
        <v/>
      </c>
      <c r="D620" s="366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4" t="str">
        <f>IF(DSDV!K626&lt;&gt;"",DSDV!K626,"")</f>
        <v/>
      </c>
      <c r="D621" s="366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4" t="str">
        <f>IF(DSDV!K627&lt;&gt;"",DSDV!K627,"")</f>
        <v/>
      </c>
      <c r="D622" s="366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4" t="str">
        <f>IF(DSDV!K628&lt;&gt;"",DSDV!K628,"")</f>
        <v/>
      </c>
      <c r="D623" s="366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4" t="str">
        <f>IF(DSDV!K629&lt;&gt;"",DSDV!K629,"")</f>
        <v/>
      </c>
      <c r="D624" s="366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4" t="str">
        <f>IF(DSDV!K630&lt;&gt;"",DSDV!K630,"")</f>
        <v/>
      </c>
      <c r="D625" s="366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4" t="str">
        <f>IF(DSDV!K631&lt;&gt;"",DSDV!K631,"")</f>
        <v/>
      </c>
      <c r="D626" s="366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4" t="str">
        <f>IF(DSDV!K632&lt;&gt;"",DSDV!K632,"")</f>
        <v/>
      </c>
      <c r="D627" s="366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4" t="str">
        <f>IF(DSDV!K633&lt;&gt;"",DSDV!K633,"")</f>
        <v/>
      </c>
      <c r="D628" s="366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4" t="str">
        <f>IF(DSDV!K634&lt;&gt;"",DSDV!K634,"")</f>
        <v/>
      </c>
      <c r="D629" s="366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4" t="str">
        <f>IF(DSDV!K635&lt;&gt;"",DSDV!K635,"")</f>
        <v/>
      </c>
      <c r="D630" s="366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4" t="str">
        <f>IF(DSDV!K636&lt;&gt;"",DSDV!K636,"")</f>
        <v/>
      </c>
      <c r="D631" s="366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4" t="str">
        <f>IF(DSDV!K637&lt;&gt;"",DSDV!K637,"")</f>
        <v/>
      </c>
      <c r="D632" s="366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4" t="str">
        <f>IF(DSDV!K638&lt;&gt;"",DSDV!K638,"")</f>
        <v/>
      </c>
      <c r="D633" s="366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4" t="str">
        <f>IF(DSDV!K639&lt;&gt;"",DSDV!K639,"")</f>
        <v/>
      </c>
      <c r="D634" s="366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4" t="str">
        <f>IF(DSDV!K640&lt;&gt;"",DSDV!K640,"")</f>
        <v/>
      </c>
      <c r="D635" s="366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4" t="str">
        <f>IF(DSDV!K641&lt;&gt;"",DSDV!K641,"")</f>
        <v/>
      </c>
      <c r="D636" s="366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4" t="str">
        <f>IF(DSDV!K642&lt;&gt;"",DSDV!K642,"")</f>
        <v/>
      </c>
      <c r="D637" s="366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4" t="str">
        <f>IF(DSDV!K643&lt;&gt;"",DSDV!K643,"")</f>
        <v/>
      </c>
      <c r="D638" s="366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4" t="str">
        <f>IF(DSDV!K644&lt;&gt;"",DSDV!K644,"")</f>
        <v/>
      </c>
      <c r="D639" s="366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4" t="str">
        <f>IF(DSDV!K645&lt;&gt;"",DSDV!K645,"")</f>
        <v/>
      </c>
      <c r="D640" s="366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4" t="str">
        <f>IF(DSDV!K646&lt;&gt;"",DSDV!K646,"")</f>
        <v/>
      </c>
      <c r="D641" s="366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4" t="str">
        <f>IF(DSDV!K647&lt;&gt;"",DSDV!K647,"")</f>
        <v/>
      </c>
      <c r="D642" s="366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4" t="str">
        <f>IF(DSDV!K648&lt;&gt;"",DSDV!K648,"")</f>
        <v/>
      </c>
      <c r="D643" s="366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4" t="str">
        <f>IF(DSDV!K649&lt;&gt;"",DSDV!K649,"")</f>
        <v/>
      </c>
      <c r="D644" s="366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4" t="str">
        <f>IF(DSDV!K650&lt;&gt;"",DSDV!K650,"")</f>
        <v/>
      </c>
      <c r="D645" s="366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4" t="str">
        <f>IF(DSDV!K651&lt;&gt;"",DSDV!K651,"")</f>
        <v/>
      </c>
      <c r="D646" s="366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4" t="str">
        <f>IF(DSDV!K652&lt;&gt;"",DSDV!K652,"")</f>
        <v/>
      </c>
      <c r="D647" s="366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4" t="str">
        <f>IF(DSDV!K653&lt;&gt;"",DSDV!K653,"")</f>
        <v/>
      </c>
      <c r="D648" s="366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4" t="str">
        <f>IF(DSDV!K654&lt;&gt;"",DSDV!K654,"")</f>
        <v/>
      </c>
      <c r="D649" s="366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4" t="str">
        <f>IF(DSDV!K655&lt;&gt;"",DSDV!K655,"")</f>
        <v/>
      </c>
      <c r="D650" s="366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4" t="str">
        <f>IF(DSDV!K656&lt;&gt;"",DSDV!K656,"")</f>
        <v/>
      </c>
      <c r="D651" s="366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4" t="str">
        <f>IF(DSDV!K657&lt;&gt;"",DSDV!K657,"")</f>
        <v/>
      </c>
      <c r="D652" s="366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4" t="str">
        <f>IF(DSDV!K658&lt;&gt;"",DSDV!K658,"")</f>
        <v/>
      </c>
      <c r="D653" s="366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4" t="str">
        <f>IF(DSDV!K659&lt;&gt;"",DSDV!K659,"")</f>
        <v/>
      </c>
      <c r="D654" s="366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4" t="str">
        <f>IF(DSDV!K660&lt;&gt;"",DSDV!K660,"")</f>
        <v/>
      </c>
      <c r="D655" s="366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4" t="str">
        <f>IF(DSDV!K661&lt;&gt;"",DSDV!K661,"")</f>
        <v/>
      </c>
      <c r="D656" s="366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4" t="str">
        <f>IF(DSDV!K662&lt;&gt;"",DSDV!K662,"")</f>
        <v/>
      </c>
      <c r="D657" s="366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4" t="str">
        <f>IF(DSDV!K663&lt;&gt;"",DSDV!K663,"")</f>
        <v/>
      </c>
      <c r="D658" s="366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4" t="str">
        <f>IF(DSDV!K664&lt;&gt;"",DSDV!K664,"")</f>
        <v/>
      </c>
      <c r="D659" s="366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4" t="str">
        <f>IF(DSDV!K665&lt;&gt;"",DSDV!K665,"")</f>
        <v/>
      </c>
      <c r="D660" s="366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4" t="str">
        <f>IF(DSDV!K666&lt;&gt;"",DSDV!K666,"")</f>
        <v/>
      </c>
      <c r="D661" s="366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4" t="str">
        <f>IF(DSDV!K667&lt;&gt;"",DSDV!K667,"")</f>
        <v/>
      </c>
      <c r="D662" s="366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4" t="str">
        <f>IF(DSDV!K668&lt;&gt;"",DSDV!K668,"")</f>
        <v/>
      </c>
      <c r="D663" s="366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4" t="str">
        <f>IF(DSDV!K669&lt;&gt;"",DSDV!K669,"")</f>
        <v/>
      </c>
      <c r="D664" s="366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4" t="str">
        <f>IF(DSDV!K670&lt;&gt;"",DSDV!K670,"")</f>
        <v/>
      </c>
      <c r="D665" s="366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4" t="str">
        <f>IF(DSDV!K671&lt;&gt;"",DSDV!K671,"")</f>
        <v/>
      </c>
      <c r="D666" s="366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4" t="str">
        <f>IF(DSDV!K672&lt;&gt;"",DSDV!K672,"")</f>
        <v/>
      </c>
      <c r="D667" s="366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4" t="str">
        <f>IF(DSDV!K673&lt;&gt;"",DSDV!K673,"")</f>
        <v/>
      </c>
      <c r="D668" s="366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4" t="str">
        <f>IF(DSDV!K674&lt;&gt;"",DSDV!K674,"")</f>
        <v/>
      </c>
      <c r="D669" s="366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4" t="str">
        <f>IF(DSDV!K675&lt;&gt;"",DSDV!K675,"")</f>
        <v/>
      </c>
      <c r="D670" s="366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4" t="str">
        <f>IF(DSDV!K676&lt;&gt;"",DSDV!K676,"")</f>
        <v/>
      </c>
      <c r="D671" s="366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4" t="str">
        <f>IF(DSDV!K677&lt;&gt;"",DSDV!K677,"")</f>
        <v/>
      </c>
      <c r="D672" s="366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4" t="str">
        <f>IF(DSDV!K678&lt;&gt;"",DSDV!K678,"")</f>
        <v/>
      </c>
      <c r="D673" s="366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4" t="str">
        <f>IF(DSDV!K679&lt;&gt;"",DSDV!K679,"")</f>
        <v/>
      </c>
      <c r="D674" s="366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4" t="str">
        <f>IF(DSDV!K680&lt;&gt;"",DSDV!K680,"")</f>
        <v/>
      </c>
      <c r="D675" s="366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4" t="str">
        <f>IF(DSDV!K681&lt;&gt;"",DSDV!K681,"")</f>
        <v/>
      </c>
      <c r="D676" s="366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4" t="str">
        <f>IF(DSDV!K682&lt;&gt;"",DSDV!K682,"")</f>
        <v/>
      </c>
      <c r="D677" s="366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4" t="str">
        <f>IF(DSDV!K683&lt;&gt;"",DSDV!K683,"")</f>
        <v/>
      </c>
      <c r="D678" s="366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4" t="str">
        <f>IF(DSDV!K684&lt;&gt;"",DSDV!K684,"")</f>
        <v/>
      </c>
      <c r="D679" s="366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4" t="str">
        <f>IF(DSDV!K685&lt;&gt;"",DSDV!K685,"")</f>
        <v/>
      </c>
      <c r="D680" s="366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4" t="str">
        <f>IF(DSDV!K686&lt;&gt;"",DSDV!K686,"")</f>
        <v/>
      </c>
      <c r="D681" s="366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4" t="str">
        <f>IF(DSDV!K687&lt;&gt;"",DSDV!K687,"")</f>
        <v/>
      </c>
      <c r="D682" s="366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4" t="str">
        <f>IF(DSDV!K688&lt;&gt;"",DSDV!K688,"")</f>
        <v/>
      </c>
      <c r="D683" s="366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4" t="str">
        <f>IF(DSDV!K689&lt;&gt;"",DSDV!K689,"")</f>
        <v/>
      </c>
      <c r="D684" s="366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4" t="str">
        <f>IF(DSDV!K690&lt;&gt;"",DSDV!K690,"")</f>
        <v/>
      </c>
      <c r="D685" s="366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4" t="str">
        <f>IF(DSDV!K691&lt;&gt;"",DSDV!K691,"")</f>
        <v/>
      </c>
      <c r="D686" s="366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4" t="str">
        <f>IF(DSDV!K692&lt;&gt;"",DSDV!K692,"")</f>
        <v/>
      </c>
      <c r="D687" s="366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4" t="str">
        <f>IF(DSDV!K693&lt;&gt;"",DSDV!K693,"")</f>
        <v/>
      </c>
      <c r="D688" s="366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4" t="str">
        <f>IF(DSDV!K694&lt;&gt;"",DSDV!K694,"")</f>
        <v/>
      </c>
      <c r="D689" s="366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4" t="str">
        <f>IF(DSDV!K695&lt;&gt;"",DSDV!K695,"")</f>
        <v/>
      </c>
      <c r="D690" s="366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4" t="str">
        <f>IF(DSDV!K696&lt;&gt;"",DSDV!K696,"")</f>
        <v/>
      </c>
      <c r="D691" s="366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4" t="str">
        <f>IF(DSDV!K697&lt;&gt;"",DSDV!K697,"")</f>
        <v/>
      </c>
      <c r="D692" s="366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4" t="str">
        <f>IF(DSDV!K698&lt;&gt;"",DSDV!K698,"")</f>
        <v/>
      </c>
      <c r="D693" s="366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4" t="str">
        <f>IF(DSDV!K699&lt;&gt;"",DSDV!K699,"")</f>
        <v/>
      </c>
      <c r="D694" s="366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4" t="str">
        <f>IF(DSDV!K700&lt;&gt;"",DSDV!K700,"")</f>
        <v/>
      </c>
      <c r="D695" s="366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4" t="str">
        <f>IF(DSDV!K701&lt;&gt;"",DSDV!K701,"")</f>
        <v/>
      </c>
      <c r="D696" s="366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4" t="str">
        <f>IF(DSDV!K702&lt;&gt;"",DSDV!K702,"")</f>
        <v/>
      </c>
      <c r="D697" s="366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4" t="str">
        <f>IF(DSDV!K703&lt;&gt;"",DSDV!K703,"")</f>
        <v/>
      </c>
      <c r="D698" s="366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4" t="str">
        <f>IF(DSDV!K704&lt;&gt;"",DSDV!K704,"")</f>
        <v/>
      </c>
      <c r="D699" s="366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4" t="str">
        <f>IF(DSDV!K705&lt;&gt;"",DSDV!K705,"")</f>
        <v/>
      </c>
      <c r="D700" s="366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4" t="str">
        <f>IF(DSDV!K706&lt;&gt;"",DSDV!K706,"")</f>
        <v/>
      </c>
      <c r="D701" s="366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4" t="str">
        <f>IF(DSDV!K707&lt;&gt;"",DSDV!K707,"")</f>
        <v/>
      </c>
      <c r="D702" s="366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4" t="str">
        <f>IF(DSDV!K708&lt;&gt;"",DSDV!K708,"")</f>
        <v/>
      </c>
      <c r="D703" s="366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4" t="str">
        <f>IF(DSDV!K709&lt;&gt;"",DSDV!K709,"")</f>
        <v/>
      </c>
      <c r="D704" s="366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4" t="str">
        <f>IF(DSDV!K710&lt;&gt;"",DSDV!K710,"")</f>
        <v/>
      </c>
      <c r="D705" s="366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4" t="str">
        <f>IF(DSDV!K711&lt;&gt;"",DSDV!K711,"")</f>
        <v/>
      </c>
      <c r="D706" s="366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4" t="str">
        <f>IF(DSDV!K712&lt;&gt;"",DSDV!K712,"")</f>
        <v/>
      </c>
      <c r="D707" s="366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4" t="str">
        <f>IF(DSDV!K713&lt;&gt;"",DSDV!K713,"")</f>
        <v/>
      </c>
      <c r="D708" s="366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4" t="str">
        <f>IF(DSDV!K714&lt;&gt;"",DSDV!K714,"")</f>
        <v/>
      </c>
      <c r="D709" s="366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4" t="str">
        <f>IF(DSDV!K715&lt;&gt;"",DSDV!K715,"")</f>
        <v/>
      </c>
      <c r="D710" s="366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4" t="str">
        <f>IF(DSDV!K716&lt;&gt;"",DSDV!K716,"")</f>
        <v/>
      </c>
      <c r="D711" s="366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4" t="str">
        <f>IF(DSDV!K717&lt;&gt;"",DSDV!K717,"")</f>
        <v/>
      </c>
      <c r="D712" s="366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4" t="str">
        <f>IF(DSDV!K718&lt;&gt;"",DSDV!K718,"")</f>
        <v/>
      </c>
      <c r="D713" s="366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4" t="str">
        <f>IF(DSDV!K719&lt;&gt;"",DSDV!K719,"")</f>
        <v/>
      </c>
      <c r="D714" s="366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4" t="str">
        <f>IF(DSDV!K720&lt;&gt;"",DSDV!K720,"")</f>
        <v/>
      </c>
      <c r="D715" s="366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4" t="str">
        <f>IF(DSDV!K721&lt;&gt;"",DSDV!K721,"")</f>
        <v/>
      </c>
      <c r="D716" s="366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4" t="str">
        <f>IF(DSDV!K722&lt;&gt;"",DSDV!K722,"")</f>
        <v/>
      </c>
      <c r="D717" s="366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4" t="str">
        <f>IF(DSDV!K723&lt;&gt;"",DSDV!K723,"")</f>
        <v/>
      </c>
      <c r="D718" s="366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4" t="str">
        <f>IF(DSDV!K724&lt;&gt;"",DSDV!K724,"")</f>
        <v/>
      </c>
      <c r="D719" s="366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4" t="str">
        <f>IF(DSDV!K725&lt;&gt;"",DSDV!K725,"")</f>
        <v/>
      </c>
      <c r="D720" s="366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4" t="str">
        <f>IF(DSDV!K726&lt;&gt;"",DSDV!K726,"")</f>
        <v/>
      </c>
      <c r="D721" s="366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4" t="str">
        <f>IF(DSDV!K727&lt;&gt;"",DSDV!K727,"")</f>
        <v/>
      </c>
      <c r="D722" s="366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4" t="str">
        <f>IF(DSDV!K728&lt;&gt;"",DSDV!K728,"")</f>
        <v/>
      </c>
      <c r="D723" s="366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4" t="str">
        <f>IF(DSDV!K729&lt;&gt;"",DSDV!K729,"")</f>
        <v/>
      </c>
      <c r="D724" s="366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4" t="str">
        <f>IF(DSDV!K730&lt;&gt;"",DSDV!K730,"")</f>
        <v/>
      </c>
      <c r="D725" s="366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4" t="str">
        <f>IF(DSDV!K731&lt;&gt;"",DSDV!K731,"")</f>
        <v/>
      </c>
      <c r="D726" s="366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4" t="str">
        <f>IF(DSDV!K732&lt;&gt;"",DSDV!K732,"")</f>
        <v/>
      </c>
      <c r="D727" s="366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4" t="str">
        <f>IF(DSDV!K733&lt;&gt;"",DSDV!K733,"")</f>
        <v/>
      </c>
      <c r="D728" s="366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4" t="str">
        <f>IF(DSDV!K734&lt;&gt;"",DSDV!K734,"")</f>
        <v/>
      </c>
      <c r="D729" s="366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4" t="str">
        <f>IF(DSDV!K735&lt;&gt;"",DSDV!K735,"")</f>
        <v/>
      </c>
      <c r="D730" s="366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4" t="str">
        <f>IF(DSDV!K736&lt;&gt;"",DSDV!K736,"")</f>
        <v/>
      </c>
      <c r="D731" s="366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4" t="str">
        <f>IF(DSDV!K737&lt;&gt;"",DSDV!K737,"")</f>
        <v/>
      </c>
      <c r="D732" s="366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4" t="str">
        <f>IF(DSDV!K738&lt;&gt;"",DSDV!K738,"")</f>
        <v/>
      </c>
      <c r="D733" s="366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4" t="str">
        <f>IF(DSDV!K739&lt;&gt;"",DSDV!K739,"")</f>
        <v/>
      </c>
      <c r="D734" s="366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4" t="str">
        <f>IF(DSDV!K740&lt;&gt;"",DSDV!K740,"")</f>
        <v/>
      </c>
      <c r="D735" s="366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4" t="str">
        <f>IF(DSDV!K741&lt;&gt;"",DSDV!K741,"")</f>
        <v/>
      </c>
      <c r="D736" s="366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4" t="str">
        <f>IF(DSDV!K742&lt;&gt;"",DSDV!K742,"")</f>
        <v/>
      </c>
      <c r="D737" s="366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4" t="str">
        <f>IF(DSDV!K743&lt;&gt;"",DSDV!K743,"")</f>
        <v/>
      </c>
      <c r="D738" s="366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4" t="str">
        <f>IF(DSDV!K744&lt;&gt;"",DSDV!K744,"")</f>
        <v/>
      </c>
      <c r="D739" s="366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4" t="str">
        <f>IF(DSDV!K745&lt;&gt;"",DSDV!K745,"")</f>
        <v/>
      </c>
      <c r="D740" s="366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4" t="str">
        <f>IF(DSDV!K746&lt;&gt;"",DSDV!K746,"")</f>
        <v/>
      </c>
      <c r="D741" s="366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4" t="str">
        <f>IF(DSDV!K747&lt;&gt;"",DSDV!K747,"")</f>
        <v/>
      </c>
      <c r="D742" s="366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4" t="str">
        <f>IF(DSDV!K748&lt;&gt;"",DSDV!K748,"")</f>
        <v/>
      </c>
      <c r="D743" s="366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4" t="str">
        <f>IF(DSDV!K749&lt;&gt;"",DSDV!K749,"")</f>
        <v/>
      </c>
      <c r="D744" s="366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4" t="str">
        <f>IF(DSDV!K750&lt;&gt;"",DSDV!K750,"")</f>
        <v/>
      </c>
      <c r="D745" s="366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4" t="str">
        <f>IF(DSDV!K751&lt;&gt;"",DSDV!K751,"")</f>
        <v/>
      </c>
      <c r="D746" s="366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4" t="str">
        <f>IF(DSDV!K752&lt;&gt;"",DSDV!K752,"")</f>
        <v/>
      </c>
      <c r="D747" s="366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4" t="str">
        <f>IF(DSDV!K753&lt;&gt;"",DSDV!K753,"")</f>
        <v/>
      </c>
      <c r="D748" s="366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4" t="str">
        <f>IF(DSDV!K754&lt;&gt;"",DSDV!K754,"")</f>
        <v/>
      </c>
      <c r="D749" s="366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4" t="str">
        <f>IF(DSDV!K755&lt;&gt;"",DSDV!K755,"")</f>
        <v/>
      </c>
      <c r="D750" s="366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4" t="str">
        <f>IF(DSDV!K756&lt;&gt;"",DSDV!K756,"")</f>
        <v/>
      </c>
      <c r="D751" s="366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4" t="str">
        <f>IF(DSDV!K757&lt;&gt;"",DSDV!K757,"")</f>
        <v/>
      </c>
      <c r="D752" s="366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4" t="str">
        <f>IF(DSDV!K758&lt;&gt;"",DSDV!K758,"")</f>
        <v/>
      </c>
      <c r="D753" s="366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4" t="str">
        <f>IF(DSDV!K759&lt;&gt;"",DSDV!K759,"")</f>
        <v/>
      </c>
      <c r="D754" s="366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4" t="str">
        <f>IF(DSDV!K760&lt;&gt;"",DSDV!K760,"")</f>
        <v/>
      </c>
      <c r="D755" s="366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4" t="str">
        <f>IF(DSDV!K761&lt;&gt;"",DSDV!K761,"")</f>
        <v/>
      </c>
      <c r="D756" s="366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4" t="str">
        <f>IF(DSDV!K762&lt;&gt;"",DSDV!K762,"")</f>
        <v/>
      </c>
      <c r="D757" s="366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4" t="str">
        <f>IF(DSDV!K763&lt;&gt;"",DSDV!K763,"")</f>
        <v/>
      </c>
      <c r="D758" s="366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4" t="str">
        <f>IF(DSDV!K764&lt;&gt;"",DSDV!K764,"")</f>
        <v/>
      </c>
      <c r="D759" s="366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4" t="str">
        <f>IF(DSDV!K765&lt;&gt;"",DSDV!K765,"")</f>
        <v/>
      </c>
      <c r="D760" s="366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4" t="str">
        <f>IF(DSDV!K766&lt;&gt;"",DSDV!K766,"")</f>
        <v/>
      </c>
      <c r="D761" s="366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4" t="str">
        <f>IF(DSDV!K767&lt;&gt;"",DSDV!K767,"")</f>
        <v/>
      </c>
      <c r="D762" s="366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4" t="str">
        <f>IF(DSDV!K768&lt;&gt;"",DSDV!K768,"")</f>
        <v/>
      </c>
      <c r="D763" s="366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4" t="str">
        <f>IF(DSDV!K769&lt;&gt;"",DSDV!K769,"")</f>
        <v/>
      </c>
      <c r="D764" s="366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4" t="str">
        <f>IF(DSDV!K770&lt;&gt;"",DSDV!K770,"")</f>
        <v/>
      </c>
      <c r="D765" s="366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4" t="str">
        <f>IF(DSDV!K771&lt;&gt;"",DSDV!K771,"")</f>
        <v/>
      </c>
      <c r="D766" s="366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4" t="str">
        <f>IF(DSDV!K772&lt;&gt;"",DSDV!K772,"")</f>
        <v/>
      </c>
      <c r="D767" s="366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4" t="str">
        <f>IF(DSDV!K773&lt;&gt;"",DSDV!K773,"")</f>
        <v/>
      </c>
      <c r="D768" s="366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4" t="str">
        <f>IF(DSDV!K774&lt;&gt;"",DSDV!K774,"")</f>
        <v/>
      </c>
      <c r="D769" s="366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4" t="str">
        <f>IF(DSDV!K775&lt;&gt;"",DSDV!K775,"")</f>
        <v/>
      </c>
      <c r="D770" s="366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4" t="str">
        <f>IF(DSDV!K776&lt;&gt;"",DSDV!K776,"")</f>
        <v/>
      </c>
      <c r="D771" s="366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4" t="str">
        <f>IF(DSDV!K777&lt;&gt;"",DSDV!K777,"")</f>
        <v/>
      </c>
      <c r="D772" s="366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4" t="str">
        <f>IF(DSDV!K778&lt;&gt;"",DSDV!K778,"")</f>
        <v/>
      </c>
      <c r="D773" s="366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4" t="str">
        <f>IF(DSDV!K779&lt;&gt;"",DSDV!K779,"")</f>
        <v/>
      </c>
      <c r="D774" s="366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4" t="str">
        <f>IF(DSDV!K780&lt;&gt;"",DSDV!K780,"")</f>
        <v/>
      </c>
      <c r="D775" s="366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4" t="str">
        <f>IF(DSDV!K781&lt;&gt;"",DSDV!K781,"")</f>
        <v/>
      </c>
      <c r="D776" s="366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4" t="str">
        <f>IF(DSDV!K782&lt;&gt;"",DSDV!K782,"")</f>
        <v/>
      </c>
      <c r="D777" s="366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4" t="str">
        <f>IF(DSDV!K783&lt;&gt;"",DSDV!K783,"")</f>
        <v/>
      </c>
      <c r="D778" s="366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4" t="str">
        <f>IF(DSDV!K784&lt;&gt;"",DSDV!K784,"")</f>
        <v/>
      </c>
      <c r="D779" s="366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4" t="str">
        <f>IF(DSDV!K785&lt;&gt;"",DSDV!K785,"")</f>
        <v/>
      </c>
      <c r="D780" s="366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4" t="str">
        <f>IF(DSDV!K786&lt;&gt;"",DSDV!K786,"")</f>
        <v/>
      </c>
      <c r="D781" s="366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4" t="str">
        <f>IF(DSDV!K787&lt;&gt;"",DSDV!K787,"")</f>
        <v/>
      </c>
      <c r="D782" s="366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4" t="str">
        <f>IF(DSDV!K788&lt;&gt;"",DSDV!K788,"")</f>
        <v/>
      </c>
      <c r="D783" s="366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4" t="str">
        <f>IF(DSDV!K789&lt;&gt;"",DSDV!K789,"")</f>
        <v/>
      </c>
      <c r="D784" s="366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4" t="str">
        <f>IF(DSDV!K790&lt;&gt;"",DSDV!K790,"")</f>
        <v/>
      </c>
      <c r="D785" s="366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4" t="str">
        <f>IF(DSDV!K791&lt;&gt;"",DSDV!K791,"")</f>
        <v/>
      </c>
      <c r="D786" s="366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4" t="str">
        <f>IF(DSDV!K792&lt;&gt;"",DSDV!K792,"")</f>
        <v/>
      </c>
      <c r="D787" s="366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4" t="str">
        <f>IF(DSDV!K793&lt;&gt;"",DSDV!K793,"")</f>
        <v/>
      </c>
      <c r="D788" s="366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4" t="str">
        <f>IF(DSDV!K794&lt;&gt;"",DSDV!K794,"")</f>
        <v/>
      </c>
      <c r="D789" s="366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4" t="str">
        <f>IF(DSDV!K795&lt;&gt;"",DSDV!K795,"")</f>
        <v/>
      </c>
      <c r="D790" s="366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4" t="str">
        <f>IF(DSDV!K796&lt;&gt;"",DSDV!K796,"")</f>
        <v/>
      </c>
      <c r="D791" s="366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4" t="str">
        <f>IF(DSDV!K797&lt;&gt;"",DSDV!K797,"")</f>
        <v/>
      </c>
      <c r="D792" s="366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4" t="str">
        <f>IF(DSDV!K798&lt;&gt;"",DSDV!K798,"")</f>
        <v/>
      </c>
      <c r="D793" s="366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4" t="str">
        <f>IF(DSDV!K799&lt;&gt;"",DSDV!K799,"")</f>
        <v/>
      </c>
      <c r="D794" s="366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4" t="str">
        <f>IF(DSDV!K800&lt;&gt;"",DSDV!K800,"")</f>
        <v/>
      </c>
      <c r="D795" s="366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4" t="str">
        <f>IF(DSDV!K801&lt;&gt;"",DSDV!K801,"")</f>
        <v/>
      </c>
      <c r="D796" s="366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4" t="str">
        <f>IF(DSDV!K802&lt;&gt;"",DSDV!K802,"")</f>
        <v/>
      </c>
      <c r="D797" s="366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4" t="str">
        <f>IF(DSDV!K803&lt;&gt;"",DSDV!K803,"")</f>
        <v/>
      </c>
      <c r="D798" s="366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4" t="str">
        <f>IF(DSDV!K804&lt;&gt;"",DSDV!K804,"")</f>
        <v/>
      </c>
      <c r="D799" s="366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4" t="str">
        <f>IF(DSDV!K805&lt;&gt;"",DSDV!K805,"")</f>
        <v/>
      </c>
      <c r="D800" s="366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4" t="str">
        <f>IF(DSDV!K806&lt;&gt;"",DSDV!K806,"")</f>
        <v/>
      </c>
      <c r="D801" s="366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4" t="str">
        <f>IF(DSDV!K807&lt;&gt;"",DSDV!K807,"")</f>
        <v/>
      </c>
      <c r="D802" s="366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4" t="str">
        <f>IF(DSDV!K808&lt;&gt;"",DSDV!K808,"")</f>
        <v/>
      </c>
      <c r="D803" s="366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4" t="str">
        <f>IF(DSDV!K809&lt;&gt;"",DSDV!K809,"")</f>
        <v/>
      </c>
      <c r="D804" s="366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4" t="str">
        <f>IF(DSDV!K810&lt;&gt;"",DSDV!K810,"")</f>
        <v/>
      </c>
      <c r="D805" s="366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4" t="str">
        <f>IF(DSDV!K811&lt;&gt;"",DSDV!K811,"")</f>
        <v/>
      </c>
      <c r="D806" s="366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4" t="str">
        <f>IF(DSDV!K812&lt;&gt;"",DSDV!K812,"")</f>
        <v/>
      </c>
      <c r="D807" s="366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4" t="str">
        <f>IF(DSDV!K813&lt;&gt;"",DSDV!K813,"")</f>
        <v/>
      </c>
      <c r="D808" s="366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4" t="str">
        <f>IF(DSDV!K814&lt;&gt;"",DSDV!K814,"")</f>
        <v/>
      </c>
      <c r="D809" s="366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4" t="str">
        <f>IF(DSDV!K815&lt;&gt;"",DSDV!K815,"")</f>
        <v/>
      </c>
      <c r="D810" s="366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4" t="str">
        <f>IF(DSDV!K816&lt;&gt;"",DSDV!K816,"")</f>
        <v/>
      </c>
      <c r="D811" s="366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4" t="str">
        <f>IF(DSDV!K817&lt;&gt;"",DSDV!K817,"")</f>
        <v/>
      </c>
      <c r="D812" s="366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4" t="str">
        <f>IF(DSDV!K818&lt;&gt;"",DSDV!K818,"")</f>
        <v/>
      </c>
      <c r="D813" s="366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4" t="str">
        <f>IF(DSDV!K819&lt;&gt;"",DSDV!K819,"")</f>
        <v/>
      </c>
      <c r="D814" s="366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4" t="str">
        <f>IF(DSDV!K820&lt;&gt;"",DSDV!K820,"")</f>
        <v/>
      </c>
      <c r="D815" s="366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4" t="str">
        <f>IF(DSDV!K821&lt;&gt;"",DSDV!K821,"")</f>
        <v/>
      </c>
      <c r="D816" s="366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4" t="str">
        <f>IF(DSDV!K822&lt;&gt;"",DSDV!K822,"")</f>
        <v/>
      </c>
      <c r="D817" s="366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4" t="str">
        <f>IF(DSDV!K823&lt;&gt;"",DSDV!K823,"")</f>
        <v/>
      </c>
      <c r="D818" s="366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4" t="str">
        <f>IF(DSDV!K824&lt;&gt;"",DSDV!K824,"")</f>
        <v/>
      </c>
      <c r="D819" s="366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4" t="str">
        <f>IF(DSDV!K825&lt;&gt;"",DSDV!K825,"")</f>
        <v/>
      </c>
      <c r="D820" s="366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4" t="str">
        <f>IF(DSDV!K826&lt;&gt;"",DSDV!K826,"")</f>
        <v/>
      </c>
      <c r="D821" s="366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4" t="str">
        <f>IF(DSDV!K827&lt;&gt;"",DSDV!K827,"")</f>
        <v/>
      </c>
      <c r="D822" s="366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4" t="str">
        <f>IF(DSDV!K828&lt;&gt;"",DSDV!K828,"")</f>
        <v/>
      </c>
      <c r="D823" s="366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4" t="str">
        <f>IF(DSDV!K829&lt;&gt;"",DSDV!K829,"")</f>
        <v/>
      </c>
      <c r="D824" s="366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4" t="str">
        <f>IF(DSDV!K830&lt;&gt;"",DSDV!K830,"")</f>
        <v/>
      </c>
      <c r="D825" s="366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4" t="str">
        <f>IF(DSDV!K831&lt;&gt;"",DSDV!K831,"")</f>
        <v/>
      </c>
      <c r="D826" s="366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4" t="str">
        <f>IF(DSDV!K832&lt;&gt;"",DSDV!K832,"")</f>
        <v/>
      </c>
      <c r="D827" s="366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4" t="str">
        <f>IF(DSDV!K833&lt;&gt;"",DSDV!K833,"")</f>
        <v/>
      </c>
      <c r="D828" s="366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4" t="str">
        <f>IF(DSDV!K834&lt;&gt;"",DSDV!K834,"")</f>
        <v/>
      </c>
      <c r="D829" s="366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4" t="str">
        <f>IF(DSDV!K835&lt;&gt;"",DSDV!K835,"")</f>
        <v/>
      </c>
      <c r="D830" s="366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4" t="str">
        <f>IF(DSDV!K836&lt;&gt;"",DSDV!K836,"")</f>
        <v/>
      </c>
      <c r="D831" s="366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4" t="str">
        <f>IF(DSDV!K837&lt;&gt;"",DSDV!K837,"")</f>
        <v/>
      </c>
      <c r="D832" s="366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4" t="str">
        <f>IF(DSDV!K838&lt;&gt;"",DSDV!K838,"")</f>
        <v/>
      </c>
      <c r="D833" s="366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4" t="str">
        <f>IF(DSDV!K839&lt;&gt;"",DSDV!K839,"")</f>
        <v/>
      </c>
      <c r="D834" s="366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4" t="str">
        <f>IF(DSDV!K840&lt;&gt;"",DSDV!K840,"")</f>
        <v/>
      </c>
      <c r="D835" s="366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4" t="str">
        <f>IF(DSDV!K841&lt;&gt;"",DSDV!K841,"")</f>
        <v/>
      </c>
      <c r="D836" s="366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4" t="str">
        <f>IF(DSDV!K842&lt;&gt;"",DSDV!K842,"")</f>
        <v/>
      </c>
      <c r="D837" s="366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4" t="str">
        <f>IF(DSDV!K843&lt;&gt;"",DSDV!K843,"")</f>
        <v/>
      </c>
      <c r="D838" s="366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4" t="str">
        <f>IF(DSDV!K844&lt;&gt;"",DSDV!K844,"")</f>
        <v/>
      </c>
      <c r="D839" s="366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4" t="str">
        <f>IF(DSDV!K845&lt;&gt;"",DSDV!K845,"")</f>
        <v/>
      </c>
      <c r="D840" s="366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4" t="str">
        <f>IF(DSDV!K846&lt;&gt;"",DSDV!K846,"")</f>
        <v/>
      </c>
      <c r="D841" s="366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4" t="str">
        <f>IF(DSDV!K847&lt;&gt;"",DSDV!K847,"")</f>
        <v/>
      </c>
      <c r="D842" s="366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4" t="str">
        <f>IF(DSDV!K848&lt;&gt;"",DSDV!K848,"")</f>
        <v/>
      </c>
      <c r="D843" s="366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4" t="str">
        <f>IF(DSDV!K849&lt;&gt;"",DSDV!K849,"")</f>
        <v/>
      </c>
      <c r="D844" s="366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4" t="str">
        <f>IF(DSDV!K850&lt;&gt;"",DSDV!K850,"")</f>
        <v/>
      </c>
      <c r="D845" s="366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4" t="str">
        <f>IF(DSDV!K851&lt;&gt;"",DSDV!K851,"")</f>
        <v/>
      </c>
      <c r="D846" s="366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4" t="str">
        <f>IF(DSDV!K852&lt;&gt;"",DSDV!K852,"")</f>
        <v/>
      </c>
      <c r="D847" s="366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4" t="str">
        <f>IF(DSDV!K853&lt;&gt;"",DSDV!K853,"")</f>
        <v/>
      </c>
      <c r="D848" s="366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4" t="str">
        <f>IF(DSDV!K854&lt;&gt;"",DSDV!K854,"")</f>
        <v/>
      </c>
      <c r="D849" s="366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4" t="str">
        <f>IF(DSDV!K855&lt;&gt;"",DSDV!K855,"")</f>
        <v/>
      </c>
      <c r="D850" s="366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4" t="str">
        <f>IF(DSDV!K856&lt;&gt;"",DSDV!K856,"")</f>
        <v/>
      </c>
      <c r="D851" s="366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4" t="str">
        <f>IF(DSDV!K857&lt;&gt;"",DSDV!K857,"")</f>
        <v/>
      </c>
      <c r="D852" s="366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4" t="str">
        <f>IF(DSDV!K858&lt;&gt;"",DSDV!K858,"")</f>
        <v/>
      </c>
      <c r="D853" s="366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4" t="str">
        <f>IF(DSDV!K859&lt;&gt;"",DSDV!K859,"")</f>
        <v/>
      </c>
      <c r="D854" s="366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4" t="str">
        <f>IF(DSDV!K860&lt;&gt;"",DSDV!K860,"")</f>
        <v/>
      </c>
      <c r="D855" s="366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4" t="str">
        <f>IF(DSDV!K861&lt;&gt;"",DSDV!K861,"")</f>
        <v/>
      </c>
      <c r="D856" s="366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4" t="str">
        <f>IF(DSDV!K862&lt;&gt;"",DSDV!K862,"")</f>
        <v/>
      </c>
      <c r="D857" s="366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4" t="str">
        <f>IF(DSDV!K863&lt;&gt;"",DSDV!K863,"")</f>
        <v/>
      </c>
      <c r="D858" s="366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4" t="str">
        <f>IF(DSDV!K864&lt;&gt;"",DSDV!K864,"")</f>
        <v/>
      </c>
      <c r="D859" s="366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4" t="str">
        <f>IF(DSDV!K865&lt;&gt;"",DSDV!K865,"")</f>
        <v/>
      </c>
      <c r="D860" s="366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4" t="str">
        <f>IF(DSDV!K866&lt;&gt;"",DSDV!K866,"")</f>
        <v/>
      </c>
      <c r="D861" s="366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4" t="str">
        <f>IF(DSDV!K867&lt;&gt;"",DSDV!K867,"")</f>
        <v/>
      </c>
      <c r="D862" s="366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4" t="str">
        <f>IF(DSDV!K868&lt;&gt;"",DSDV!K868,"")</f>
        <v/>
      </c>
      <c r="D863" s="366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4" t="str">
        <f>IF(DSDV!K869&lt;&gt;"",DSDV!K869,"")</f>
        <v/>
      </c>
      <c r="D864" s="366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4" t="str">
        <f>IF(DSDV!K870&lt;&gt;"",DSDV!K870,"")</f>
        <v/>
      </c>
      <c r="D865" s="366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4" t="str">
        <f>IF(DSDV!K871&lt;&gt;"",DSDV!K871,"")</f>
        <v/>
      </c>
      <c r="D866" s="366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4" t="str">
        <f>IF(DSDV!K872&lt;&gt;"",DSDV!K872,"")</f>
        <v/>
      </c>
      <c r="D867" s="366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4" t="str">
        <f>IF(DSDV!K873&lt;&gt;"",DSDV!K873,"")</f>
        <v/>
      </c>
      <c r="D868" s="366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4" t="str">
        <f>IF(DSDV!K874&lt;&gt;"",DSDV!K874,"")</f>
        <v/>
      </c>
      <c r="D869" s="366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4" t="str">
        <f>IF(DSDV!K875&lt;&gt;"",DSDV!K875,"")</f>
        <v/>
      </c>
      <c r="D870" s="366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4" t="str">
        <f>IF(DSDV!K876&lt;&gt;"",DSDV!K876,"")</f>
        <v/>
      </c>
      <c r="D871" s="366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4" t="str">
        <f>IF(DSDV!K877&lt;&gt;"",DSDV!K877,"")</f>
        <v/>
      </c>
      <c r="D872" s="366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4" t="str">
        <f>IF(DSDV!K878&lt;&gt;"",DSDV!K878,"")</f>
        <v/>
      </c>
      <c r="D873" s="366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4" t="str">
        <f>IF(DSDV!K879&lt;&gt;"",DSDV!K879,"")</f>
        <v/>
      </c>
      <c r="D874" s="366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4" t="str">
        <f>IF(DSDV!K880&lt;&gt;"",DSDV!K880,"")</f>
        <v/>
      </c>
      <c r="D875" s="366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4" t="str">
        <f>IF(DSDV!K881&lt;&gt;"",DSDV!K881,"")</f>
        <v/>
      </c>
      <c r="D876" s="366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4" t="str">
        <f>IF(DSDV!K882&lt;&gt;"",DSDV!K882,"")</f>
        <v/>
      </c>
      <c r="D877" s="366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4" t="str">
        <f>IF(DSDV!K883&lt;&gt;"",DSDV!K883,"")</f>
        <v/>
      </c>
      <c r="D878" s="366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4" t="str">
        <f>IF(DSDV!K884&lt;&gt;"",DSDV!K884,"")</f>
        <v/>
      </c>
      <c r="D879" s="366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4" t="str">
        <f>IF(DSDV!K885&lt;&gt;"",DSDV!K885,"")</f>
        <v/>
      </c>
      <c r="D880" s="366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4" t="str">
        <f>IF(DSDV!K886&lt;&gt;"",DSDV!K886,"")</f>
        <v/>
      </c>
      <c r="D881" s="366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4" t="str">
        <f>IF(DSDV!K887&lt;&gt;"",DSDV!K887,"")</f>
        <v/>
      </c>
      <c r="D882" s="366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4" t="str">
        <f>IF(DSDV!K888&lt;&gt;"",DSDV!K888,"")</f>
        <v/>
      </c>
      <c r="D883" s="366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4" t="str">
        <f>IF(DSDV!K889&lt;&gt;"",DSDV!K889,"")</f>
        <v/>
      </c>
      <c r="D884" s="366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4" t="str">
        <f>IF(DSDV!K890&lt;&gt;"",DSDV!K890,"")</f>
        <v/>
      </c>
      <c r="D885" s="366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4" t="str">
        <f>IF(DSDV!K891&lt;&gt;"",DSDV!K891,"")</f>
        <v/>
      </c>
      <c r="D886" s="366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4" t="str">
        <f>IF(DSDV!K892&lt;&gt;"",DSDV!K892,"")</f>
        <v/>
      </c>
      <c r="D887" s="366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4" t="str">
        <f>IF(DSDV!K893&lt;&gt;"",DSDV!K893,"")</f>
        <v/>
      </c>
      <c r="D888" s="366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4" t="str">
        <f>IF(DSDV!K894&lt;&gt;"",DSDV!K894,"")</f>
        <v/>
      </c>
      <c r="D889" s="366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4" t="str">
        <f>IF(DSDV!K895&lt;&gt;"",DSDV!K895,"")</f>
        <v/>
      </c>
      <c r="D890" s="366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4" t="str">
        <f>IF(DSDV!K896&lt;&gt;"",DSDV!K896,"")</f>
        <v/>
      </c>
      <c r="D891" s="366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4" t="str">
        <f>IF(DSDV!K897&lt;&gt;"",DSDV!K897,"")</f>
        <v/>
      </c>
      <c r="D892" s="366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4" t="str">
        <f>IF(DSDV!K898&lt;&gt;"",DSDV!K898,"")</f>
        <v/>
      </c>
      <c r="D893" s="366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4" t="str">
        <f>IF(DSDV!K899&lt;&gt;"",DSDV!K899,"")</f>
        <v/>
      </c>
      <c r="D894" s="366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4" t="str">
        <f>IF(DSDV!K900&lt;&gt;"",DSDV!K900,"")</f>
        <v/>
      </c>
      <c r="D895" s="366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4" t="str">
        <f>IF(DSDV!K901&lt;&gt;"",DSDV!K901,"")</f>
        <v/>
      </c>
      <c r="D896" s="366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4" t="str">
        <f>IF(DSDV!K902&lt;&gt;"",DSDV!K902,"")</f>
        <v/>
      </c>
      <c r="D897" s="366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4" t="str">
        <f>IF(DSDV!K903&lt;&gt;"",DSDV!K903,"")</f>
        <v/>
      </c>
      <c r="D898" s="366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4" t="str">
        <f>IF(DSDV!K904&lt;&gt;"",DSDV!K904,"")</f>
        <v/>
      </c>
      <c r="D899" s="366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4" t="str">
        <f>IF(DSDV!K905&lt;&gt;"",DSDV!K905,"")</f>
        <v/>
      </c>
      <c r="D900" s="366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4" t="str">
        <f>IF(DSDV!K906&lt;&gt;"",DSDV!K906,"")</f>
        <v/>
      </c>
      <c r="D901" s="366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4" t="str">
        <f>IF(DSDV!K907&lt;&gt;"",DSDV!K907,"")</f>
        <v/>
      </c>
      <c r="D902" s="366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4" t="str">
        <f>IF(DSDV!K908&lt;&gt;"",DSDV!K908,"")</f>
        <v/>
      </c>
      <c r="D903" s="366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4" t="str">
        <f>IF(DSDV!K909&lt;&gt;"",DSDV!K909,"")</f>
        <v/>
      </c>
      <c r="D904" s="366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4" t="str">
        <f>IF(DSDV!K910&lt;&gt;"",DSDV!K910,"")</f>
        <v/>
      </c>
      <c r="D905" s="366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4" t="str">
        <f>IF(DSDV!K911&lt;&gt;"",DSDV!K911,"")</f>
        <v/>
      </c>
      <c r="D906" s="366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4" t="str">
        <f>IF(DSDV!K912&lt;&gt;"",DSDV!K912,"")</f>
        <v/>
      </c>
      <c r="D907" s="366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4" t="str">
        <f>IF(DSDV!K913&lt;&gt;"",DSDV!K913,"")</f>
        <v/>
      </c>
      <c r="D908" s="366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4" t="str">
        <f>IF(DSDV!K914&lt;&gt;"",DSDV!K914,"")</f>
        <v/>
      </c>
      <c r="D909" s="366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4" t="str">
        <f>IF(DSDV!K915&lt;&gt;"",DSDV!K915,"")</f>
        <v/>
      </c>
      <c r="D910" s="366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4" t="str">
        <f>IF(DSDV!K916&lt;&gt;"",DSDV!K916,"")</f>
        <v/>
      </c>
      <c r="D911" s="366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4" t="str">
        <f>IF(DSDV!K917&lt;&gt;"",DSDV!K917,"")</f>
        <v/>
      </c>
      <c r="D912" s="366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4" t="str">
        <f>IF(DSDV!K918&lt;&gt;"",DSDV!K918,"")</f>
        <v/>
      </c>
      <c r="D913" s="366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4" t="str">
        <f>IF(DSDV!K919&lt;&gt;"",DSDV!K919,"")</f>
        <v/>
      </c>
      <c r="D914" s="366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4" t="str">
        <f>IF(DSDV!K920&lt;&gt;"",DSDV!K920,"")</f>
        <v/>
      </c>
      <c r="D915" s="366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4" t="str">
        <f>IF(DSDV!K921&lt;&gt;"",DSDV!K921,"")</f>
        <v/>
      </c>
      <c r="D916" s="366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4" t="str">
        <f>IF(DSDV!K922&lt;&gt;"",DSDV!K922,"")</f>
        <v/>
      </c>
      <c r="D917" s="366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4" t="str">
        <f>IF(DSDV!K923&lt;&gt;"",DSDV!K923,"")</f>
        <v/>
      </c>
      <c r="D918" s="366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4" t="str">
        <f>IF(DSDV!K924&lt;&gt;"",DSDV!K924,"")</f>
        <v/>
      </c>
      <c r="D919" s="366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4" t="str">
        <f>IF(DSDV!K925&lt;&gt;"",DSDV!K925,"")</f>
        <v/>
      </c>
      <c r="D920" s="366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4" t="str">
        <f>IF(DSDV!K926&lt;&gt;"",DSDV!K926,"")</f>
        <v/>
      </c>
      <c r="D921" s="366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4" t="str">
        <f>IF(DSDV!K927&lt;&gt;"",DSDV!K927,"")</f>
        <v/>
      </c>
      <c r="D922" s="366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4" t="str">
        <f>IF(DSDV!K928&lt;&gt;"",DSDV!K928,"")</f>
        <v/>
      </c>
      <c r="D923" s="366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4" t="str">
        <f>IF(DSDV!K929&lt;&gt;"",DSDV!K929,"")</f>
        <v/>
      </c>
      <c r="D924" s="366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4" t="str">
        <f>IF(DSDV!K930&lt;&gt;"",DSDV!K930,"")</f>
        <v/>
      </c>
      <c r="D925" s="366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4" t="str">
        <f>IF(DSDV!K931&lt;&gt;"",DSDV!K931,"")</f>
        <v/>
      </c>
      <c r="D926" s="366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4" t="str">
        <f>IF(DSDV!K932&lt;&gt;"",DSDV!K932,"")</f>
        <v/>
      </c>
      <c r="D927" s="366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4" t="str">
        <f>IF(DSDV!K933&lt;&gt;"",DSDV!K933,"")</f>
        <v/>
      </c>
      <c r="D928" s="366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4" t="str">
        <f>IF(DSDV!K934&lt;&gt;"",DSDV!K934,"")</f>
        <v/>
      </c>
      <c r="D929" s="366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4" t="str">
        <f>IF(DSDV!K935&lt;&gt;"",DSDV!K935,"")</f>
        <v/>
      </c>
      <c r="D930" s="366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4" t="str">
        <f>IF(DSDV!K936&lt;&gt;"",DSDV!K936,"")</f>
        <v/>
      </c>
      <c r="D931" s="366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4" t="str">
        <f>IF(DSDV!K937&lt;&gt;"",DSDV!K937,"")</f>
        <v/>
      </c>
      <c r="D932" s="366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4" t="str">
        <f>IF(DSDV!K938&lt;&gt;"",DSDV!K938,"")</f>
        <v/>
      </c>
      <c r="D933" s="366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4" t="str">
        <f>IF(DSDV!K939&lt;&gt;"",DSDV!K939,"")</f>
        <v/>
      </c>
      <c r="D934" s="366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4" t="str">
        <f>IF(DSDV!K940&lt;&gt;"",DSDV!K940,"")</f>
        <v/>
      </c>
      <c r="D935" s="366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4" t="str">
        <f>IF(DSDV!K941&lt;&gt;"",DSDV!K941,"")</f>
        <v/>
      </c>
      <c r="D936" s="366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4" t="str">
        <f>IF(DSDV!K942&lt;&gt;"",DSDV!K942,"")</f>
        <v/>
      </c>
      <c r="D937" s="366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4" t="str">
        <f>IF(DSDV!K943&lt;&gt;"",DSDV!K943,"")</f>
        <v/>
      </c>
      <c r="D938" s="366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4" t="str">
        <f>IF(DSDV!K944&lt;&gt;"",DSDV!K944,"")</f>
        <v/>
      </c>
      <c r="D939" s="366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4" t="str">
        <f>IF(DSDV!K945&lt;&gt;"",DSDV!K945,"")</f>
        <v/>
      </c>
      <c r="D940" s="366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4" t="str">
        <f>IF(DSDV!K946&lt;&gt;"",DSDV!K946,"")</f>
        <v/>
      </c>
      <c r="D941" s="366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4" t="str">
        <f>IF(DSDV!K947&lt;&gt;"",DSDV!K947,"")</f>
        <v/>
      </c>
      <c r="D942" s="366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4" t="str">
        <f>IF(DSDV!K948&lt;&gt;"",DSDV!K948,"")</f>
        <v/>
      </c>
      <c r="D943" s="366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4" t="str">
        <f>IF(DSDV!K949&lt;&gt;"",DSDV!K949,"")</f>
        <v/>
      </c>
      <c r="D944" s="366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4" t="str">
        <f>IF(DSDV!K950&lt;&gt;"",DSDV!K950,"")</f>
        <v/>
      </c>
      <c r="D945" s="366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4" t="str">
        <f>IF(DSDV!K951&lt;&gt;"",DSDV!K951,"")</f>
        <v/>
      </c>
      <c r="D946" s="366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4" t="str">
        <f>IF(DSDV!K952&lt;&gt;"",DSDV!K952,"")</f>
        <v/>
      </c>
      <c r="D947" s="366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4" t="str">
        <f>IF(DSDV!K953&lt;&gt;"",DSDV!K953,"")</f>
        <v/>
      </c>
      <c r="D948" s="366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4" t="str">
        <f>IF(DSDV!K954&lt;&gt;"",DSDV!K954,"")</f>
        <v/>
      </c>
      <c r="D949" s="366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4" t="str">
        <f>IF(DSDV!K955&lt;&gt;"",DSDV!K955,"")</f>
        <v/>
      </c>
      <c r="D950" s="366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4" t="str">
        <f>IF(DSDV!K956&lt;&gt;"",DSDV!K956,"")</f>
        <v/>
      </c>
      <c r="D951" s="366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4" t="str">
        <f>IF(DSDV!K957&lt;&gt;"",DSDV!K957,"")</f>
        <v/>
      </c>
      <c r="D952" s="366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4" t="str">
        <f>IF(DSDV!K958&lt;&gt;"",DSDV!K958,"")</f>
        <v/>
      </c>
      <c r="D953" s="366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4" t="str">
        <f>IF(DSDV!K959&lt;&gt;"",DSDV!K959,"")</f>
        <v/>
      </c>
      <c r="D954" s="366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4" t="str">
        <f>IF(DSDV!K960&lt;&gt;"",DSDV!K960,"")</f>
        <v/>
      </c>
      <c r="D955" s="366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4" t="str">
        <f>IF(DSDV!K961&lt;&gt;"",DSDV!K961,"")</f>
        <v/>
      </c>
      <c r="D956" s="366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4" t="str">
        <f>IF(DSDV!K962&lt;&gt;"",DSDV!K962,"")</f>
        <v/>
      </c>
      <c r="D957" s="366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4" t="str">
        <f>IF(DSDV!K963&lt;&gt;"",DSDV!K963,"")</f>
        <v/>
      </c>
      <c r="D958" s="366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4" t="str">
        <f>IF(DSDV!K964&lt;&gt;"",DSDV!K964,"")</f>
        <v/>
      </c>
      <c r="D959" s="366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4" t="str">
        <f>IF(DSDV!K965&lt;&gt;"",DSDV!K965,"")</f>
        <v/>
      </c>
      <c r="D960" s="366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4" t="str">
        <f>IF(DSDV!K966&lt;&gt;"",DSDV!K966,"")</f>
        <v/>
      </c>
      <c r="D961" s="366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4" t="str">
        <f>IF(DSDV!K967&lt;&gt;"",DSDV!K967,"")</f>
        <v/>
      </c>
      <c r="D962" s="366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4" t="str">
        <f>IF(DSDV!K968&lt;&gt;"",DSDV!K968,"")</f>
        <v/>
      </c>
      <c r="D963" s="366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4" t="str">
        <f>IF(DSDV!K969&lt;&gt;"",DSDV!K969,"")</f>
        <v/>
      </c>
      <c r="D964" s="366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4" t="str">
        <f>IF(DSDV!K970&lt;&gt;"",DSDV!K970,"")</f>
        <v/>
      </c>
      <c r="D965" s="366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4" t="str">
        <f>IF(DSDV!K971&lt;&gt;"",DSDV!K971,"")</f>
        <v/>
      </c>
      <c r="D966" s="366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4" t="str">
        <f>IF(DSDV!K972&lt;&gt;"",DSDV!K972,"")</f>
        <v/>
      </c>
      <c r="D967" s="366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4" t="str">
        <f>IF(DSDV!K973&lt;&gt;"",DSDV!K973,"")</f>
        <v/>
      </c>
      <c r="D968" s="366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4" t="str">
        <f>IF(DSDV!K974&lt;&gt;"",DSDV!K974,"")</f>
        <v/>
      </c>
      <c r="D969" s="366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4" t="str">
        <f>IF(DSDV!K975&lt;&gt;"",DSDV!K975,"")</f>
        <v/>
      </c>
      <c r="D970" s="366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4" t="str">
        <f>IF(DSDV!K976&lt;&gt;"",DSDV!K976,"")</f>
        <v/>
      </c>
      <c r="D971" s="366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4" t="str">
        <f>IF(DSDV!K977&lt;&gt;"",DSDV!K977,"")</f>
        <v/>
      </c>
      <c r="D972" s="366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4" t="str">
        <f>IF(DSDV!K978&lt;&gt;"",DSDV!K978,"")</f>
        <v/>
      </c>
      <c r="D973" s="366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4" t="str">
        <f>IF(DSDV!K979&lt;&gt;"",DSDV!K979,"")</f>
        <v/>
      </c>
      <c r="D974" s="366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4" t="str">
        <f>IF(DSDV!K980&lt;&gt;"",DSDV!K980,"")</f>
        <v/>
      </c>
      <c r="D975" s="366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4" t="str">
        <f>IF(DSDV!K981&lt;&gt;"",DSDV!K981,"")</f>
        <v/>
      </c>
      <c r="D976" s="366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4" t="str">
        <f>IF(DSDV!K982&lt;&gt;"",DSDV!K982,"")</f>
        <v/>
      </c>
      <c r="D977" s="366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4" t="str">
        <f>IF(DSDV!K983&lt;&gt;"",DSDV!K983,"")</f>
        <v/>
      </c>
      <c r="D978" s="366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4" t="str">
        <f>IF(DSDV!K984&lt;&gt;"",DSDV!K984,"")</f>
        <v/>
      </c>
      <c r="D979" s="366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4" t="str">
        <f>IF(DSDV!K985&lt;&gt;"",DSDV!K985,"")</f>
        <v/>
      </c>
      <c r="D980" s="366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4" t="str">
        <f>IF(DSDV!K986&lt;&gt;"",DSDV!K986,"")</f>
        <v/>
      </c>
      <c r="D981" s="366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4" t="str">
        <f>IF(DSDV!K987&lt;&gt;"",DSDV!K987,"")</f>
        <v/>
      </c>
      <c r="D982" s="366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4" t="str">
        <f>IF(DSDV!K988&lt;&gt;"",DSDV!K988,"")</f>
        <v/>
      </c>
      <c r="D983" s="366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4" t="str">
        <f>IF(DSDV!K989&lt;&gt;"",DSDV!K989,"")</f>
        <v/>
      </c>
      <c r="D984" s="366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4" t="str">
        <f>IF(DSDV!K990&lt;&gt;"",DSDV!K990,"")</f>
        <v/>
      </c>
      <c r="D985" s="366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4" t="str">
        <f>IF(DSDV!K991&lt;&gt;"",DSDV!K991,"")</f>
        <v/>
      </c>
      <c r="D986" s="366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4" t="str">
        <f>IF(DSDV!K992&lt;&gt;"",DSDV!K992,"")</f>
        <v/>
      </c>
      <c r="D987" s="366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4" t="str">
        <f>IF(DSDV!K993&lt;&gt;"",DSDV!K993,"")</f>
        <v/>
      </c>
      <c r="D988" s="366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4" t="str">
        <f>IF(DSDV!K994&lt;&gt;"",DSDV!K994,"")</f>
        <v/>
      </c>
      <c r="D989" s="366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4" t="str">
        <f>IF(DSDV!K995&lt;&gt;"",DSDV!K995,"")</f>
        <v/>
      </c>
      <c r="D990" s="366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4" t="str">
        <f>IF(DSDV!K996&lt;&gt;"",DSDV!K996,"")</f>
        <v/>
      </c>
      <c r="D991" s="366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4" t="str">
        <f>IF(DSDV!K997&lt;&gt;"",DSDV!K997,"")</f>
        <v/>
      </c>
      <c r="D992" s="366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4" t="str">
        <f>IF(DSDV!K998&lt;&gt;"",DSDV!K998,"")</f>
        <v/>
      </c>
      <c r="D993" s="366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4" t="str">
        <f>IF(DSDV!K999&lt;&gt;"",DSDV!K999,"")</f>
        <v/>
      </c>
      <c r="D994" s="366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4" t="str">
        <f>IF(DSDV!K1000&lt;&gt;"",DSDV!K1000,"")</f>
        <v/>
      </c>
      <c r="D995" s="366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4" t="str">
        <f>IF(DSDV!K1001&lt;&gt;"",DSDV!K1001,"")</f>
        <v/>
      </c>
      <c r="D996" s="366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4" t="str">
        <f>IF(DSDV!K1002&lt;&gt;"",DSDV!K1002,"")</f>
        <v/>
      </c>
      <c r="D997" s="366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4" t="str">
        <f>IF(DSDV!K1003&lt;&gt;"",DSDV!K1003,"")</f>
        <v/>
      </c>
      <c r="D998" s="366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4" t="str">
        <f>IF(DSDV!K1004&lt;&gt;"",DSDV!K1004,"")</f>
        <v/>
      </c>
      <c r="D999" s="366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4" t="str">
        <f>IF(DSDV!K1005&lt;&gt;"",DSDV!K1005,"")</f>
        <v/>
      </c>
      <c r="D1000" s="366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4" t="str">
        <f>IF(DSDV!K1006&lt;&gt;"",DSDV!K1006,"")</f>
        <v/>
      </c>
      <c r="D1001" s="366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4" t="str">
        <f>IF(DSDV!K1007&lt;&gt;"",DSDV!K1007,"")</f>
        <v/>
      </c>
      <c r="D1002" s="366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4" t="str">
        <f>IF(DSDV!K1008&lt;&gt;"",DSDV!K1008,"")</f>
        <v/>
      </c>
      <c r="D1003" s="366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4" t="str">
        <f>IF(DSDV!K1009&lt;&gt;"",DSDV!K1009,"")</f>
        <v/>
      </c>
      <c r="D1004" s="366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4" t="str">
        <f>IF(DSDV!K1010&lt;&gt;"",DSDV!K1010,"")</f>
        <v/>
      </c>
      <c r="D1005" s="366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4" t="str">
        <f>IF(DSDV!K1011&lt;&gt;"",DSDV!K1011,"")</f>
        <v/>
      </c>
      <c r="D1006" s="366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4" t="str">
        <f>IF(DSDV!K1012&lt;&gt;"",DSDV!K1012,"")</f>
        <v/>
      </c>
      <c r="D1007" s="366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4" t="str">
        <f>IF(DSDV!K1013&lt;&gt;"",DSDV!K1013,"")</f>
        <v/>
      </c>
      <c r="D1008" s="366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4" t="str">
        <f>IF(DSDV!K1014&lt;&gt;"",DSDV!K1014,"")</f>
        <v/>
      </c>
      <c r="D1009" s="366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4" t="str">
        <f>IF(DSDV!K1015&lt;&gt;"",DSDV!K1015,"")</f>
        <v/>
      </c>
      <c r="D1010" s="366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4" t="str">
        <f>IF(DSDV!K1016&lt;&gt;"",DSDV!K1016,"")</f>
        <v/>
      </c>
      <c r="D1011" s="366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4" t="str">
        <f>IF(DSDV!K1017&lt;&gt;"",DSDV!K1017,"")</f>
        <v/>
      </c>
      <c r="D1012" s="366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4" t="str">
        <f>IF(DSDV!K1018&lt;&gt;"",DSDV!K1018,"")</f>
        <v/>
      </c>
      <c r="D1013" s="366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4" t="str">
        <f>IF(DSDV!K1019&lt;&gt;"",DSDV!K1019,"")</f>
        <v/>
      </c>
      <c r="D1014" s="366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4" t="str">
        <f>IF(DSDV!K1020&lt;&gt;"",DSDV!K1020,"")</f>
        <v/>
      </c>
      <c r="D1015" s="366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4" t="str">
        <f>IF(DSDV!K1021&lt;&gt;"",DSDV!K1021,"")</f>
        <v/>
      </c>
      <c r="D1016" s="366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4" t="str">
        <f>IF(DSDV!K1022&lt;&gt;"",DSDV!K1022,"")</f>
        <v/>
      </c>
      <c r="D1017" s="366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4" t="str">
        <f>IF(DSDV!K1023&lt;&gt;"",DSDV!K1023,"")</f>
        <v/>
      </c>
      <c r="D1018" s="366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4" t="str">
        <f>IF(DSDV!K1024&lt;&gt;"",DSDV!K1024,"")</f>
        <v/>
      </c>
      <c r="D1019" s="366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4" t="str">
        <f>IF(DSDV!K1025&lt;&gt;"",DSDV!K1025,"")</f>
        <v/>
      </c>
      <c r="D1020" s="366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4" t="str">
        <f>IF(DSDV!K1026&lt;&gt;"",DSDV!K1026,"")</f>
        <v/>
      </c>
      <c r="D1021" s="366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4" t="str">
        <f>IF(DSDV!K1027&lt;&gt;"",DSDV!K1027,"")</f>
        <v/>
      </c>
      <c r="D1022" s="366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4" t="str">
        <f>IF(DSDV!K1028&lt;&gt;"",DSDV!K1028,"")</f>
        <v/>
      </c>
      <c r="D1023" s="366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4" t="str">
        <f>IF(DSDV!K1029&lt;&gt;"",DSDV!K1029,"")</f>
        <v/>
      </c>
      <c r="D1024" s="366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4" t="str">
        <f>IF(DSDV!K1030&lt;&gt;"",DSDV!K1030,"")</f>
        <v/>
      </c>
      <c r="D1025" s="366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4" t="str">
        <f>IF(DSDV!K1031&lt;&gt;"",DSDV!K1031,"")</f>
        <v/>
      </c>
      <c r="D1026" s="366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4" t="str">
        <f>IF(DSDV!K1032&lt;&gt;"",DSDV!K1032,"")</f>
        <v/>
      </c>
      <c r="D1027" s="366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4" t="str">
        <f>IF(DSDV!K1033&lt;&gt;"",DSDV!K1033,"")</f>
        <v/>
      </c>
      <c r="D1028" s="366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4" t="str">
        <f>IF(DSDV!K1034&lt;&gt;"",DSDV!K1034,"")</f>
        <v/>
      </c>
      <c r="D1029" s="366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4" t="str">
        <f>IF(DSDV!K1035&lt;&gt;"",DSDV!K1035,"")</f>
        <v/>
      </c>
      <c r="D1030" s="366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4" t="str">
        <f>IF(DSDV!K1036&lt;&gt;"",DSDV!K1036,"")</f>
        <v/>
      </c>
      <c r="D1031" s="366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4" t="str">
        <f>IF(DSDV!K1037&lt;&gt;"",DSDV!K1037,"")</f>
        <v/>
      </c>
      <c r="D1032" s="366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4" t="str">
        <f>IF(DSDV!K1038&lt;&gt;"",DSDV!K1038,"")</f>
        <v/>
      </c>
      <c r="D1033" s="366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4" t="str">
        <f>IF(DSDV!K1039&lt;&gt;"",DSDV!K1039,"")</f>
        <v/>
      </c>
      <c r="D1034" s="366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4" t="str">
        <f>IF(DSDV!K1040&lt;&gt;"",DSDV!K1040,"")</f>
        <v/>
      </c>
      <c r="D1035" s="366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4" t="str">
        <f>IF(DSDV!K1041&lt;&gt;"",DSDV!K1041,"")</f>
        <v/>
      </c>
      <c r="D1036" s="366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4" t="str">
        <f>IF(DSDV!K1042&lt;&gt;"",DSDV!K1042,"")</f>
        <v/>
      </c>
      <c r="D1037" s="366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4" t="str">
        <f>IF(DSDV!K1043&lt;&gt;"",DSDV!K1043,"")</f>
        <v/>
      </c>
      <c r="D1038" s="366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4" t="str">
        <f>IF(DSDV!K1044&lt;&gt;"",DSDV!K1044,"")</f>
        <v/>
      </c>
      <c r="D1039" s="366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4" t="str">
        <f>IF(DSDV!K1045&lt;&gt;"",DSDV!K1045,"")</f>
        <v/>
      </c>
      <c r="D1040" s="366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4" t="str">
        <f>IF(DSDV!K1046&lt;&gt;"",DSDV!K1046,"")</f>
        <v/>
      </c>
      <c r="D1041" s="366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4" t="str">
        <f>IF(DSDV!K1047&lt;&gt;"",DSDV!K1047,"")</f>
        <v/>
      </c>
      <c r="D1042" s="366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4" t="str">
        <f>IF(DSDV!K1048&lt;&gt;"",DSDV!K1048,"")</f>
        <v/>
      </c>
      <c r="D1043" s="366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4" t="str">
        <f>IF(DSDV!K1049&lt;&gt;"",DSDV!K1049,"")</f>
        <v/>
      </c>
      <c r="D1044" s="366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4" t="str">
        <f>IF(DSDV!K1050&lt;&gt;"",DSDV!K1050,"")</f>
        <v/>
      </c>
      <c r="D1045" s="366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4" t="str">
        <f>IF(DSDV!K1051&lt;&gt;"",DSDV!K1051,"")</f>
        <v/>
      </c>
      <c r="D1046" s="366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4" t="str">
        <f>IF(DSDV!K1052&lt;&gt;"",DSDV!K1052,"")</f>
        <v/>
      </c>
      <c r="D1047" s="366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4" t="str">
        <f>IF(DSDV!K1053&lt;&gt;"",DSDV!K1053,"")</f>
        <v/>
      </c>
      <c r="D1048" s="366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4" t="str">
        <f>IF(DSDV!K1054&lt;&gt;"",DSDV!K1054,"")</f>
        <v/>
      </c>
      <c r="D1049" s="366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4" t="str">
        <f>IF(DSDV!K1055&lt;&gt;"",DSDV!K1055,"")</f>
        <v/>
      </c>
      <c r="D1050" s="366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4" t="str">
        <f>IF(DSDV!K1056&lt;&gt;"",DSDV!K1056,"")</f>
        <v/>
      </c>
      <c r="D1051" s="366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4" t="str">
        <f>IF(DSDV!K1057&lt;&gt;"",DSDV!K1057,"")</f>
        <v/>
      </c>
      <c r="D1052" s="366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4" t="str">
        <f>IF(DSDV!K1058&lt;&gt;"",DSDV!K1058,"")</f>
        <v/>
      </c>
      <c r="D1053" s="366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4" t="str">
        <f>IF(DSDV!K1059&lt;&gt;"",DSDV!K1059,"")</f>
        <v/>
      </c>
      <c r="D1054" s="366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4" t="str">
        <f>IF(DSDV!K1060&lt;&gt;"",DSDV!K1060,"")</f>
        <v/>
      </c>
      <c r="D1055" s="366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4" t="str">
        <f>IF(DSDV!K1061&lt;&gt;"",DSDV!K1061,"")</f>
        <v/>
      </c>
      <c r="D1056" s="366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4" t="str">
        <f>IF(DSDV!K1062&lt;&gt;"",DSDV!K1062,"")</f>
        <v/>
      </c>
      <c r="D1057" s="366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4" t="str">
        <f>IF(DSDV!K1063&lt;&gt;"",DSDV!K1063,"")</f>
        <v/>
      </c>
      <c r="D1058" s="366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4" t="str">
        <f>IF(DSDV!K1064&lt;&gt;"",DSDV!K1064,"")</f>
        <v/>
      </c>
      <c r="D1059" s="366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4" t="str">
        <f>IF(DSDV!K1065&lt;&gt;"",DSDV!K1065,"")</f>
        <v/>
      </c>
      <c r="D1060" s="366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4" t="str">
        <f>IF(DSDV!K1066&lt;&gt;"",DSDV!K1066,"")</f>
        <v/>
      </c>
      <c r="D1061" s="366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4" t="str">
        <f>IF(DSDV!K1067&lt;&gt;"",DSDV!K1067,"")</f>
        <v/>
      </c>
      <c r="D1062" s="366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4" t="str">
        <f>IF(DSDV!K1068&lt;&gt;"",DSDV!K1068,"")</f>
        <v/>
      </c>
      <c r="D1063" s="366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4" t="str">
        <f>IF(DSDV!K1069&lt;&gt;"",DSDV!K1069,"")</f>
        <v/>
      </c>
      <c r="D1064" s="366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4" t="str">
        <f>IF(DSDV!K1070&lt;&gt;"",DSDV!K1070,"")</f>
        <v/>
      </c>
      <c r="D1065" s="366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4" t="str">
        <f>IF(DSDV!K1071&lt;&gt;"",DSDV!K1071,"")</f>
        <v/>
      </c>
      <c r="D1066" s="366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4" t="str">
        <f>IF(DSDV!K1072&lt;&gt;"",DSDV!K1072,"")</f>
        <v/>
      </c>
      <c r="D1067" s="366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4" t="str">
        <f>IF(DSDV!K1073&lt;&gt;"",DSDV!K1073,"")</f>
        <v/>
      </c>
      <c r="D1068" s="366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4" t="str">
        <f>IF(DSDV!K1074&lt;&gt;"",DSDV!K1074,"")</f>
        <v/>
      </c>
      <c r="D1069" s="366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4" t="str">
        <f>IF(DSDV!K1075&lt;&gt;"",DSDV!K1075,"")</f>
        <v/>
      </c>
      <c r="D1070" s="366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4" t="str">
        <f>IF(DSDV!K1076&lt;&gt;"",DSDV!K1076,"")</f>
        <v/>
      </c>
      <c r="D1071" s="366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4" t="str">
        <f>IF(DSDV!K1077&lt;&gt;"",DSDV!K1077,"")</f>
        <v/>
      </c>
      <c r="D1072" s="366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4" t="str">
        <f>IF(DSDV!K1078&lt;&gt;"",DSDV!K1078,"")</f>
        <v/>
      </c>
      <c r="D1073" s="366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4" t="str">
        <f>IF(DSDV!K1079&lt;&gt;"",DSDV!K1079,"")</f>
        <v/>
      </c>
      <c r="D1074" s="366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4" t="str">
        <f>IF(DSDV!K1080&lt;&gt;"",DSDV!K1080,"")</f>
        <v/>
      </c>
      <c r="D1075" s="366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4" t="str">
        <f>IF(DSDV!K1081&lt;&gt;"",DSDV!K1081,"")</f>
        <v/>
      </c>
      <c r="D1076" s="366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4" t="str">
        <f>IF(DSDV!K1082&lt;&gt;"",DSDV!K1082,"")</f>
        <v/>
      </c>
      <c r="D1077" s="366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4" t="str">
        <f>IF(DSDV!K1083&lt;&gt;"",DSDV!K1083,"")</f>
        <v/>
      </c>
      <c r="D1078" s="366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4" t="str">
        <f>IF(DSDV!K1084&lt;&gt;"",DSDV!K1084,"")</f>
        <v/>
      </c>
      <c r="D1079" s="366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4" t="str">
        <f>IF(DSDV!K1085&lt;&gt;"",DSDV!K1085,"")</f>
        <v/>
      </c>
      <c r="D1080" s="366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4" t="str">
        <f>IF(DSDV!K1086&lt;&gt;"",DSDV!K1086,"")</f>
        <v/>
      </c>
      <c r="D1081" s="366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4" t="str">
        <f>IF(DSDV!K1087&lt;&gt;"",DSDV!K1087,"")</f>
        <v/>
      </c>
      <c r="D1082" s="366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4" t="str">
        <f>IF(DSDV!K1088&lt;&gt;"",DSDV!K1088,"")</f>
        <v/>
      </c>
      <c r="D1083" s="366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4" t="str">
        <f>IF(DSDV!K1089&lt;&gt;"",DSDV!K1089,"")</f>
        <v/>
      </c>
      <c r="D1084" s="366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4" t="str">
        <f>IF(DSDV!K1090&lt;&gt;"",DSDV!K1090,"")</f>
        <v/>
      </c>
      <c r="D1085" s="366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4" t="str">
        <f>IF(DSDV!K1091&lt;&gt;"",DSDV!K1091,"")</f>
        <v/>
      </c>
      <c r="D1086" s="366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4" t="str">
        <f>IF(DSDV!K1092&lt;&gt;"",DSDV!K1092,"")</f>
        <v/>
      </c>
      <c r="D1087" s="366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4" t="str">
        <f>IF(DSDV!K1093&lt;&gt;"",DSDV!K1093,"")</f>
        <v/>
      </c>
      <c r="D1088" s="366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4" t="str">
        <f>IF(DSDV!K1094&lt;&gt;"",DSDV!K1094,"")</f>
        <v/>
      </c>
      <c r="D1089" s="366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4" t="str">
        <f>IF(DSDV!K1095&lt;&gt;"",DSDV!K1095,"")</f>
        <v/>
      </c>
      <c r="D1090" s="366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4" t="str">
        <f>IF(DSDV!K1096&lt;&gt;"",DSDV!K1096,"")</f>
        <v/>
      </c>
      <c r="D1091" s="366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4" t="str">
        <f>IF(DSDV!K1097&lt;&gt;"",DSDV!K1097,"")</f>
        <v/>
      </c>
      <c r="D1092" s="366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4" t="str">
        <f>IF(DSDV!K1098&lt;&gt;"",DSDV!K1098,"")</f>
        <v/>
      </c>
      <c r="D1093" s="366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4" t="str">
        <f>IF(DSDV!K1099&lt;&gt;"",DSDV!K1099,"")</f>
        <v/>
      </c>
      <c r="D1094" s="366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4" t="str">
        <f>IF(DSDV!K1100&lt;&gt;"",DSDV!K1100,"")</f>
        <v/>
      </c>
      <c r="D1095" s="366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4" t="str">
        <f>IF(DSDV!K1101&lt;&gt;"",DSDV!K1101,"")</f>
        <v/>
      </c>
      <c r="D1096" s="366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4" t="str">
        <f>IF(DSDV!K1102&lt;&gt;"",DSDV!K1102,"")</f>
        <v/>
      </c>
      <c r="D1097" s="366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4" t="str">
        <f>IF(DSDV!K1103&lt;&gt;"",DSDV!K1103,"")</f>
        <v/>
      </c>
      <c r="D1098" s="366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4" t="str">
        <f>IF(DSDV!K1104&lt;&gt;"",DSDV!K1104,"")</f>
        <v/>
      </c>
      <c r="D1099" s="366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4" t="str">
        <f>IF(DSDV!K1105&lt;&gt;"",DSDV!K1105,"")</f>
        <v/>
      </c>
      <c r="D1100" s="366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4" t="str">
        <f>IF(DSDV!K1106&lt;&gt;"",DSDV!K1106,"")</f>
        <v/>
      </c>
      <c r="D1101" s="366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4" t="str">
        <f>IF(DSDV!K1107&lt;&gt;"",DSDV!K1107,"")</f>
        <v/>
      </c>
      <c r="D1102" s="366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4" t="str">
        <f>IF(DSDV!K1108&lt;&gt;"",DSDV!K1108,"")</f>
        <v/>
      </c>
      <c r="D1103" s="366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4" t="str">
        <f>IF(DSDV!K1109&lt;&gt;"",DSDV!K1109,"")</f>
        <v/>
      </c>
      <c r="D1104" s="366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4" t="str">
        <f>IF(DSDV!K1110&lt;&gt;"",DSDV!K1110,"")</f>
        <v/>
      </c>
      <c r="D1105" s="366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4" t="str">
        <f>IF(DSDV!K1111&lt;&gt;"",DSDV!K1111,"")</f>
        <v/>
      </c>
      <c r="D1106" s="366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4" t="str">
        <f>IF(DSDV!K1112&lt;&gt;"",DSDV!K1112,"")</f>
        <v/>
      </c>
      <c r="D1107" s="366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4" t="str">
        <f>IF(DSDV!K1113&lt;&gt;"",DSDV!K1113,"")</f>
        <v/>
      </c>
      <c r="D1108" s="366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4" t="str">
        <f>IF(DSDV!K1114&lt;&gt;"",DSDV!K1114,"")</f>
        <v/>
      </c>
      <c r="D1109" s="366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4" t="str">
        <f>IF(DSDV!K1115&lt;&gt;"",DSDV!K1115,"")</f>
        <v/>
      </c>
      <c r="D1110" s="366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4" t="str">
        <f>IF(DSDV!K1116&lt;&gt;"",DSDV!K1116,"")</f>
        <v/>
      </c>
      <c r="D1111" s="366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4" t="str">
        <f>IF(DSDV!K1117&lt;&gt;"",DSDV!K1117,"")</f>
        <v/>
      </c>
      <c r="D1112" s="366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4" t="str">
        <f>IF(DSDV!K1118&lt;&gt;"",DSDV!K1118,"")</f>
        <v/>
      </c>
      <c r="D1113" s="366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4" t="str">
        <f>IF(DSDV!K1119&lt;&gt;"",DSDV!K1119,"")</f>
        <v/>
      </c>
      <c r="D1114" s="366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4" t="str">
        <f>IF(DSDV!K1120&lt;&gt;"",DSDV!K1120,"")</f>
        <v/>
      </c>
      <c r="D1115" s="366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4" t="str">
        <f>IF(DSDV!K1121&lt;&gt;"",DSDV!K1121,"")</f>
        <v/>
      </c>
      <c r="D1116" s="366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4" t="str">
        <f>IF(DSDV!K1122&lt;&gt;"",DSDV!K1122,"")</f>
        <v/>
      </c>
      <c r="D1117" s="366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4" t="str">
        <f>IF(DSDV!K1123&lt;&gt;"",DSDV!K1123,"")</f>
        <v/>
      </c>
      <c r="D1118" s="366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4" t="str">
        <f>IF(DSDV!K1124&lt;&gt;"",DSDV!K1124,"")</f>
        <v/>
      </c>
      <c r="D1119" s="366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4" t="str">
        <f>IF(DSDV!K1125&lt;&gt;"",DSDV!K1125,"")</f>
        <v/>
      </c>
      <c r="D1120" s="366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4" t="str">
        <f>IF(DSDV!K1126&lt;&gt;"",DSDV!K1126,"")</f>
        <v/>
      </c>
      <c r="D1121" s="366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4" t="str">
        <f>IF(DSDV!K1127&lt;&gt;"",DSDV!K1127,"")</f>
        <v/>
      </c>
      <c r="D1122" s="366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4" t="str">
        <f>IF(DSDV!K1128&lt;&gt;"",DSDV!K1128,"")</f>
        <v/>
      </c>
      <c r="D1123" s="366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4" t="str">
        <f>IF(DSDV!K1129&lt;&gt;"",DSDV!K1129,"")</f>
        <v/>
      </c>
      <c r="D1124" s="366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4" t="str">
        <f>IF(DSDV!K1130&lt;&gt;"",DSDV!K1130,"")</f>
        <v/>
      </c>
      <c r="D1125" s="366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4" t="str">
        <f>IF(DSDV!K1131&lt;&gt;"",DSDV!K1131,"")</f>
        <v/>
      </c>
      <c r="D1126" s="366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4" t="str">
        <f>IF(DSDV!K1132&lt;&gt;"",DSDV!K1132,"")</f>
        <v/>
      </c>
      <c r="D1127" s="366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4" t="str">
        <f>IF(DSDV!K1133&lt;&gt;"",DSDV!K1133,"")</f>
        <v/>
      </c>
      <c r="D1128" s="366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4" t="str">
        <f>IF(DSDV!K1134&lt;&gt;"",DSDV!K1134,"")</f>
        <v/>
      </c>
      <c r="D1129" s="366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4" t="str">
        <f>IF(DSDV!K1135&lt;&gt;"",DSDV!K1135,"")</f>
        <v/>
      </c>
      <c r="D1130" s="366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4" t="str">
        <f>IF(DSDV!K1136&lt;&gt;"",DSDV!K1136,"")</f>
        <v/>
      </c>
      <c r="D1131" s="366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4" t="str">
        <f>IF(DSDV!K1137&lt;&gt;"",DSDV!K1137,"")</f>
        <v/>
      </c>
      <c r="D1132" s="366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4" t="str">
        <f>IF(DSDV!K1138&lt;&gt;"",DSDV!K1138,"")</f>
        <v/>
      </c>
      <c r="D1133" s="366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4" t="str">
        <f>IF(DSDV!K1139&lt;&gt;"",DSDV!K1139,"")</f>
        <v/>
      </c>
      <c r="D1134" s="366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4" t="str">
        <f>IF(DSDV!K1140&lt;&gt;"",DSDV!K1140,"")</f>
        <v/>
      </c>
      <c r="D1135" s="366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4" t="str">
        <f>IF(DSDV!K1141&lt;&gt;"",DSDV!K1141,"")</f>
        <v/>
      </c>
      <c r="D1136" s="366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4" t="str">
        <f>IF(DSDV!K1142&lt;&gt;"",DSDV!K1142,"")</f>
        <v/>
      </c>
      <c r="D1137" s="366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4" t="str">
        <f>IF(DSDV!K1143&lt;&gt;"",DSDV!K1143,"")</f>
        <v/>
      </c>
      <c r="D1138" s="366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4" t="str">
        <f>IF(DSDV!K1144&lt;&gt;"",DSDV!K1144,"")</f>
        <v/>
      </c>
      <c r="D1139" s="366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4" t="str">
        <f>IF(DSDV!K1145&lt;&gt;"",DSDV!K1145,"")</f>
        <v/>
      </c>
      <c r="D1140" s="366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4" t="str">
        <f>IF(DSDV!K1146&lt;&gt;"",DSDV!K1146,"")</f>
        <v/>
      </c>
      <c r="D1141" s="366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4" t="str">
        <f>IF(DSDV!K1147&lt;&gt;"",DSDV!K1147,"")</f>
        <v/>
      </c>
      <c r="D1142" s="366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4" t="str">
        <f>IF(DSDV!K1148&lt;&gt;"",DSDV!K1148,"")</f>
        <v/>
      </c>
      <c r="D1143" s="366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4" t="str">
        <f>IF(DSDV!K1149&lt;&gt;"",DSDV!K1149,"")</f>
        <v/>
      </c>
      <c r="D1144" s="366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4" t="str">
        <f>IF(DSDV!K1150&lt;&gt;"",DSDV!K1150,"")</f>
        <v/>
      </c>
      <c r="D1145" s="366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4" t="str">
        <f>IF(DSDV!K1151&lt;&gt;"",DSDV!K1151,"")</f>
        <v/>
      </c>
      <c r="D1146" s="366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4" t="str">
        <f>IF(DSDV!K1152&lt;&gt;"",DSDV!K1152,"")</f>
        <v/>
      </c>
      <c r="D1147" s="366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4" t="str">
        <f>IF(DSDV!K1153&lt;&gt;"",DSDV!K1153,"")</f>
        <v/>
      </c>
      <c r="D1148" s="366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4" t="str">
        <f>IF(DSDV!K1154&lt;&gt;"",DSDV!K1154,"")</f>
        <v/>
      </c>
      <c r="D1149" s="366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4" t="str">
        <f>IF(DSDV!K1155&lt;&gt;"",DSDV!K1155,"")</f>
        <v/>
      </c>
      <c r="D1150" s="366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4" t="str">
        <f>IF(DSDV!K1156&lt;&gt;"",DSDV!K1156,"")</f>
        <v/>
      </c>
      <c r="D1151" s="366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4" t="str">
        <f>IF(DSDV!K1157&lt;&gt;"",DSDV!K1157,"")</f>
        <v/>
      </c>
      <c r="D1152" s="366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4" t="str">
        <f>IF(DSDV!K1158&lt;&gt;"",DSDV!K1158,"")</f>
        <v/>
      </c>
      <c r="D1153" s="366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4" t="str">
        <f>IF(DSDV!K1159&lt;&gt;"",DSDV!K1159,"")</f>
        <v/>
      </c>
      <c r="D1154" s="366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4" t="str">
        <f>IF(DSDV!K1160&lt;&gt;"",DSDV!K1160,"")</f>
        <v/>
      </c>
      <c r="D1155" s="366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4" t="str">
        <f>IF(DSDV!K1161&lt;&gt;"",DSDV!K1161,"")</f>
        <v/>
      </c>
      <c r="D1156" s="366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4" t="str">
        <f>IF(DSDV!K1162&lt;&gt;"",DSDV!K1162,"")</f>
        <v/>
      </c>
      <c r="D1157" s="366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4" t="str">
        <f>IF(DSDV!K1163&lt;&gt;"",DSDV!K1163,"")</f>
        <v/>
      </c>
      <c r="D1158" s="366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4" t="str">
        <f>IF(DSDV!K1164&lt;&gt;"",DSDV!K1164,"")</f>
        <v/>
      </c>
      <c r="D1159" s="366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4" t="str">
        <f>IF(DSDV!K1165&lt;&gt;"",DSDV!K1165,"")</f>
        <v/>
      </c>
      <c r="D1160" s="366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4" t="str">
        <f>IF(DSDV!K1166&lt;&gt;"",DSDV!K1166,"")</f>
        <v/>
      </c>
      <c r="D1161" s="366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4" t="str">
        <f>IF(DSDV!K1167&lt;&gt;"",DSDV!K1167,"")</f>
        <v/>
      </c>
      <c r="D1162" s="366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4" t="str">
        <f>IF(DSDV!K1168&lt;&gt;"",DSDV!K1168,"")</f>
        <v/>
      </c>
      <c r="D1163" s="366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4" t="str">
        <f>IF(DSDV!K1169&lt;&gt;"",DSDV!K1169,"")</f>
        <v/>
      </c>
      <c r="D1164" s="366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4" t="str">
        <f>IF(DSDV!K1170&lt;&gt;"",DSDV!K1170,"")</f>
        <v/>
      </c>
      <c r="D1165" s="366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4" t="str">
        <f>IF(DSDV!K1171&lt;&gt;"",DSDV!K1171,"")</f>
        <v/>
      </c>
      <c r="D1166" s="366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4" t="str">
        <f>IF(DSDV!K1172&lt;&gt;"",DSDV!K1172,"")</f>
        <v/>
      </c>
      <c r="D1167" s="366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4" t="str">
        <f>IF(DSDV!K1173&lt;&gt;"",DSDV!K1173,"")</f>
        <v/>
      </c>
      <c r="D1168" s="366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4" t="str">
        <f>IF(DSDV!K1174&lt;&gt;"",DSDV!K1174,"")</f>
        <v/>
      </c>
      <c r="D1169" s="366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4" t="str">
        <f>IF(DSDV!K1175&lt;&gt;"",DSDV!K1175,"")</f>
        <v/>
      </c>
      <c r="D1170" s="366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4" t="str">
        <f>IF(DSDV!K1176&lt;&gt;"",DSDV!K1176,"")</f>
        <v/>
      </c>
      <c r="D1171" s="366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4" t="str">
        <f>IF(DSDV!K1177&lt;&gt;"",DSDV!K1177,"")</f>
        <v/>
      </c>
      <c r="D1172" s="366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4" t="str">
        <f>IF(DSDV!K1178&lt;&gt;"",DSDV!K1178,"")</f>
        <v/>
      </c>
      <c r="D1173" s="366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4" t="str">
        <f>IF(DSDV!K1179&lt;&gt;"",DSDV!K1179,"")</f>
        <v/>
      </c>
      <c r="D1174" s="366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4" t="str">
        <f>IF(DSDV!K1180&lt;&gt;"",DSDV!K1180,"")</f>
        <v/>
      </c>
      <c r="D1175" s="366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4" t="str">
        <f>IF(DSDV!K1181&lt;&gt;"",DSDV!K1181,"")</f>
        <v/>
      </c>
      <c r="D1176" s="366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4" t="str">
        <f>IF(DSDV!K1182&lt;&gt;"",DSDV!K1182,"")</f>
        <v/>
      </c>
      <c r="D1177" s="366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4" t="str">
        <f>IF(DSDV!K1183&lt;&gt;"",DSDV!K1183,"")</f>
        <v/>
      </c>
      <c r="D1178" s="366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4" t="str">
        <f>IF(DSDV!K1184&lt;&gt;"",DSDV!K1184,"")</f>
        <v/>
      </c>
      <c r="D1179" s="366" t="str">
        <f>IF(DSDV!W1184&lt;&gt;"",DSDV!W1184,"")</f>
        <v/>
      </c>
    </row>
    <row r="1180" spans="1:4">
      <c r="C1180" s="224"/>
      <c r="D1180" s="225"/>
    </row>
    <row r="1181" spans="1:4">
      <c r="C1181" s="224"/>
      <c r="D1181" s="225"/>
    </row>
    <row r="1182" spans="1:4">
      <c r="C1182" s="224"/>
      <c r="D1182" s="225"/>
    </row>
    <row r="1183" spans="1:4">
      <c r="C1183" s="224"/>
      <c r="D1183" s="225"/>
    </row>
    <row r="1184" spans="1:4">
      <c r="C1184" s="224"/>
      <c r="D1184" s="225"/>
    </row>
    <row r="1185" spans="3:4">
      <c r="C1185" s="224"/>
      <c r="D1185" s="225"/>
    </row>
    <row r="1186" spans="3:4">
      <c r="C1186" s="224"/>
      <c r="D1186" s="225"/>
    </row>
    <row r="1187" spans="3:4">
      <c r="C1187" s="224"/>
      <c r="D1187" s="225"/>
    </row>
    <row r="1188" spans="3:4">
      <c r="C1188" s="224"/>
      <c r="D1188" s="225"/>
    </row>
    <row r="1189" spans="3:4">
      <c r="C1189" s="224"/>
      <c r="D1189" s="225"/>
    </row>
    <row r="1190" spans="3:4">
      <c r="C1190" s="224"/>
      <c r="D1190" s="225"/>
    </row>
    <row r="1191" spans="3:4">
      <c r="C1191" s="224"/>
      <c r="D1191" s="225"/>
    </row>
    <row r="1192" spans="3:4">
      <c r="C1192" s="224"/>
      <c r="D1192" s="225"/>
    </row>
    <row r="1193" spans="3:4">
      <c r="C1193" s="224"/>
      <c r="D1193" s="225"/>
    </row>
    <row r="1194" spans="3:4">
      <c r="C1194" s="224"/>
      <c r="D1194" s="225"/>
    </row>
    <row r="1195" spans="3:4">
      <c r="C1195" s="224"/>
      <c r="D1195" s="225"/>
    </row>
    <row r="1196" spans="3:4">
      <c r="C1196" s="224"/>
      <c r="D1196" s="225"/>
    </row>
    <row r="1197" spans="3:4">
      <c r="C1197" s="224"/>
      <c r="D1197" s="225"/>
    </row>
    <row r="1198" spans="3:4">
      <c r="C1198" s="224"/>
      <c r="D1198" s="225"/>
    </row>
    <row r="1199" spans="3:4">
      <c r="C1199" s="224"/>
      <c r="D1199" s="225"/>
    </row>
    <row r="1200" spans="3:4">
      <c r="C1200" s="224"/>
      <c r="D1200" s="225"/>
    </row>
    <row r="1201" spans="3:4">
      <c r="C1201" s="224"/>
      <c r="D1201" s="225"/>
    </row>
    <row r="1202" spans="3:4">
      <c r="C1202" s="224"/>
      <c r="D1202" s="225"/>
    </row>
    <row r="1203" spans="3:4">
      <c r="C1203" s="224"/>
      <c r="D1203" s="225"/>
    </row>
    <row r="1204" spans="3:4">
      <c r="C1204" s="224"/>
      <c r="D1204" s="225"/>
    </row>
    <row r="1205" spans="3:4">
      <c r="C1205" s="224"/>
      <c r="D1205" s="225"/>
    </row>
    <row r="1206" spans="3:4">
      <c r="C1206" s="224"/>
      <c r="D1206" s="225"/>
    </row>
    <row r="1207" spans="3:4">
      <c r="C1207" s="224"/>
      <c r="D1207" s="225"/>
    </row>
    <row r="1208" spans="3:4">
      <c r="C1208" s="224"/>
      <c r="D1208" s="225"/>
    </row>
    <row r="1209" spans="3:4">
      <c r="C1209" s="224"/>
      <c r="D1209" s="225"/>
    </row>
    <row r="1210" spans="3:4">
      <c r="C1210" s="224"/>
      <c r="D1210" s="225"/>
    </row>
    <row r="1211" spans="3:4">
      <c r="C1211" s="224"/>
      <c r="D1211" s="225"/>
    </row>
    <row r="1212" spans="3:4">
      <c r="C1212" s="224"/>
      <c r="D1212" s="225"/>
    </row>
    <row r="1213" spans="3:4">
      <c r="C1213" s="224"/>
      <c r="D1213" s="225"/>
    </row>
    <row r="1214" spans="3:4">
      <c r="C1214" s="224"/>
      <c r="D1214" s="225"/>
    </row>
    <row r="1215" spans="3:4">
      <c r="C1215" s="224"/>
      <c r="D1215" s="225"/>
    </row>
    <row r="1216" spans="3:4">
      <c r="C1216" s="224"/>
      <c r="D1216" s="225"/>
    </row>
    <row r="1217" spans="3:4">
      <c r="C1217" s="224"/>
      <c r="D1217" s="225"/>
    </row>
    <row r="1218" spans="3:4">
      <c r="C1218" s="224"/>
      <c r="D1218" s="225"/>
    </row>
    <row r="1219" spans="3:4">
      <c r="C1219" s="224"/>
      <c r="D1219" s="225"/>
    </row>
    <row r="1220" spans="3:4">
      <c r="C1220" s="224"/>
      <c r="D1220" s="225"/>
    </row>
    <row r="1221" spans="3:4">
      <c r="C1221" s="224"/>
      <c r="D1221" s="225"/>
    </row>
    <row r="1222" spans="3:4">
      <c r="C1222" s="224"/>
      <c r="D1222" s="225"/>
    </row>
    <row r="1223" spans="3:4">
      <c r="C1223" s="224"/>
      <c r="D1223" s="225"/>
    </row>
    <row r="1224" spans="3:4">
      <c r="C1224" s="224"/>
      <c r="D1224" s="225"/>
    </row>
    <row r="1225" spans="3:4">
      <c r="C1225" s="224"/>
      <c r="D1225" s="225"/>
    </row>
    <row r="1226" spans="3:4">
      <c r="C1226" s="224"/>
      <c r="D1226" s="225"/>
    </row>
    <row r="1227" spans="3:4">
      <c r="C1227" s="224"/>
      <c r="D1227" s="225"/>
    </row>
    <row r="1228" spans="3:4">
      <c r="C1228" s="224"/>
      <c r="D1228" s="225"/>
    </row>
    <row r="1229" spans="3:4">
      <c r="C1229" s="224"/>
      <c r="D1229" s="225"/>
    </row>
    <row r="1230" spans="3:4">
      <c r="C1230" s="224"/>
      <c r="D1230" s="225"/>
    </row>
    <row r="1231" spans="3:4">
      <c r="C1231" s="224"/>
      <c r="D1231" s="225"/>
    </row>
    <row r="1232" spans="3:4">
      <c r="C1232" s="224"/>
      <c r="D1232" s="225"/>
    </row>
    <row r="1233" spans="3:4">
      <c r="C1233" s="224"/>
      <c r="D1233" s="225"/>
    </row>
    <row r="1234" spans="3:4">
      <c r="C1234" s="224"/>
      <c r="D1234" s="225"/>
    </row>
    <row r="1235" spans="3:4">
      <c r="C1235" s="224"/>
      <c r="D1235" s="225"/>
    </row>
    <row r="1236" spans="3:4">
      <c r="C1236" s="224"/>
      <c r="D1236" s="225"/>
    </row>
    <row r="1237" spans="3:4">
      <c r="C1237" s="224"/>
      <c r="D1237" s="225"/>
    </row>
    <row r="1238" spans="3:4">
      <c r="C1238" s="224"/>
      <c r="D1238" s="225"/>
    </row>
    <row r="1239" spans="3:4">
      <c r="C1239" s="224"/>
      <c r="D1239" s="225"/>
    </row>
    <row r="1240" spans="3:4">
      <c r="C1240" s="224"/>
      <c r="D1240" s="225"/>
    </row>
    <row r="1241" spans="3:4">
      <c r="C1241" s="224"/>
      <c r="D1241" s="225"/>
    </row>
    <row r="1242" spans="3:4">
      <c r="C1242" s="224"/>
      <c r="D1242" s="225"/>
    </row>
    <row r="1243" spans="3:4">
      <c r="C1243" s="224"/>
      <c r="D1243" s="225"/>
    </row>
    <row r="1244" spans="3:4">
      <c r="C1244" s="224"/>
      <c r="D1244" s="225"/>
    </row>
    <row r="1245" spans="3:4">
      <c r="C1245" s="224"/>
      <c r="D1245" s="225"/>
    </row>
    <row r="1246" spans="3:4">
      <c r="C1246" s="224"/>
      <c r="D1246" s="225"/>
    </row>
    <row r="1247" spans="3:4">
      <c r="C1247" s="224"/>
      <c r="D1247" s="225"/>
    </row>
    <row r="1248" spans="3:4">
      <c r="C1248" s="224"/>
      <c r="D1248" s="225"/>
    </row>
    <row r="1249" spans="3:4">
      <c r="C1249" s="224"/>
      <c r="D1249" s="225"/>
    </row>
    <row r="1250" spans="3:4">
      <c r="C1250" s="224"/>
      <c r="D1250" s="225"/>
    </row>
    <row r="1251" spans="3:4">
      <c r="C1251" s="224"/>
      <c r="D1251" s="225"/>
    </row>
    <row r="1252" spans="3:4">
      <c r="C1252" s="224"/>
      <c r="D1252" s="225"/>
    </row>
    <row r="1253" spans="3:4">
      <c r="C1253" s="224"/>
      <c r="D1253" s="225"/>
    </row>
    <row r="1254" spans="3:4">
      <c r="C1254" s="224"/>
      <c r="D1254" s="225"/>
    </row>
    <row r="1255" spans="3:4">
      <c r="C1255" s="224"/>
      <c r="D1255" s="225"/>
    </row>
    <row r="1256" spans="3:4">
      <c r="C1256" s="224"/>
      <c r="D1256" s="225"/>
    </row>
    <row r="1257" spans="3:4">
      <c r="C1257" s="224"/>
      <c r="D1257" s="225"/>
    </row>
    <row r="1258" spans="3:4">
      <c r="C1258" s="224"/>
      <c r="D1258" s="225"/>
    </row>
    <row r="1259" spans="3:4">
      <c r="C1259" s="224"/>
      <c r="D1259" s="225"/>
    </row>
    <row r="1260" spans="3:4">
      <c r="C1260" s="224"/>
      <c r="D1260" s="225"/>
    </row>
    <row r="1261" spans="3:4">
      <c r="C1261" s="224"/>
      <c r="D1261" s="225"/>
    </row>
    <row r="1262" spans="3:4">
      <c r="C1262" s="224"/>
      <c r="D1262" s="225"/>
    </row>
    <row r="1263" spans="3:4">
      <c r="C1263" s="224"/>
      <c r="D1263" s="225"/>
    </row>
    <row r="1264" spans="3:4">
      <c r="C1264" s="224"/>
      <c r="D1264" s="225"/>
    </row>
    <row r="1265" spans="3:4">
      <c r="C1265" s="224"/>
      <c r="D1265" s="225"/>
    </row>
    <row r="1266" spans="3:4">
      <c r="C1266" s="224"/>
      <c r="D1266" s="225"/>
    </row>
    <row r="1267" spans="3:4">
      <c r="C1267" s="224"/>
      <c r="D1267" s="225"/>
    </row>
    <row r="1268" spans="3:4">
      <c r="C1268" s="224"/>
      <c r="D1268" s="225"/>
    </row>
    <row r="1269" spans="3:4">
      <c r="C1269" s="224"/>
      <c r="D1269" s="225"/>
    </row>
    <row r="1270" spans="3:4">
      <c r="C1270" s="224"/>
      <c r="D1270" s="225"/>
    </row>
    <row r="1271" spans="3:4">
      <c r="C1271" s="224"/>
      <c r="D1271" s="225"/>
    </row>
    <row r="1272" spans="3:4">
      <c r="C1272" s="224"/>
      <c r="D1272" s="225"/>
    </row>
    <row r="1273" spans="3:4">
      <c r="C1273" s="224"/>
      <c r="D1273" s="225"/>
    </row>
    <row r="1274" spans="3:4">
      <c r="C1274" s="224"/>
      <c r="D1274" s="225"/>
    </row>
    <row r="1275" spans="3:4">
      <c r="C1275" s="224"/>
      <c r="D1275" s="225"/>
    </row>
    <row r="1276" spans="3:4">
      <c r="C1276" s="224"/>
      <c r="D1276" s="225"/>
    </row>
    <row r="1277" spans="3:4">
      <c r="C1277" s="224"/>
      <c r="D1277" s="225"/>
    </row>
    <row r="1278" spans="3:4">
      <c r="C1278" s="224"/>
      <c r="D1278" s="225"/>
    </row>
    <row r="1279" spans="3:4">
      <c r="C1279" s="224"/>
      <c r="D1279" s="225"/>
    </row>
    <row r="1280" spans="3:4">
      <c r="C1280" s="224"/>
      <c r="D1280" s="225"/>
    </row>
    <row r="1281" spans="3:4">
      <c r="C1281" s="224"/>
      <c r="D1281" s="225"/>
    </row>
    <row r="1282" spans="3:4">
      <c r="C1282" s="224"/>
      <c r="D1282" s="225"/>
    </row>
    <row r="1283" spans="3:4">
      <c r="C1283" s="224"/>
      <c r="D1283" s="225"/>
    </row>
    <row r="1284" spans="3:4">
      <c r="C1284" s="224"/>
      <c r="D1284" s="225"/>
    </row>
    <row r="1285" spans="3:4">
      <c r="C1285" s="224"/>
      <c r="D1285" s="225"/>
    </row>
    <row r="1286" spans="3:4">
      <c r="C1286" s="224"/>
      <c r="D1286" s="225"/>
    </row>
    <row r="1287" spans="3:4">
      <c r="C1287" s="224"/>
      <c r="D1287" s="225"/>
    </row>
    <row r="1288" spans="3:4">
      <c r="C1288" s="224"/>
      <c r="D1288" s="225"/>
    </row>
    <row r="1289" spans="3:4">
      <c r="C1289" s="224"/>
      <c r="D1289" s="225"/>
    </row>
    <row r="1290" spans="3:4">
      <c r="C1290" s="224"/>
      <c r="D1290" s="225"/>
    </row>
    <row r="1291" spans="3:4">
      <c r="C1291" s="224"/>
      <c r="D1291" s="225"/>
    </row>
    <row r="1292" spans="3:4">
      <c r="C1292" s="224"/>
      <c r="D1292" s="225"/>
    </row>
    <row r="1293" spans="3:4">
      <c r="C1293" s="224"/>
      <c r="D1293" s="225"/>
    </row>
    <row r="1294" spans="3:4">
      <c r="C1294" s="224"/>
      <c r="D1294" s="225"/>
    </row>
    <row r="1295" spans="3:4">
      <c r="C1295" s="224"/>
      <c r="D1295" s="225"/>
    </row>
    <row r="1296" spans="3:4">
      <c r="C1296" s="224"/>
      <c r="D1296" s="225"/>
    </row>
    <row r="1297" spans="3:4">
      <c r="C1297" s="224"/>
      <c r="D1297" s="225"/>
    </row>
    <row r="1298" spans="3:4">
      <c r="C1298" s="224"/>
      <c r="D1298" s="225"/>
    </row>
    <row r="1299" spans="3:4">
      <c r="C1299" s="224"/>
      <c r="D1299" s="225"/>
    </row>
    <row r="1300" spans="3:4">
      <c r="C1300" s="224"/>
      <c r="D1300" s="225"/>
    </row>
    <row r="1301" spans="3:4">
      <c r="C1301" s="224"/>
      <c r="D1301" s="225"/>
    </row>
    <row r="1302" spans="3:4">
      <c r="C1302" s="224"/>
      <c r="D1302" s="225"/>
    </row>
    <row r="1303" spans="3:4">
      <c r="C1303" s="224"/>
      <c r="D1303" s="225"/>
    </row>
    <row r="1304" spans="3:4">
      <c r="C1304" s="224"/>
      <c r="D1304" s="225"/>
    </row>
    <row r="1305" spans="3:4">
      <c r="C1305" s="224"/>
      <c r="D1305" s="225"/>
    </row>
    <row r="1306" spans="3:4">
      <c r="C1306" s="224"/>
      <c r="D1306" s="225"/>
    </row>
    <row r="1307" spans="3:4">
      <c r="C1307" s="224"/>
      <c r="D1307" s="225"/>
    </row>
    <row r="1308" spans="3:4">
      <c r="C1308" s="224"/>
      <c r="D1308" s="225"/>
    </row>
    <row r="1309" spans="3:4">
      <c r="C1309" s="224"/>
      <c r="D1309" s="225"/>
    </row>
    <row r="1310" spans="3:4">
      <c r="C1310" s="224"/>
      <c r="D1310" s="225"/>
    </row>
    <row r="1311" spans="3:4">
      <c r="C1311" s="224"/>
      <c r="D1311" s="225"/>
    </row>
    <row r="1312" spans="3:4">
      <c r="C1312" s="224"/>
      <c r="D1312" s="225"/>
    </row>
    <row r="1313" spans="3:4">
      <c r="C1313" s="224"/>
      <c r="D1313" s="225"/>
    </row>
    <row r="1314" spans="3:4">
      <c r="C1314" s="224"/>
      <c r="D1314" s="225"/>
    </row>
    <row r="1315" spans="3:4">
      <c r="C1315" s="224"/>
      <c r="D1315" s="225"/>
    </row>
    <row r="1316" spans="3:4">
      <c r="C1316" s="224"/>
      <c r="D1316" s="225"/>
    </row>
    <row r="1317" spans="3:4">
      <c r="C1317" s="224"/>
      <c r="D1317" s="225"/>
    </row>
    <row r="1318" spans="3:4">
      <c r="C1318" s="224"/>
      <c r="D1318" s="225"/>
    </row>
    <row r="1319" spans="3:4">
      <c r="C1319" s="224"/>
      <c r="D1319" s="225"/>
    </row>
    <row r="1320" spans="3:4">
      <c r="C1320" s="224"/>
      <c r="D1320" s="225"/>
    </row>
    <row r="1321" spans="3:4">
      <c r="C1321" s="224"/>
      <c r="D1321" s="225"/>
    </row>
    <row r="1322" spans="3:4">
      <c r="C1322" s="224"/>
      <c r="D1322" s="225"/>
    </row>
    <row r="1323" spans="3:4">
      <c r="C1323" s="224"/>
      <c r="D1323" s="225"/>
    </row>
    <row r="1324" spans="3:4">
      <c r="C1324" s="224"/>
      <c r="D1324" s="225"/>
    </row>
    <row r="1325" spans="3:4">
      <c r="C1325" s="224"/>
      <c r="D1325" s="225"/>
    </row>
    <row r="1326" spans="3:4">
      <c r="C1326" s="224"/>
      <c r="D1326" s="225"/>
    </row>
    <row r="1327" spans="3:4">
      <c r="C1327" s="224"/>
      <c r="D1327" s="225"/>
    </row>
    <row r="1328" spans="3:4">
      <c r="C1328" s="224"/>
      <c r="D1328" s="225"/>
    </row>
    <row r="1329" spans="3:4">
      <c r="C1329" s="224"/>
      <c r="D1329" s="225"/>
    </row>
    <row r="1330" spans="3:4">
      <c r="C1330" s="224"/>
      <c r="D1330" s="225"/>
    </row>
    <row r="1331" spans="3:4">
      <c r="C1331" s="224"/>
      <c r="D1331" s="225"/>
    </row>
    <row r="1332" spans="3:4">
      <c r="C1332" s="224"/>
      <c r="D1332" s="225"/>
    </row>
    <row r="1333" spans="3:4">
      <c r="C1333" s="224"/>
      <c r="D1333" s="225"/>
    </row>
    <row r="1334" spans="3:4">
      <c r="C1334" s="224"/>
      <c r="D1334" s="225"/>
    </row>
    <row r="1335" spans="3:4">
      <c r="C1335" s="224"/>
      <c r="D1335" s="225"/>
    </row>
    <row r="1336" spans="3:4">
      <c r="C1336" s="224"/>
      <c r="D1336" s="225"/>
    </row>
    <row r="1337" spans="3:4">
      <c r="C1337" s="224"/>
      <c r="D1337" s="225"/>
    </row>
    <row r="1338" spans="3:4">
      <c r="C1338" s="224"/>
      <c r="D1338" s="225"/>
    </row>
    <row r="1339" spans="3:4">
      <c r="C1339" s="224"/>
      <c r="D1339" s="225"/>
    </row>
    <row r="1340" spans="3:4">
      <c r="C1340" s="224"/>
      <c r="D1340" s="225"/>
    </row>
    <row r="1341" spans="3:4">
      <c r="C1341" s="224"/>
      <c r="D1341" s="225"/>
    </row>
    <row r="1342" spans="3:4">
      <c r="C1342" s="224"/>
      <c r="D1342" s="225"/>
    </row>
    <row r="1343" spans="3:4">
      <c r="C1343" s="224"/>
      <c r="D1343" s="225"/>
    </row>
    <row r="1344" spans="3:4">
      <c r="C1344" s="224"/>
      <c r="D1344" s="225"/>
    </row>
    <row r="1345" spans="3:4">
      <c r="C1345" s="224"/>
      <c r="D1345" s="225"/>
    </row>
    <row r="1346" spans="3:4">
      <c r="C1346" s="224"/>
      <c r="D1346" s="225"/>
    </row>
    <row r="1347" spans="3:4">
      <c r="C1347" s="224"/>
      <c r="D1347" s="225"/>
    </row>
    <row r="1348" spans="3:4">
      <c r="C1348" s="224"/>
      <c r="D1348" s="225"/>
    </row>
    <row r="1349" spans="3:4">
      <c r="C1349" s="224"/>
      <c r="D1349" s="225"/>
    </row>
    <row r="1350" spans="3:4">
      <c r="C1350" s="224"/>
      <c r="D1350" s="225"/>
    </row>
    <row r="1351" spans="3:4">
      <c r="C1351" s="224"/>
      <c r="D1351" s="225"/>
    </row>
    <row r="1352" spans="3:4">
      <c r="C1352" s="224"/>
      <c r="D1352" s="225"/>
    </row>
    <row r="1353" spans="3:4">
      <c r="C1353" s="224"/>
      <c r="D1353" s="225"/>
    </row>
    <row r="1354" spans="3:4">
      <c r="C1354" s="224"/>
      <c r="D1354" s="225"/>
    </row>
    <row r="1355" spans="3:4">
      <c r="C1355" s="224"/>
      <c r="D1355" s="225"/>
    </row>
    <row r="1356" spans="3:4">
      <c r="C1356" s="224"/>
      <c r="D1356" s="225"/>
    </row>
    <row r="1357" spans="3:4">
      <c r="C1357" s="224"/>
      <c r="D1357" s="225"/>
    </row>
    <row r="1358" spans="3:4">
      <c r="C1358" s="224"/>
      <c r="D1358" s="225"/>
    </row>
    <row r="1359" spans="3:4">
      <c r="C1359" s="224"/>
      <c r="D1359" s="225"/>
    </row>
    <row r="1360" spans="3:4">
      <c r="C1360" s="224"/>
      <c r="D1360" s="225"/>
    </row>
    <row r="1361" spans="3:4">
      <c r="C1361" s="224"/>
      <c r="D1361" s="225"/>
    </row>
    <row r="1362" spans="3:4">
      <c r="C1362" s="224"/>
      <c r="D1362" s="225"/>
    </row>
    <row r="1363" spans="3:4">
      <c r="C1363" s="224"/>
      <c r="D1363" s="225"/>
    </row>
    <row r="1364" spans="3:4">
      <c r="C1364" s="224"/>
      <c r="D1364" s="225"/>
    </row>
    <row r="1365" spans="3:4">
      <c r="C1365" s="224"/>
      <c r="D1365" s="225"/>
    </row>
    <row r="1366" spans="3:4">
      <c r="C1366" s="224"/>
      <c r="D1366" s="225"/>
    </row>
    <row r="1367" spans="3:4">
      <c r="C1367" s="224"/>
      <c r="D1367" s="225"/>
    </row>
    <row r="1368" spans="3:4">
      <c r="C1368" s="224"/>
      <c r="D1368" s="225"/>
    </row>
    <row r="1369" spans="3:4">
      <c r="C1369" s="224"/>
      <c r="D1369" s="225"/>
    </row>
    <row r="1370" spans="3:4">
      <c r="C1370" s="224"/>
      <c r="D1370" s="225"/>
    </row>
    <row r="1371" spans="3:4">
      <c r="C1371" s="224"/>
      <c r="D1371" s="225"/>
    </row>
    <row r="1372" spans="3:4">
      <c r="C1372" s="224"/>
      <c r="D1372" s="225"/>
    </row>
    <row r="1373" spans="3:4">
      <c r="C1373" s="224"/>
      <c r="D1373" s="225"/>
    </row>
    <row r="1374" spans="3:4">
      <c r="C1374" s="224"/>
      <c r="D1374" s="225"/>
    </row>
    <row r="1375" spans="3:4">
      <c r="C1375" s="224"/>
      <c r="D1375" s="225"/>
    </row>
    <row r="1376" spans="3:4">
      <c r="C1376" s="224"/>
      <c r="D1376" s="225"/>
    </row>
    <row r="1377" spans="3:4">
      <c r="C1377" s="224"/>
      <c r="D1377" s="225"/>
    </row>
    <row r="1378" spans="3:4">
      <c r="C1378" s="224"/>
      <c r="D1378" s="225"/>
    </row>
    <row r="1379" spans="3:4">
      <c r="C1379" s="224"/>
      <c r="D1379" s="225"/>
    </row>
    <row r="1380" spans="3:4">
      <c r="C1380" s="224"/>
      <c r="D1380" s="225"/>
    </row>
    <row r="1381" spans="3:4">
      <c r="C1381" s="224"/>
      <c r="D1381" s="225"/>
    </row>
    <row r="1382" spans="3:4">
      <c r="C1382" s="224"/>
      <c r="D1382" s="225"/>
    </row>
    <row r="1383" spans="3:4">
      <c r="C1383" s="224"/>
      <c r="D1383" s="225"/>
    </row>
    <row r="1384" spans="3:4">
      <c r="C1384" s="224"/>
      <c r="D1384" s="225"/>
    </row>
    <row r="1385" spans="3:4">
      <c r="C1385" s="224"/>
      <c r="D1385" s="225"/>
    </row>
    <row r="1386" spans="3:4">
      <c r="C1386" s="224"/>
      <c r="D1386" s="225"/>
    </row>
    <row r="1387" spans="3:4">
      <c r="C1387" s="224"/>
      <c r="D1387" s="225"/>
    </row>
    <row r="1388" spans="3:4">
      <c r="C1388" s="224"/>
      <c r="D1388" s="225"/>
    </row>
    <row r="1389" spans="3:4">
      <c r="C1389" s="224"/>
      <c r="D1389" s="225"/>
    </row>
    <row r="1390" spans="3:4">
      <c r="C1390" s="224"/>
      <c r="D1390" s="225"/>
    </row>
    <row r="1391" spans="3:4">
      <c r="C1391" s="224"/>
      <c r="D1391" s="225"/>
    </row>
    <row r="1392" spans="3:4">
      <c r="C1392" s="224"/>
      <c r="D1392" s="225"/>
    </row>
    <row r="1393" spans="3:4">
      <c r="C1393" s="224"/>
      <c r="D1393" s="225"/>
    </row>
    <row r="1394" spans="3:4">
      <c r="C1394" s="224"/>
      <c r="D1394" s="225"/>
    </row>
    <row r="1395" spans="3:4">
      <c r="C1395" s="224"/>
      <c r="D1395" s="225"/>
    </row>
    <row r="1396" spans="3:4">
      <c r="C1396" s="224"/>
      <c r="D1396" s="225"/>
    </row>
    <row r="1397" spans="3:4">
      <c r="C1397" s="224"/>
      <c r="D1397" s="225"/>
    </row>
    <row r="1398" spans="3:4">
      <c r="C1398" s="224"/>
      <c r="D1398" s="225"/>
    </row>
    <row r="1399" spans="3:4">
      <c r="C1399" s="224"/>
      <c r="D1399" s="225"/>
    </row>
    <row r="1400" spans="3:4">
      <c r="C1400" s="224"/>
      <c r="D1400" s="225"/>
    </row>
    <row r="1401" spans="3:4">
      <c r="C1401" s="224"/>
      <c r="D1401" s="225"/>
    </row>
    <row r="1402" spans="3:4">
      <c r="C1402" s="224"/>
      <c r="D1402" s="225"/>
    </row>
    <row r="1403" spans="3:4">
      <c r="C1403" s="224"/>
      <c r="D1403" s="225"/>
    </row>
    <row r="1404" spans="3:4">
      <c r="C1404" s="224"/>
      <c r="D1404" s="225"/>
    </row>
    <row r="1405" spans="3:4">
      <c r="C1405" s="224"/>
      <c r="D1405" s="225"/>
    </row>
    <row r="1406" spans="3:4">
      <c r="C1406" s="224"/>
      <c r="D1406" s="225"/>
    </row>
    <row r="1407" spans="3:4">
      <c r="C1407" s="224"/>
      <c r="D1407" s="225"/>
    </row>
    <row r="1408" spans="3:4">
      <c r="C1408" s="224"/>
      <c r="D1408" s="225"/>
    </row>
    <row r="1409" spans="3:4">
      <c r="C1409" s="224"/>
      <c r="D1409" s="225"/>
    </row>
    <row r="1410" spans="3:4">
      <c r="C1410" s="224"/>
      <c r="D1410" s="225"/>
    </row>
    <row r="1411" spans="3:4">
      <c r="C1411" s="224"/>
      <c r="D1411" s="225"/>
    </row>
    <row r="1412" spans="3:4">
      <c r="C1412" s="224"/>
      <c r="D1412" s="225"/>
    </row>
    <row r="1413" spans="3:4">
      <c r="C1413" s="224"/>
      <c r="D1413" s="225"/>
    </row>
    <row r="1414" spans="3:4">
      <c r="C1414" s="224"/>
      <c r="D1414" s="225"/>
    </row>
    <row r="1415" spans="3:4">
      <c r="C1415" s="224"/>
      <c r="D1415" s="225"/>
    </row>
    <row r="1416" spans="3:4">
      <c r="C1416" s="224"/>
      <c r="D1416" s="225"/>
    </row>
    <row r="1417" spans="3:4">
      <c r="C1417" s="224"/>
      <c r="D1417" s="225"/>
    </row>
    <row r="1418" spans="3:4">
      <c r="C1418" s="224"/>
      <c r="D1418" s="225"/>
    </row>
    <row r="1419" spans="3:4">
      <c r="C1419" s="224"/>
      <c r="D1419" s="225"/>
    </row>
    <row r="1420" spans="3:4">
      <c r="C1420" s="224"/>
      <c r="D1420" s="225"/>
    </row>
    <row r="1421" spans="3:4">
      <c r="C1421" s="224"/>
      <c r="D1421" s="225"/>
    </row>
    <row r="1422" spans="3:4">
      <c r="C1422" s="224"/>
      <c r="D1422" s="225"/>
    </row>
    <row r="1423" spans="3:4">
      <c r="C1423" s="224"/>
      <c r="D1423" s="225"/>
    </row>
    <row r="1424" spans="3:4">
      <c r="C1424" s="224"/>
      <c r="D1424" s="225"/>
    </row>
    <row r="1425" spans="3:4">
      <c r="C1425" s="224"/>
      <c r="D1425" s="225"/>
    </row>
    <row r="1426" spans="3:4">
      <c r="C1426" s="224"/>
      <c r="D1426" s="225"/>
    </row>
    <row r="1427" spans="3:4">
      <c r="C1427" s="224"/>
      <c r="D1427" s="225"/>
    </row>
    <row r="1428" spans="3:4">
      <c r="C1428" s="224"/>
      <c r="D1428" s="225"/>
    </row>
    <row r="1429" spans="3:4">
      <c r="C1429" s="224"/>
      <c r="D1429" s="225"/>
    </row>
    <row r="1430" spans="3:4">
      <c r="C1430" s="224"/>
      <c r="D1430" s="225"/>
    </row>
    <row r="1431" spans="3:4">
      <c r="C1431" s="224"/>
      <c r="D1431" s="225"/>
    </row>
    <row r="1432" spans="3:4">
      <c r="C1432" s="224"/>
      <c r="D1432" s="225"/>
    </row>
    <row r="1433" spans="3:4">
      <c r="C1433" s="224"/>
      <c r="D1433" s="225"/>
    </row>
    <row r="1434" spans="3:4">
      <c r="C1434" s="224"/>
      <c r="D1434" s="225"/>
    </row>
    <row r="1435" spans="3:4">
      <c r="C1435" s="224"/>
      <c r="D1435" s="225"/>
    </row>
    <row r="1436" spans="3:4">
      <c r="C1436" s="224"/>
      <c r="D1436" s="225"/>
    </row>
    <row r="1437" spans="3:4">
      <c r="C1437" s="224"/>
      <c r="D1437" s="225"/>
    </row>
    <row r="1438" spans="3:4">
      <c r="C1438" s="224"/>
      <c r="D1438" s="225"/>
    </row>
    <row r="1439" spans="3:4">
      <c r="C1439" s="224"/>
      <c r="D1439" s="225"/>
    </row>
    <row r="1440" spans="3:4">
      <c r="C1440" s="224"/>
      <c r="D1440" s="225"/>
    </row>
    <row r="1441" spans="3:4">
      <c r="C1441" s="224"/>
      <c r="D1441" s="225"/>
    </row>
    <row r="1442" spans="3:4">
      <c r="C1442" s="224"/>
      <c r="D1442" s="225"/>
    </row>
    <row r="1443" spans="3:4">
      <c r="C1443" s="224"/>
      <c r="D1443" s="225"/>
    </row>
    <row r="1444" spans="3:4">
      <c r="C1444" s="224"/>
      <c r="D1444" s="225"/>
    </row>
    <row r="1445" spans="3:4">
      <c r="C1445" s="224"/>
      <c r="D1445" s="225"/>
    </row>
    <row r="1446" spans="3:4">
      <c r="C1446" s="224"/>
      <c r="D1446" s="225"/>
    </row>
    <row r="1447" spans="3:4">
      <c r="C1447" s="224"/>
      <c r="D1447" s="225"/>
    </row>
    <row r="1448" spans="3:4">
      <c r="C1448" s="224"/>
      <c r="D1448" s="225"/>
    </row>
    <row r="1449" spans="3:4">
      <c r="C1449" s="224"/>
      <c r="D1449" s="225"/>
    </row>
    <row r="1450" spans="3:4">
      <c r="C1450" s="224"/>
      <c r="D1450" s="225"/>
    </row>
    <row r="1451" spans="3:4">
      <c r="C1451" s="224"/>
      <c r="D1451" s="225"/>
    </row>
    <row r="1452" spans="3:4">
      <c r="C1452" s="224"/>
      <c r="D1452" s="225"/>
    </row>
    <row r="1453" spans="3:4">
      <c r="C1453" s="224"/>
      <c r="D1453" s="225"/>
    </row>
    <row r="1454" spans="3:4">
      <c r="C1454" s="224"/>
      <c r="D1454" s="225"/>
    </row>
    <row r="1455" spans="3:4">
      <c r="C1455" s="224"/>
      <c r="D1455" s="225"/>
    </row>
    <row r="1456" spans="3:4">
      <c r="C1456" s="224"/>
      <c r="D1456" s="225"/>
    </row>
    <row r="1457" spans="3:4">
      <c r="C1457" s="224"/>
      <c r="D1457" s="225"/>
    </row>
    <row r="1458" spans="3:4">
      <c r="C1458" s="224"/>
      <c r="D1458" s="225"/>
    </row>
    <row r="1459" spans="3:4">
      <c r="C1459" s="224"/>
      <c r="D1459" s="225"/>
    </row>
    <row r="1460" spans="3:4">
      <c r="C1460" s="224"/>
      <c r="D1460" s="225"/>
    </row>
    <row r="1461" spans="3:4">
      <c r="C1461" s="224"/>
      <c r="D1461" s="225"/>
    </row>
    <row r="1462" spans="3:4">
      <c r="C1462" s="224"/>
      <c r="D1462" s="225"/>
    </row>
    <row r="1463" spans="3:4">
      <c r="C1463" s="224"/>
      <c r="D1463" s="225"/>
    </row>
    <row r="1464" spans="3:4">
      <c r="C1464" s="224"/>
      <c r="D1464" s="225"/>
    </row>
    <row r="1465" spans="3:4">
      <c r="C1465" s="224"/>
      <c r="D1465" s="225"/>
    </row>
    <row r="1466" spans="3:4">
      <c r="C1466" s="224"/>
      <c r="D1466" s="225"/>
    </row>
    <row r="1467" spans="3:4">
      <c r="C1467" s="224"/>
      <c r="D1467" s="225"/>
    </row>
    <row r="1468" spans="3:4">
      <c r="C1468" s="224"/>
      <c r="D1468" s="225"/>
    </row>
    <row r="1469" spans="3:4">
      <c r="C1469" s="224"/>
      <c r="D1469" s="225"/>
    </row>
    <row r="1470" spans="3:4">
      <c r="C1470" s="224"/>
      <c r="D1470" s="225"/>
    </row>
    <row r="1471" spans="3:4">
      <c r="C1471" s="224"/>
      <c r="D1471" s="225"/>
    </row>
    <row r="1472" spans="3:4">
      <c r="C1472" s="224"/>
      <c r="D1472" s="225"/>
    </row>
    <row r="1473" spans="3:4">
      <c r="C1473" s="224"/>
      <c r="D1473" s="225"/>
    </row>
    <row r="1474" spans="3:4">
      <c r="C1474" s="224"/>
      <c r="D1474" s="225"/>
    </row>
    <row r="1475" spans="3:4">
      <c r="C1475" s="224"/>
      <c r="D1475" s="225"/>
    </row>
    <row r="1476" spans="3:4">
      <c r="C1476" s="224"/>
      <c r="D1476" s="225"/>
    </row>
    <row r="1477" spans="3:4">
      <c r="C1477" s="224"/>
      <c r="D1477" s="225"/>
    </row>
    <row r="1478" spans="3:4">
      <c r="C1478" s="224"/>
      <c r="D1478" s="225"/>
    </row>
    <row r="1479" spans="3:4">
      <c r="C1479" s="224"/>
      <c r="D1479" s="225"/>
    </row>
    <row r="1480" spans="3:4">
      <c r="C1480" s="224"/>
      <c r="D1480" s="225"/>
    </row>
    <row r="1481" spans="3:4">
      <c r="C1481" s="224"/>
      <c r="D1481" s="225"/>
    </row>
    <row r="1482" spans="3:4">
      <c r="C1482" s="224"/>
      <c r="D1482" s="225"/>
    </row>
    <row r="1483" spans="3:4">
      <c r="C1483" s="224"/>
      <c r="D1483" s="225"/>
    </row>
    <row r="1484" spans="3:4">
      <c r="C1484" s="224"/>
      <c r="D1484" s="225"/>
    </row>
    <row r="1485" spans="3:4">
      <c r="C1485" s="224"/>
      <c r="D1485" s="225"/>
    </row>
    <row r="1486" spans="3:4">
      <c r="C1486" s="224"/>
      <c r="D1486" s="225"/>
    </row>
    <row r="1487" spans="3:4">
      <c r="C1487" s="224"/>
      <c r="D1487" s="225"/>
    </row>
    <row r="1488" spans="3:4">
      <c r="C1488" s="224"/>
      <c r="D1488" s="225"/>
    </row>
    <row r="1489" spans="3:4">
      <c r="C1489" s="224"/>
      <c r="D1489" s="225"/>
    </row>
    <row r="1490" spans="3:4">
      <c r="C1490" s="224"/>
      <c r="D1490" s="225"/>
    </row>
    <row r="1491" spans="3:4">
      <c r="C1491" s="224"/>
      <c r="D1491" s="225"/>
    </row>
    <row r="1492" spans="3:4">
      <c r="C1492" s="224"/>
      <c r="D1492" s="225"/>
    </row>
    <row r="1493" spans="3:4">
      <c r="C1493" s="224"/>
      <c r="D1493" s="225"/>
    </row>
    <row r="1494" spans="3:4">
      <c r="C1494" s="224"/>
      <c r="D1494" s="225"/>
    </row>
    <row r="1495" spans="3:4">
      <c r="C1495" s="224"/>
      <c r="D1495" s="225"/>
    </row>
    <row r="1496" spans="3:4">
      <c r="C1496" s="224"/>
      <c r="D1496" s="225"/>
    </row>
    <row r="1497" spans="3:4">
      <c r="C1497" s="224"/>
      <c r="D1497" s="225"/>
    </row>
    <row r="1498" spans="3:4">
      <c r="C1498" s="224"/>
      <c r="D1498" s="225"/>
    </row>
    <row r="1499" spans="3:4">
      <c r="C1499" s="224"/>
      <c r="D1499" s="225"/>
    </row>
    <row r="1500" spans="3:4">
      <c r="C1500" s="224"/>
      <c r="D1500" s="225"/>
    </row>
    <row r="1501" spans="3:4">
      <c r="C1501" s="224"/>
      <c r="D1501" s="225"/>
    </row>
    <row r="1502" spans="3:4">
      <c r="C1502" s="224"/>
      <c r="D1502" s="225"/>
    </row>
    <row r="1503" spans="3:4">
      <c r="C1503" s="224"/>
      <c r="D1503" s="225"/>
    </row>
    <row r="1504" spans="3:4">
      <c r="C1504" s="224"/>
      <c r="D1504" s="225"/>
    </row>
    <row r="1505" spans="3:4">
      <c r="C1505" s="224"/>
      <c r="D1505" s="225"/>
    </row>
    <row r="1506" spans="3:4">
      <c r="C1506" s="224"/>
      <c r="D1506" s="225"/>
    </row>
    <row r="1507" spans="3:4">
      <c r="C1507" s="224"/>
      <c r="D1507" s="225"/>
    </row>
    <row r="1508" spans="3:4">
      <c r="C1508" s="224"/>
      <c r="D1508" s="225"/>
    </row>
    <row r="1509" spans="3:4">
      <c r="C1509" s="224"/>
      <c r="D1509" s="225"/>
    </row>
    <row r="1510" spans="3:4">
      <c r="C1510" s="224"/>
      <c r="D1510" s="225"/>
    </row>
    <row r="1511" spans="3:4">
      <c r="C1511" s="224"/>
      <c r="D1511" s="225"/>
    </row>
    <row r="1512" spans="3:4">
      <c r="C1512" s="224"/>
      <c r="D1512" s="225"/>
    </row>
    <row r="1513" spans="3:4">
      <c r="C1513" s="224"/>
      <c r="D1513" s="225"/>
    </row>
    <row r="1514" spans="3:4">
      <c r="C1514" s="224"/>
      <c r="D1514" s="225"/>
    </row>
    <row r="1515" spans="3:4">
      <c r="C1515" s="224"/>
      <c r="D1515" s="225"/>
    </row>
    <row r="1516" spans="3:4">
      <c r="C1516" s="224"/>
      <c r="D1516" s="225"/>
    </row>
    <row r="1517" spans="3:4">
      <c r="C1517" s="224"/>
      <c r="D1517" s="225"/>
    </row>
    <row r="1518" spans="3:4">
      <c r="C1518" s="224"/>
      <c r="D1518" s="225"/>
    </row>
    <row r="1519" spans="3:4">
      <c r="C1519" s="224"/>
      <c r="D1519" s="225"/>
    </row>
    <row r="1520" spans="3:4">
      <c r="C1520" s="224"/>
      <c r="D1520" s="225"/>
    </row>
    <row r="1521" spans="3:4">
      <c r="C1521" s="224"/>
      <c r="D1521" s="225"/>
    </row>
    <row r="1522" spans="3:4">
      <c r="C1522" s="224"/>
      <c r="D1522" s="225"/>
    </row>
    <row r="1523" spans="3:4">
      <c r="C1523" s="224"/>
      <c r="D1523" s="225"/>
    </row>
    <row r="1524" spans="3:4">
      <c r="C1524" s="224"/>
      <c r="D1524" s="225"/>
    </row>
    <row r="1525" spans="3:4">
      <c r="C1525" s="224"/>
      <c r="D1525" s="225"/>
    </row>
    <row r="1526" spans="3:4">
      <c r="C1526" s="224"/>
      <c r="D1526" s="225"/>
    </row>
    <row r="1527" spans="3:4">
      <c r="C1527" s="224"/>
      <c r="D1527" s="225"/>
    </row>
    <row r="1528" spans="3:4">
      <c r="C1528" s="224"/>
      <c r="D1528" s="225"/>
    </row>
    <row r="1529" spans="3:4">
      <c r="C1529" s="224"/>
      <c r="D1529" s="225"/>
    </row>
    <row r="1530" spans="3:4">
      <c r="C1530" s="224"/>
      <c r="D1530" s="225"/>
    </row>
    <row r="1531" spans="3:4">
      <c r="C1531" s="224"/>
      <c r="D1531" s="225"/>
    </row>
    <row r="1532" spans="3:4">
      <c r="C1532" s="224"/>
      <c r="D1532" s="225"/>
    </row>
    <row r="1533" spans="3:4">
      <c r="C1533" s="224"/>
      <c r="D1533" s="225"/>
    </row>
    <row r="1534" spans="3:4">
      <c r="C1534" s="224"/>
      <c r="D1534" s="225"/>
    </row>
    <row r="1535" spans="3:4">
      <c r="C1535" s="224"/>
      <c r="D1535" s="225"/>
    </row>
    <row r="1536" spans="3:4">
      <c r="C1536" s="224"/>
      <c r="D1536" s="225"/>
    </row>
    <row r="1537" spans="3:4">
      <c r="C1537" s="224"/>
      <c r="D1537" s="225"/>
    </row>
    <row r="1538" spans="3:4">
      <c r="C1538" s="224"/>
      <c r="D1538" s="225"/>
    </row>
    <row r="1539" spans="3:4">
      <c r="C1539" s="224"/>
      <c r="D1539" s="225"/>
    </row>
    <row r="1540" spans="3:4">
      <c r="C1540" s="224"/>
      <c r="D1540" s="225"/>
    </row>
    <row r="1541" spans="3:4">
      <c r="C1541" s="224"/>
      <c r="D1541" s="225"/>
    </row>
    <row r="1542" spans="3:4">
      <c r="C1542" s="224"/>
      <c r="D1542" s="225"/>
    </row>
    <row r="1543" spans="3:4">
      <c r="C1543" s="224"/>
      <c r="D1543" s="225"/>
    </row>
    <row r="1544" spans="3:4">
      <c r="C1544" s="224"/>
      <c r="D1544" s="225"/>
    </row>
    <row r="1545" spans="3:4">
      <c r="C1545" s="224"/>
      <c r="D1545" s="225"/>
    </row>
    <row r="1546" spans="3:4">
      <c r="C1546" s="224"/>
      <c r="D1546" s="225"/>
    </row>
    <row r="1547" spans="3:4">
      <c r="C1547" s="224"/>
      <c r="D1547" s="225"/>
    </row>
    <row r="1548" spans="3:4">
      <c r="C1548" s="224"/>
      <c r="D1548" s="225"/>
    </row>
    <row r="1549" spans="3:4">
      <c r="C1549" s="224"/>
      <c r="D1549" s="225"/>
    </row>
    <row r="1550" spans="3:4">
      <c r="C1550" s="224"/>
      <c r="D1550" s="225"/>
    </row>
    <row r="1551" spans="3:4">
      <c r="C1551" s="224"/>
      <c r="D1551" s="225"/>
    </row>
    <row r="1552" spans="3:4">
      <c r="C1552" s="224"/>
      <c r="D1552" s="225"/>
    </row>
    <row r="1553" spans="3:4">
      <c r="C1553" s="224"/>
      <c r="D1553" s="225"/>
    </row>
    <row r="1554" spans="3:4">
      <c r="C1554" s="224"/>
      <c r="D1554" s="225"/>
    </row>
    <row r="1555" spans="3:4">
      <c r="C1555" s="224"/>
      <c r="D1555" s="225"/>
    </row>
    <row r="1556" spans="3:4">
      <c r="C1556" s="224"/>
      <c r="D1556" s="225"/>
    </row>
    <row r="1557" spans="3:4">
      <c r="C1557" s="224"/>
      <c r="D1557" s="225"/>
    </row>
    <row r="1558" spans="3:4">
      <c r="C1558" s="224"/>
      <c r="D1558" s="225"/>
    </row>
    <row r="1559" spans="3:4">
      <c r="C1559" s="224"/>
      <c r="D1559" s="225"/>
    </row>
    <row r="1560" spans="3:4">
      <c r="C1560" s="224"/>
      <c r="D1560" s="225"/>
    </row>
    <row r="1561" spans="3:4">
      <c r="C1561" s="224"/>
      <c r="D1561" s="225"/>
    </row>
    <row r="1562" spans="3:4">
      <c r="C1562" s="224"/>
      <c r="D1562" s="225"/>
    </row>
    <row r="1563" spans="3:4">
      <c r="C1563" s="224"/>
      <c r="D1563" s="225"/>
    </row>
    <row r="1564" spans="3:4">
      <c r="C1564" s="224"/>
      <c r="D1564" s="225"/>
    </row>
    <row r="1565" spans="3:4">
      <c r="C1565" s="224"/>
      <c r="D1565" s="225"/>
    </row>
    <row r="1566" spans="3:4">
      <c r="C1566" s="224"/>
      <c r="D1566" s="225"/>
    </row>
    <row r="1567" spans="3:4">
      <c r="C1567" s="224"/>
      <c r="D1567" s="225"/>
    </row>
    <row r="1568" spans="3:4">
      <c r="C1568" s="224"/>
      <c r="D1568" s="225"/>
    </row>
    <row r="1569" spans="3:4">
      <c r="C1569" s="224"/>
      <c r="D1569" s="225"/>
    </row>
    <row r="1570" spans="3:4">
      <c r="C1570" s="224"/>
      <c r="D1570" s="225"/>
    </row>
    <row r="1571" spans="3:4">
      <c r="C1571" s="224"/>
      <c r="D1571" s="225"/>
    </row>
    <row r="1572" spans="3:4">
      <c r="C1572" s="224"/>
      <c r="D1572" s="225"/>
    </row>
    <row r="1573" spans="3:4">
      <c r="C1573" s="224"/>
      <c r="D1573" s="225"/>
    </row>
    <row r="1574" spans="3:4">
      <c r="C1574" s="224"/>
      <c r="D1574" s="225"/>
    </row>
    <row r="1575" spans="3:4">
      <c r="C1575" s="224"/>
      <c r="D1575" s="225"/>
    </row>
    <row r="1576" spans="3:4">
      <c r="C1576" s="224"/>
      <c r="D1576" s="225"/>
    </row>
    <row r="1577" spans="3:4">
      <c r="C1577" s="224"/>
      <c r="D1577" s="225"/>
    </row>
    <row r="1578" spans="3:4">
      <c r="C1578" s="224"/>
      <c r="D1578" s="225"/>
    </row>
    <row r="1579" spans="3:4">
      <c r="C1579" s="224"/>
      <c r="D1579" s="225"/>
    </row>
    <row r="1580" spans="3:4">
      <c r="C1580" s="224"/>
      <c r="D1580" s="225"/>
    </row>
    <row r="1581" spans="3:4">
      <c r="C1581" s="224"/>
      <c r="D1581" s="225"/>
    </row>
    <row r="1582" spans="3:4">
      <c r="C1582" s="224"/>
      <c r="D1582" s="225"/>
    </row>
    <row r="1583" spans="3:4">
      <c r="C1583" s="224"/>
      <c r="D1583" s="225"/>
    </row>
    <row r="1584" spans="3:4">
      <c r="C1584" s="224"/>
      <c r="D1584" s="225"/>
    </row>
    <row r="1585" spans="3:4">
      <c r="C1585" s="224"/>
      <c r="D1585" s="225"/>
    </row>
    <row r="1586" spans="3:4">
      <c r="C1586" s="224"/>
      <c r="D1586" s="225"/>
    </row>
    <row r="1587" spans="3:4">
      <c r="C1587" s="224"/>
      <c r="D1587" s="225"/>
    </row>
    <row r="1588" spans="3:4">
      <c r="C1588" s="224"/>
      <c r="D1588" s="225"/>
    </row>
    <row r="1589" spans="3:4">
      <c r="C1589" s="224"/>
      <c r="D1589" s="225"/>
    </row>
    <row r="1590" spans="3:4">
      <c r="C1590" s="224"/>
      <c r="D1590" s="225"/>
    </row>
    <row r="1591" spans="3:4">
      <c r="C1591" s="224"/>
      <c r="D1591" s="225"/>
    </row>
    <row r="1592" spans="3:4">
      <c r="C1592" s="224"/>
      <c r="D1592" s="225"/>
    </row>
    <row r="1593" spans="3:4">
      <c r="C1593" s="224"/>
      <c r="D1593" s="225"/>
    </row>
    <row r="1594" spans="3:4">
      <c r="C1594" s="224"/>
      <c r="D1594" s="225"/>
    </row>
    <row r="1595" spans="3:4">
      <c r="C1595" s="224"/>
      <c r="D1595" s="225"/>
    </row>
    <row r="1596" spans="3:4">
      <c r="C1596" s="224"/>
      <c r="D1596" s="225"/>
    </row>
    <row r="1597" spans="3:4">
      <c r="C1597" s="224"/>
      <c r="D1597" s="225"/>
    </row>
    <row r="1598" spans="3:4">
      <c r="C1598" s="224"/>
      <c r="D1598" s="225"/>
    </row>
    <row r="1599" spans="3:4">
      <c r="C1599" s="224"/>
      <c r="D1599" s="225"/>
    </row>
    <row r="1600" spans="3:4">
      <c r="C1600" s="224"/>
      <c r="D1600" s="225"/>
    </row>
    <row r="1601" spans="3:4">
      <c r="C1601" s="224"/>
      <c r="D1601" s="225"/>
    </row>
    <row r="1602" spans="3:4">
      <c r="C1602" s="224"/>
      <c r="D1602" s="225"/>
    </row>
    <row r="1603" spans="3:4">
      <c r="C1603" s="224"/>
      <c r="D1603" s="225"/>
    </row>
    <row r="1604" spans="3:4">
      <c r="C1604" s="224"/>
      <c r="D1604" s="225"/>
    </row>
    <row r="1605" spans="3:4">
      <c r="C1605" s="224"/>
      <c r="D1605" s="225"/>
    </row>
    <row r="1606" spans="3:4">
      <c r="C1606" s="224"/>
      <c r="D1606" s="225"/>
    </row>
    <row r="1607" spans="3:4">
      <c r="C1607" s="224"/>
      <c r="D1607" s="225"/>
    </row>
    <row r="1608" spans="3:4">
      <c r="C1608" s="224"/>
      <c r="D1608" s="225"/>
    </row>
    <row r="1609" spans="3:4">
      <c r="C1609" s="224"/>
      <c r="D1609" s="225"/>
    </row>
    <row r="1610" spans="3:4">
      <c r="C1610" s="224"/>
      <c r="D1610" s="225"/>
    </row>
    <row r="1611" spans="3:4">
      <c r="C1611" s="224"/>
    </row>
    <row r="1612" spans="3:4">
      <c r="C1612" s="224"/>
    </row>
    <row r="1613" spans="3:4">
      <c r="C1613" s="224"/>
    </row>
    <row r="1614" spans="3:4">
      <c r="C1614" s="224"/>
    </row>
    <row r="1615" spans="3:4">
      <c r="C1615" s="224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9" t="s">
        <v>254</v>
      </c>
      <c r="B1" s="169" t="s">
        <v>255</v>
      </c>
      <c r="C1" s="170" t="s">
        <v>256</v>
      </c>
      <c r="D1" s="170" t="s">
        <v>336</v>
      </c>
      <c r="F1" s="170" t="s">
        <v>524</v>
      </c>
    </row>
    <row r="2" spans="1:6" ht="18.75">
      <c r="A2" s="171">
        <v>1</v>
      </c>
      <c r="B2" s="172" t="s">
        <v>337</v>
      </c>
      <c r="C2" s="173" t="s">
        <v>257</v>
      </c>
      <c r="D2" s="172" t="s">
        <v>509</v>
      </c>
      <c r="F2" s="172" t="s">
        <v>509</v>
      </c>
    </row>
    <row r="3" spans="1:6" ht="18.75">
      <c r="A3" s="171">
        <f>A2+1</f>
        <v>2</v>
      </c>
      <c r="B3" s="172" t="s">
        <v>338</v>
      </c>
      <c r="C3" s="173" t="s">
        <v>258</v>
      </c>
      <c r="D3" s="172" t="s">
        <v>509</v>
      </c>
      <c r="F3" s="172" t="s">
        <v>510</v>
      </c>
    </row>
    <row r="4" spans="1:6" ht="18.75">
      <c r="A4" s="171">
        <f t="shared" ref="A4:A67" si="0">A3+1</f>
        <v>3</v>
      </c>
      <c r="B4" s="172" t="s">
        <v>339</v>
      </c>
      <c r="C4" s="173" t="s">
        <v>259</v>
      </c>
      <c r="D4" s="172" t="s">
        <v>509</v>
      </c>
      <c r="F4" s="172" t="s">
        <v>511</v>
      </c>
    </row>
    <row r="5" spans="1:6" ht="18.75">
      <c r="A5" s="171">
        <f t="shared" si="0"/>
        <v>4</v>
      </c>
      <c r="B5" s="172" t="s">
        <v>340</v>
      </c>
      <c r="C5" s="173" t="s">
        <v>238</v>
      </c>
      <c r="D5" s="172" t="s">
        <v>509</v>
      </c>
      <c r="F5" s="172" t="s">
        <v>512</v>
      </c>
    </row>
    <row r="6" spans="1:6" ht="18.75">
      <c r="A6" s="171">
        <f t="shared" si="0"/>
        <v>5</v>
      </c>
      <c r="B6" s="172" t="s">
        <v>341</v>
      </c>
      <c r="C6" s="173" t="s">
        <v>174</v>
      </c>
      <c r="D6" s="172" t="s">
        <v>509</v>
      </c>
      <c r="F6" s="172" t="s">
        <v>523</v>
      </c>
    </row>
    <row r="7" spans="1:6" ht="18.75">
      <c r="A7" s="171">
        <f t="shared" si="0"/>
        <v>6</v>
      </c>
      <c r="B7" s="172" t="s">
        <v>342</v>
      </c>
      <c r="C7" s="173" t="s">
        <v>260</v>
      </c>
      <c r="D7" s="172" t="s">
        <v>509</v>
      </c>
      <c r="F7" s="172" t="s">
        <v>513</v>
      </c>
    </row>
    <row r="8" spans="1:6" ht="18.75">
      <c r="A8" s="171">
        <f t="shared" si="0"/>
        <v>7</v>
      </c>
      <c r="B8" s="172" t="s">
        <v>343</v>
      </c>
      <c r="C8" s="173" t="s">
        <v>261</v>
      </c>
      <c r="D8" s="172" t="s">
        <v>509</v>
      </c>
      <c r="F8" s="172" t="s">
        <v>514</v>
      </c>
    </row>
    <row r="9" spans="1:6" ht="18.75">
      <c r="A9" s="171">
        <f t="shared" si="0"/>
        <v>8</v>
      </c>
      <c r="B9" s="172" t="s">
        <v>344</v>
      </c>
      <c r="C9" s="173" t="s">
        <v>262</v>
      </c>
      <c r="D9" s="172" t="s">
        <v>509</v>
      </c>
      <c r="F9" s="172" t="s">
        <v>515</v>
      </c>
    </row>
    <row r="10" spans="1:6" ht="18.75">
      <c r="A10" s="171">
        <f t="shared" si="0"/>
        <v>9</v>
      </c>
      <c r="B10" s="172" t="s">
        <v>345</v>
      </c>
      <c r="C10" s="173" t="s">
        <v>263</v>
      </c>
      <c r="D10" s="172" t="s">
        <v>509</v>
      </c>
      <c r="F10" s="172" t="s">
        <v>516</v>
      </c>
    </row>
    <row r="11" spans="1:6" ht="18.75">
      <c r="A11" s="171">
        <f t="shared" si="0"/>
        <v>10</v>
      </c>
      <c r="B11" s="172" t="s">
        <v>346</v>
      </c>
      <c r="C11" s="173" t="s">
        <v>264</v>
      </c>
      <c r="D11" s="172" t="s">
        <v>509</v>
      </c>
      <c r="F11" s="172" t="s">
        <v>315</v>
      </c>
    </row>
    <row r="12" spans="1:6" ht="18.75">
      <c r="A12" s="171">
        <f t="shared" si="0"/>
        <v>11</v>
      </c>
      <c r="B12" s="172" t="s">
        <v>347</v>
      </c>
      <c r="C12" s="173" t="s">
        <v>265</v>
      </c>
      <c r="D12" s="172" t="s">
        <v>509</v>
      </c>
      <c r="F12" s="172" t="s">
        <v>518</v>
      </c>
    </row>
    <row r="13" spans="1:6" ht="18.75">
      <c r="A13" s="171">
        <f t="shared" si="0"/>
        <v>12</v>
      </c>
      <c r="B13" s="172" t="s">
        <v>348</v>
      </c>
      <c r="C13" s="173" t="s">
        <v>266</v>
      </c>
      <c r="D13" s="172" t="s">
        <v>510</v>
      </c>
      <c r="F13" s="172" t="s">
        <v>519</v>
      </c>
    </row>
    <row r="14" spans="1:6" ht="18.75">
      <c r="A14" s="171">
        <f t="shared" si="0"/>
        <v>13</v>
      </c>
      <c r="B14" s="172" t="s">
        <v>349</v>
      </c>
      <c r="C14" s="173" t="s">
        <v>267</v>
      </c>
      <c r="D14" s="172" t="s">
        <v>510</v>
      </c>
      <c r="F14" s="172" t="s">
        <v>520</v>
      </c>
    </row>
    <row r="15" spans="1:6" ht="18.75">
      <c r="A15" s="171">
        <f t="shared" si="0"/>
        <v>14</v>
      </c>
      <c r="B15" s="172" t="s">
        <v>350</v>
      </c>
      <c r="C15" s="173" t="s">
        <v>268</v>
      </c>
      <c r="D15" s="172" t="s">
        <v>510</v>
      </c>
      <c r="F15" s="172" t="s">
        <v>521</v>
      </c>
    </row>
    <row r="16" spans="1:6" ht="18.75">
      <c r="A16" s="171">
        <f t="shared" si="0"/>
        <v>15</v>
      </c>
      <c r="B16" s="172" t="s">
        <v>351</v>
      </c>
      <c r="C16" s="173" t="s">
        <v>269</v>
      </c>
      <c r="D16" s="172" t="s">
        <v>510</v>
      </c>
      <c r="F16" s="172" t="s">
        <v>522</v>
      </c>
    </row>
    <row r="17" spans="1:4" ht="18.75">
      <c r="A17" s="171">
        <f t="shared" si="0"/>
        <v>16</v>
      </c>
      <c r="B17" s="174" t="s">
        <v>352</v>
      </c>
      <c r="C17" s="173" t="s">
        <v>270</v>
      </c>
      <c r="D17" s="172" t="s">
        <v>511</v>
      </c>
    </row>
    <row r="18" spans="1:4" ht="18.75">
      <c r="A18" s="171">
        <f t="shared" si="0"/>
        <v>17</v>
      </c>
      <c r="B18" s="174" t="s">
        <v>353</v>
      </c>
      <c r="C18" s="173" t="s">
        <v>271</v>
      </c>
      <c r="D18" s="172" t="s">
        <v>511</v>
      </c>
    </row>
    <row r="19" spans="1:4" ht="18.75">
      <c r="A19" s="171">
        <f t="shared" si="0"/>
        <v>18</v>
      </c>
      <c r="B19" s="174" t="s">
        <v>354</v>
      </c>
      <c r="C19" s="173" t="s">
        <v>272</v>
      </c>
      <c r="D19" s="172" t="s">
        <v>511</v>
      </c>
    </row>
    <row r="20" spans="1:4" ht="18.75">
      <c r="A20" s="171">
        <f t="shared" si="0"/>
        <v>19</v>
      </c>
      <c r="B20" s="174" t="s">
        <v>355</v>
      </c>
      <c r="C20" s="173" t="s">
        <v>273</v>
      </c>
      <c r="D20" s="172" t="s">
        <v>511</v>
      </c>
    </row>
    <row r="21" spans="1:4" ht="18.75">
      <c r="A21" s="171">
        <f t="shared" si="0"/>
        <v>20</v>
      </c>
      <c r="B21" s="174" t="s">
        <v>356</v>
      </c>
      <c r="C21" s="173" t="s">
        <v>274</v>
      </c>
      <c r="D21" s="172" t="s">
        <v>511</v>
      </c>
    </row>
    <row r="22" spans="1:4" ht="18.75">
      <c r="A22" s="171">
        <f t="shared" si="0"/>
        <v>21</v>
      </c>
      <c r="B22" s="174" t="s">
        <v>357</v>
      </c>
      <c r="C22" s="173" t="s">
        <v>275</v>
      </c>
      <c r="D22" s="172" t="s">
        <v>511</v>
      </c>
    </row>
    <row r="23" spans="1:4" ht="18.75">
      <c r="A23" s="171">
        <f t="shared" si="0"/>
        <v>22</v>
      </c>
      <c r="B23" s="174" t="s">
        <v>358</v>
      </c>
      <c r="C23" s="173" t="s">
        <v>276</v>
      </c>
      <c r="D23" s="172" t="s">
        <v>511</v>
      </c>
    </row>
    <row r="24" spans="1:4" ht="18.75">
      <c r="A24" s="171">
        <f t="shared" si="0"/>
        <v>23</v>
      </c>
      <c r="B24" s="174" t="s">
        <v>359</v>
      </c>
      <c r="C24" s="173" t="s">
        <v>277</v>
      </c>
      <c r="D24" s="172" t="s">
        <v>512</v>
      </c>
    </row>
    <row r="25" spans="1:4" ht="18.75">
      <c r="A25" s="171">
        <f t="shared" si="0"/>
        <v>24</v>
      </c>
      <c r="B25" s="174" t="s">
        <v>360</v>
      </c>
      <c r="C25" s="173" t="s">
        <v>278</v>
      </c>
      <c r="D25" s="172" t="s">
        <v>512</v>
      </c>
    </row>
    <row r="26" spans="1:4" ht="18.75">
      <c r="A26" s="171">
        <f t="shared" si="0"/>
        <v>25</v>
      </c>
      <c r="B26" s="174" t="s">
        <v>361</v>
      </c>
      <c r="C26" s="173" t="s">
        <v>279</v>
      </c>
      <c r="D26" s="172" t="s">
        <v>512</v>
      </c>
    </row>
    <row r="27" spans="1:4" ht="18.75">
      <c r="A27" s="171">
        <f t="shared" si="0"/>
        <v>26</v>
      </c>
      <c r="B27" s="174" t="s">
        <v>362</v>
      </c>
      <c r="C27" s="175" t="s">
        <v>280</v>
      </c>
      <c r="D27" s="172" t="s">
        <v>523</v>
      </c>
    </row>
    <row r="28" spans="1:4" ht="18.75">
      <c r="A28" s="171">
        <f t="shared" si="0"/>
        <v>27</v>
      </c>
      <c r="B28" s="174" t="s">
        <v>363</v>
      </c>
      <c r="C28" s="176" t="s">
        <v>281</v>
      </c>
      <c r="D28" s="172" t="s">
        <v>523</v>
      </c>
    </row>
    <row r="29" spans="1:4" ht="18.75">
      <c r="A29" s="171">
        <f t="shared" si="0"/>
        <v>28</v>
      </c>
      <c r="B29" s="174" t="s">
        <v>364</v>
      </c>
      <c r="C29" s="176" t="s">
        <v>282</v>
      </c>
      <c r="D29" s="172" t="s">
        <v>523</v>
      </c>
    </row>
    <row r="30" spans="1:4" ht="18.75">
      <c r="A30" s="171">
        <f t="shared" si="0"/>
        <v>29</v>
      </c>
      <c r="B30" s="174" t="s">
        <v>365</v>
      </c>
      <c r="C30" s="176" t="s">
        <v>283</v>
      </c>
      <c r="D30" s="172" t="s">
        <v>523</v>
      </c>
    </row>
    <row r="31" spans="1:4" ht="18.75">
      <c r="A31" s="171">
        <f t="shared" si="0"/>
        <v>30</v>
      </c>
      <c r="B31" s="174" t="s">
        <v>366</v>
      </c>
      <c r="C31" s="176" t="s">
        <v>284</v>
      </c>
      <c r="D31" s="172" t="s">
        <v>523</v>
      </c>
    </row>
    <row r="32" spans="1:4" ht="18.75">
      <c r="A32" s="171">
        <f t="shared" si="0"/>
        <v>31</v>
      </c>
      <c r="B32" s="174" t="s">
        <v>367</v>
      </c>
      <c r="C32" s="176" t="s">
        <v>285</v>
      </c>
      <c r="D32" s="172" t="s">
        <v>523</v>
      </c>
    </row>
    <row r="33" spans="1:4" ht="18.75">
      <c r="A33" s="171">
        <f t="shared" si="0"/>
        <v>32</v>
      </c>
      <c r="B33" s="174" t="s">
        <v>368</v>
      </c>
      <c r="C33" s="176" t="s">
        <v>286</v>
      </c>
      <c r="D33" s="172" t="s">
        <v>523</v>
      </c>
    </row>
    <row r="34" spans="1:4" ht="18.75">
      <c r="A34" s="171">
        <f t="shared" si="0"/>
        <v>33</v>
      </c>
      <c r="B34" s="174" t="s">
        <v>369</v>
      </c>
      <c r="C34" s="176" t="s">
        <v>287</v>
      </c>
      <c r="D34" s="172" t="s">
        <v>523</v>
      </c>
    </row>
    <row r="35" spans="1:4" ht="18.75">
      <c r="A35" s="171">
        <f t="shared" si="0"/>
        <v>34</v>
      </c>
      <c r="B35" s="174" t="s">
        <v>370</v>
      </c>
      <c r="C35" s="175" t="s">
        <v>288</v>
      </c>
      <c r="D35" s="172" t="s">
        <v>523</v>
      </c>
    </row>
    <row r="36" spans="1:4" ht="18.75">
      <c r="A36" s="171">
        <f t="shared" si="0"/>
        <v>35</v>
      </c>
      <c r="B36" s="174" t="s">
        <v>371</v>
      </c>
      <c r="C36" s="175" t="s">
        <v>289</v>
      </c>
      <c r="D36" s="172" t="s">
        <v>523</v>
      </c>
    </row>
    <row r="37" spans="1:4" ht="18.75">
      <c r="A37" s="171">
        <f t="shared" si="0"/>
        <v>36</v>
      </c>
      <c r="B37" s="174" t="s">
        <v>372</v>
      </c>
      <c r="C37" s="175" t="s">
        <v>290</v>
      </c>
      <c r="D37" s="172" t="s">
        <v>523</v>
      </c>
    </row>
    <row r="38" spans="1:4" ht="18.75">
      <c r="A38" s="171">
        <f t="shared" si="0"/>
        <v>37</v>
      </c>
      <c r="B38" s="174" t="s">
        <v>373</v>
      </c>
      <c r="C38" s="175" t="s">
        <v>291</v>
      </c>
      <c r="D38" s="172" t="s">
        <v>523</v>
      </c>
    </row>
    <row r="39" spans="1:4" ht="18.75">
      <c r="A39" s="171">
        <f t="shared" si="0"/>
        <v>38</v>
      </c>
      <c r="B39" s="174" t="s">
        <v>374</v>
      </c>
      <c r="C39" s="175" t="s">
        <v>128</v>
      </c>
      <c r="D39" s="172" t="s">
        <v>513</v>
      </c>
    </row>
    <row r="40" spans="1:4" ht="18.75">
      <c r="A40" s="171">
        <f t="shared" si="0"/>
        <v>39</v>
      </c>
      <c r="B40" s="174" t="s">
        <v>375</v>
      </c>
      <c r="C40" s="175" t="s">
        <v>292</v>
      </c>
      <c r="D40" s="172" t="s">
        <v>513</v>
      </c>
    </row>
    <row r="41" spans="1:4" ht="18.75">
      <c r="A41" s="171">
        <f t="shared" si="0"/>
        <v>40</v>
      </c>
      <c r="B41" s="174" t="s">
        <v>376</v>
      </c>
      <c r="C41" s="175" t="s">
        <v>130</v>
      </c>
      <c r="D41" s="172" t="s">
        <v>513</v>
      </c>
    </row>
    <row r="42" spans="1:4" ht="18.75">
      <c r="A42" s="171">
        <f t="shared" si="0"/>
        <v>41</v>
      </c>
      <c r="B42" s="174" t="s">
        <v>377</v>
      </c>
      <c r="C42" s="175" t="s">
        <v>293</v>
      </c>
      <c r="D42" s="172" t="s">
        <v>513</v>
      </c>
    </row>
    <row r="43" spans="1:4" ht="18.75">
      <c r="A43" s="171">
        <f t="shared" si="0"/>
        <v>42</v>
      </c>
      <c r="B43" s="174" t="s">
        <v>378</v>
      </c>
      <c r="C43" s="175" t="s">
        <v>294</v>
      </c>
      <c r="D43" s="172" t="s">
        <v>513</v>
      </c>
    </row>
    <row r="44" spans="1:4" ht="18.75">
      <c r="A44" s="171">
        <f t="shared" si="0"/>
        <v>43</v>
      </c>
      <c r="B44" s="174" t="s">
        <v>379</v>
      </c>
      <c r="C44" s="175" t="s">
        <v>295</v>
      </c>
      <c r="D44" s="172" t="s">
        <v>513</v>
      </c>
    </row>
    <row r="45" spans="1:4" ht="18.75">
      <c r="A45" s="171">
        <f t="shared" si="0"/>
        <v>44</v>
      </c>
      <c r="B45" s="174" t="s">
        <v>380</v>
      </c>
      <c r="C45" s="175" t="s">
        <v>296</v>
      </c>
      <c r="D45" s="172" t="s">
        <v>513</v>
      </c>
    </row>
    <row r="46" spans="1:4" ht="18.75">
      <c r="A46" s="171">
        <f t="shared" si="0"/>
        <v>45</v>
      </c>
      <c r="B46" s="174" t="s">
        <v>381</v>
      </c>
      <c r="C46" s="175" t="s">
        <v>297</v>
      </c>
      <c r="D46" s="172" t="s">
        <v>513</v>
      </c>
    </row>
    <row r="47" spans="1:4" ht="18.75">
      <c r="A47" s="171">
        <f t="shared" si="0"/>
        <v>46</v>
      </c>
      <c r="B47" s="174" t="s">
        <v>382</v>
      </c>
      <c r="C47" s="175" t="s">
        <v>298</v>
      </c>
      <c r="D47" s="172" t="s">
        <v>513</v>
      </c>
    </row>
    <row r="48" spans="1:4" ht="18.75">
      <c r="A48" s="171">
        <f t="shared" si="0"/>
        <v>47</v>
      </c>
      <c r="B48" s="174" t="s">
        <v>383</v>
      </c>
      <c r="C48" s="175" t="s">
        <v>299</v>
      </c>
      <c r="D48" s="172" t="s">
        <v>513</v>
      </c>
    </row>
    <row r="49" spans="1:4" ht="18.75">
      <c r="A49" s="171">
        <f t="shared" si="0"/>
        <v>48</v>
      </c>
      <c r="B49" s="174" t="s">
        <v>384</v>
      </c>
      <c r="C49" s="175" t="s">
        <v>300</v>
      </c>
      <c r="D49" s="172" t="s">
        <v>513</v>
      </c>
    </row>
    <row r="50" spans="1:4" ht="18.75">
      <c r="A50" s="171">
        <f t="shared" si="0"/>
        <v>49</v>
      </c>
      <c r="B50" s="174" t="s">
        <v>385</v>
      </c>
      <c r="C50" s="175" t="s">
        <v>301</v>
      </c>
      <c r="D50" s="172" t="s">
        <v>514</v>
      </c>
    </row>
    <row r="51" spans="1:4" ht="18.75">
      <c r="A51" s="171">
        <f t="shared" si="0"/>
        <v>50</v>
      </c>
      <c r="B51" s="174" t="s">
        <v>386</v>
      </c>
      <c r="C51" s="175" t="s">
        <v>302</v>
      </c>
      <c r="D51" s="172" t="s">
        <v>514</v>
      </c>
    </row>
    <row r="52" spans="1:4" ht="18.75">
      <c r="A52" s="171">
        <f t="shared" si="0"/>
        <v>51</v>
      </c>
      <c r="B52" s="174" t="s">
        <v>387</v>
      </c>
      <c r="C52" s="175" t="s">
        <v>303</v>
      </c>
      <c r="D52" s="172" t="s">
        <v>514</v>
      </c>
    </row>
    <row r="53" spans="1:4" ht="18.75">
      <c r="A53" s="171">
        <f t="shared" si="0"/>
        <v>52</v>
      </c>
      <c r="B53" s="174" t="s">
        <v>388</v>
      </c>
      <c r="C53" s="175" t="s">
        <v>304</v>
      </c>
      <c r="D53" s="172" t="s">
        <v>514</v>
      </c>
    </row>
    <row r="54" spans="1:4" ht="18.75">
      <c r="A54" s="171">
        <f t="shared" si="0"/>
        <v>53</v>
      </c>
      <c r="B54" s="174" t="s">
        <v>389</v>
      </c>
      <c r="C54" s="175" t="s">
        <v>305</v>
      </c>
      <c r="D54" s="172" t="s">
        <v>514</v>
      </c>
    </row>
    <row r="55" spans="1:4" ht="18.75">
      <c r="A55" s="171">
        <f t="shared" si="0"/>
        <v>54</v>
      </c>
      <c r="B55" s="174" t="s">
        <v>390</v>
      </c>
      <c r="C55" s="175" t="s">
        <v>306</v>
      </c>
      <c r="D55" s="172" t="s">
        <v>514</v>
      </c>
    </row>
    <row r="56" spans="1:4" ht="18.75">
      <c r="A56" s="171">
        <f t="shared" si="0"/>
        <v>55</v>
      </c>
      <c r="B56" s="174" t="s">
        <v>391</v>
      </c>
      <c r="C56" s="175" t="s">
        <v>307</v>
      </c>
      <c r="D56" s="172" t="s">
        <v>514</v>
      </c>
    </row>
    <row r="57" spans="1:4" ht="18.75">
      <c r="A57" s="171">
        <f t="shared" si="0"/>
        <v>56</v>
      </c>
      <c r="B57" s="174" t="s">
        <v>392</v>
      </c>
      <c r="C57" s="175" t="s">
        <v>308</v>
      </c>
      <c r="D57" s="172" t="s">
        <v>515</v>
      </c>
    </row>
    <row r="58" spans="1:4" ht="18.75">
      <c r="A58" s="171">
        <f t="shared" si="0"/>
        <v>57</v>
      </c>
      <c r="B58" s="174" t="s">
        <v>393</v>
      </c>
      <c r="C58" s="175" t="s">
        <v>309</v>
      </c>
      <c r="D58" s="172" t="s">
        <v>515</v>
      </c>
    </row>
    <row r="59" spans="1:4" ht="18.75">
      <c r="A59" s="171">
        <f t="shared" si="0"/>
        <v>58</v>
      </c>
      <c r="B59" s="174" t="s">
        <v>394</v>
      </c>
      <c r="C59" s="175" t="s">
        <v>310</v>
      </c>
      <c r="D59" s="172" t="s">
        <v>515</v>
      </c>
    </row>
    <row r="60" spans="1:4" ht="18.75">
      <c r="A60" s="171">
        <f t="shared" si="0"/>
        <v>59</v>
      </c>
      <c r="B60" s="174" t="s">
        <v>395</v>
      </c>
      <c r="C60" s="175" t="s">
        <v>311</v>
      </c>
      <c r="D60" s="172" t="s">
        <v>515</v>
      </c>
    </row>
    <row r="61" spans="1:4" ht="18.75">
      <c r="A61" s="171">
        <f t="shared" si="0"/>
        <v>60</v>
      </c>
      <c r="B61" s="174" t="s">
        <v>396</v>
      </c>
      <c r="C61" s="177" t="s">
        <v>302</v>
      </c>
      <c r="D61" s="172" t="s">
        <v>516</v>
      </c>
    </row>
    <row r="62" spans="1:4" ht="18.75">
      <c r="A62" s="171">
        <f t="shared" si="0"/>
        <v>61</v>
      </c>
      <c r="B62" s="174" t="s">
        <v>397</v>
      </c>
      <c r="C62" s="175" t="s">
        <v>312</v>
      </c>
      <c r="D62" s="172" t="s">
        <v>516</v>
      </c>
    </row>
    <row r="63" spans="1:4" ht="18.75">
      <c r="A63" s="171">
        <f t="shared" si="0"/>
        <v>62</v>
      </c>
      <c r="B63" s="174" t="s">
        <v>398</v>
      </c>
      <c r="C63" s="175" t="s">
        <v>313</v>
      </c>
      <c r="D63" s="172" t="s">
        <v>516</v>
      </c>
    </row>
    <row r="64" spans="1:4" ht="18.75">
      <c r="A64" s="171">
        <f t="shared" si="0"/>
        <v>63</v>
      </c>
      <c r="B64" s="174" t="s">
        <v>399</v>
      </c>
      <c r="C64" s="175" t="s">
        <v>314</v>
      </c>
      <c r="D64" s="172" t="s">
        <v>516</v>
      </c>
    </row>
    <row r="65" spans="1:4" ht="18.75">
      <c r="A65" s="171">
        <f t="shared" si="0"/>
        <v>64</v>
      </c>
      <c r="B65" s="174" t="s">
        <v>400</v>
      </c>
      <c r="C65" s="175" t="s">
        <v>304</v>
      </c>
      <c r="D65" s="172" t="s">
        <v>516</v>
      </c>
    </row>
    <row r="66" spans="1:4" ht="18.75">
      <c r="A66" s="171">
        <f t="shared" si="0"/>
        <v>65</v>
      </c>
      <c r="B66" s="174" t="s">
        <v>401</v>
      </c>
      <c r="C66" s="175" t="s">
        <v>310</v>
      </c>
      <c r="D66" s="172" t="s">
        <v>516</v>
      </c>
    </row>
    <row r="67" spans="1:4" ht="18.75">
      <c r="A67" s="171">
        <f t="shared" si="0"/>
        <v>66</v>
      </c>
      <c r="B67" s="174" t="s">
        <v>325</v>
      </c>
      <c r="C67" s="173" t="s">
        <v>517</v>
      </c>
      <c r="D67" s="172" t="s">
        <v>315</v>
      </c>
    </row>
    <row r="68" spans="1:4" ht="18.75">
      <c r="A68" s="171">
        <f t="shared" ref="A68:A128" si="1">A67+1</f>
        <v>67</v>
      </c>
      <c r="B68" s="174" t="s">
        <v>402</v>
      </c>
      <c r="C68" s="176" t="s">
        <v>270</v>
      </c>
      <c r="D68" s="172" t="s">
        <v>518</v>
      </c>
    </row>
    <row r="69" spans="1:4" ht="18.75">
      <c r="A69" s="171">
        <f t="shared" si="1"/>
        <v>68</v>
      </c>
      <c r="B69" s="174" t="s">
        <v>403</v>
      </c>
      <c r="C69" s="176" t="s">
        <v>316</v>
      </c>
      <c r="D69" s="172" t="s">
        <v>518</v>
      </c>
    </row>
    <row r="70" spans="1:4" ht="18.75">
      <c r="A70" s="171">
        <f t="shared" si="1"/>
        <v>69</v>
      </c>
      <c r="B70" s="174" t="s">
        <v>404</v>
      </c>
      <c r="C70" s="176" t="s">
        <v>317</v>
      </c>
      <c r="D70" s="172" t="s">
        <v>518</v>
      </c>
    </row>
    <row r="71" spans="1:4" ht="18.75">
      <c r="A71" s="171">
        <f t="shared" si="1"/>
        <v>70</v>
      </c>
      <c r="B71" s="174" t="s">
        <v>405</v>
      </c>
      <c r="C71" s="176" t="s">
        <v>318</v>
      </c>
      <c r="D71" s="172" t="s">
        <v>518</v>
      </c>
    </row>
    <row r="72" spans="1:4" ht="18.75">
      <c r="A72" s="171">
        <f t="shared" si="1"/>
        <v>71</v>
      </c>
      <c r="B72" s="174" t="s">
        <v>406</v>
      </c>
      <c r="C72" s="176" t="s">
        <v>319</v>
      </c>
      <c r="D72" s="172" t="s">
        <v>518</v>
      </c>
    </row>
    <row r="73" spans="1:4" ht="18.75">
      <c r="A73" s="171">
        <f t="shared" si="1"/>
        <v>72</v>
      </c>
      <c r="B73" s="174" t="s">
        <v>407</v>
      </c>
      <c r="C73" s="176" t="s">
        <v>320</v>
      </c>
      <c r="D73" s="172" t="s">
        <v>518</v>
      </c>
    </row>
    <row r="74" spans="1:4" ht="18.75">
      <c r="A74" s="171">
        <f t="shared" si="1"/>
        <v>73</v>
      </c>
      <c r="B74" s="174" t="s">
        <v>408</v>
      </c>
      <c r="C74" s="176" t="s">
        <v>571</v>
      </c>
      <c r="D74" s="172" t="s">
        <v>518</v>
      </c>
    </row>
    <row r="75" spans="1:4" ht="18.75">
      <c r="A75" s="171">
        <f t="shared" si="1"/>
        <v>74</v>
      </c>
      <c r="B75" s="174" t="s">
        <v>409</v>
      </c>
      <c r="C75" s="176" t="s">
        <v>572</v>
      </c>
      <c r="D75" s="172" t="s">
        <v>518</v>
      </c>
    </row>
    <row r="76" spans="1:4" ht="18.75">
      <c r="A76" s="171">
        <f t="shared" si="1"/>
        <v>75</v>
      </c>
      <c r="B76" s="174" t="s">
        <v>410</v>
      </c>
      <c r="C76" s="176" t="s">
        <v>573</v>
      </c>
      <c r="D76" s="172" t="s">
        <v>518</v>
      </c>
    </row>
    <row r="77" spans="1:4" ht="18.75">
      <c r="A77" s="171">
        <f t="shared" si="1"/>
        <v>76</v>
      </c>
      <c r="B77" s="174" t="s">
        <v>411</v>
      </c>
      <c r="C77" s="176" t="s">
        <v>574</v>
      </c>
      <c r="D77" s="172" t="s">
        <v>518</v>
      </c>
    </row>
    <row r="78" spans="1:4" ht="18.75">
      <c r="A78" s="171">
        <f t="shared" si="1"/>
        <v>77</v>
      </c>
      <c r="B78" s="174" t="s">
        <v>412</v>
      </c>
      <c r="C78" s="176" t="s">
        <v>575</v>
      </c>
      <c r="D78" s="172" t="s">
        <v>518</v>
      </c>
    </row>
    <row r="79" spans="1:4" ht="18.75">
      <c r="A79" s="171">
        <f t="shared" si="1"/>
        <v>78</v>
      </c>
      <c r="B79" s="174" t="s">
        <v>413</v>
      </c>
      <c r="C79" s="176" t="s">
        <v>576</v>
      </c>
      <c r="D79" s="172" t="s">
        <v>518</v>
      </c>
    </row>
    <row r="80" spans="1:4" ht="18.75">
      <c r="A80" s="171">
        <f t="shared" si="1"/>
        <v>79</v>
      </c>
      <c r="B80" s="174" t="s">
        <v>414</v>
      </c>
      <c r="C80" s="176" t="s">
        <v>577</v>
      </c>
      <c r="D80" s="172" t="s">
        <v>518</v>
      </c>
    </row>
    <row r="81" spans="1:4" ht="18.75">
      <c r="A81" s="171">
        <f t="shared" si="1"/>
        <v>80</v>
      </c>
      <c r="B81" s="174" t="s">
        <v>415</v>
      </c>
      <c r="C81" s="176" t="s">
        <v>578</v>
      </c>
      <c r="D81" s="172" t="s">
        <v>518</v>
      </c>
    </row>
    <row r="82" spans="1:4" ht="18.75">
      <c r="A82" s="171">
        <f t="shared" si="1"/>
        <v>81</v>
      </c>
      <c r="B82" s="174" t="s">
        <v>416</v>
      </c>
      <c r="C82" s="176" t="s">
        <v>579</v>
      </c>
      <c r="D82" s="172" t="s">
        <v>518</v>
      </c>
    </row>
    <row r="83" spans="1:4" ht="18.75">
      <c r="A83" s="171">
        <f t="shared" si="1"/>
        <v>82</v>
      </c>
      <c r="B83" s="174" t="s">
        <v>417</v>
      </c>
      <c r="C83" s="176" t="s">
        <v>270</v>
      </c>
      <c r="D83" s="172" t="s">
        <v>519</v>
      </c>
    </row>
    <row r="84" spans="1:4" ht="18.75">
      <c r="A84" s="171">
        <f t="shared" si="1"/>
        <v>83</v>
      </c>
      <c r="B84" s="174" t="s">
        <v>418</v>
      </c>
      <c r="C84" s="176" t="s">
        <v>316</v>
      </c>
      <c r="D84" s="172" t="s">
        <v>519</v>
      </c>
    </row>
    <row r="85" spans="1:4" ht="18.75">
      <c r="A85" s="171">
        <f t="shared" si="1"/>
        <v>84</v>
      </c>
      <c r="B85" s="174" t="s">
        <v>419</v>
      </c>
      <c r="C85" s="176" t="s">
        <v>317</v>
      </c>
      <c r="D85" s="172" t="s">
        <v>519</v>
      </c>
    </row>
    <row r="86" spans="1:4" ht="18.75">
      <c r="A86" s="171">
        <f t="shared" si="1"/>
        <v>85</v>
      </c>
      <c r="B86" s="174" t="s">
        <v>420</v>
      </c>
      <c r="C86" s="176" t="s">
        <v>318</v>
      </c>
      <c r="D86" s="172" t="s">
        <v>519</v>
      </c>
    </row>
    <row r="87" spans="1:4" ht="18.75">
      <c r="A87" s="171">
        <f t="shared" si="1"/>
        <v>86</v>
      </c>
      <c r="B87" s="174" t="s">
        <v>421</v>
      </c>
      <c r="C87" s="176" t="s">
        <v>265</v>
      </c>
      <c r="D87" s="172" t="s">
        <v>519</v>
      </c>
    </row>
    <row r="88" spans="1:4" ht="18.75">
      <c r="A88" s="171">
        <f t="shared" si="1"/>
        <v>87</v>
      </c>
      <c r="B88" s="174" t="s">
        <v>422</v>
      </c>
      <c r="C88" s="176" t="s">
        <v>580</v>
      </c>
      <c r="D88" s="172" t="s">
        <v>519</v>
      </c>
    </row>
    <row r="89" spans="1:4" ht="18.75">
      <c r="A89" s="171">
        <f t="shared" si="1"/>
        <v>88</v>
      </c>
      <c r="B89" s="174" t="s">
        <v>423</v>
      </c>
      <c r="C89" s="176" t="s">
        <v>581</v>
      </c>
      <c r="D89" s="172" t="s">
        <v>519</v>
      </c>
    </row>
    <row r="90" spans="1:4" ht="18.75">
      <c r="A90" s="171">
        <f t="shared" si="1"/>
        <v>89</v>
      </c>
      <c r="B90" s="174" t="s">
        <v>424</v>
      </c>
      <c r="C90" s="176" t="s">
        <v>582</v>
      </c>
      <c r="D90" s="172" t="s">
        <v>519</v>
      </c>
    </row>
    <row r="91" spans="1:4" ht="18.75">
      <c r="A91" s="171">
        <f t="shared" si="1"/>
        <v>90</v>
      </c>
      <c r="B91" s="174" t="s">
        <v>425</v>
      </c>
      <c r="C91" s="176" t="s">
        <v>583</v>
      </c>
      <c r="D91" s="172" t="s">
        <v>519</v>
      </c>
    </row>
    <row r="92" spans="1:4" ht="18.75">
      <c r="A92" s="171">
        <f t="shared" si="1"/>
        <v>91</v>
      </c>
      <c r="B92" s="174" t="s">
        <v>426</v>
      </c>
      <c r="C92" s="176" t="s">
        <v>584</v>
      </c>
      <c r="D92" s="172" t="s">
        <v>519</v>
      </c>
    </row>
    <row r="93" spans="1:4" ht="18.75">
      <c r="A93" s="171">
        <f t="shared" si="1"/>
        <v>92</v>
      </c>
      <c r="B93" s="174" t="s">
        <v>427</v>
      </c>
      <c r="C93" s="176" t="s">
        <v>585</v>
      </c>
      <c r="D93" s="172" t="s">
        <v>519</v>
      </c>
    </row>
    <row r="94" spans="1:4" ht="18.75">
      <c r="A94" s="171">
        <f t="shared" si="1"/>
        <v>93</v>
      </c>
      <c r="B94" s="174" t="s">
        <v>428</v>
      </c>
      <c r="C94" s="176" t="s">
        <v>586</v>
      </c>
      <c r="D94" s="172" t="s">
        <v>519</v>
      </c>
    </row>
    <row r="95" spans="1:4" ht="18.75">
      <c r="A95" s="171">
        <f t="shared" si="1"/>
        <v>94</v>
      </c>
      <c r="B95" s="174" t="s">
        <v>429</v>
      </c>
      <c r="C95" s="176" t="s">
        <v>587</v>
      </c>
      <c r="D95" s="172" t="s">
        <v>519</v>
      </c>
    </row>
    <row r="96" spans="1:4" ht="18.75">
      <c r="A96" s="171">
        <f t="shared" si="1"/>
        <v>95</v>
      </c>
      <c r="B96" s="174" t="s">
        <v>430</v>
      </c>
      <c r="C96" s="176" t="s">
        <v>588</v>
      </c>
      <c r="D96" s="172" t="s">
        <v>519</v>
      </c>
    </row>
    <row r="97" spans="1:4" ht="18.75">
      <c r="A97" s="171">
        <f t="shared" si="1"/>
        <v>96</v>
      </c>
      <c r="B97" s="174" t="s">
        <v>431</v>
      </c>
      <c r="C97" s="176" t="s">
        <v>321</v>
      </c>
      <c r="D97" s="172" t="s">
        <v>520</v>
      </c>
    </row>
    <row r="98" spans="1:4" ht="18.75">
      <c r="A98" s="171">
        <f t="shared" si="1"/>
        <v>97</v>
      </c>
      <c r="B98" s="174" t="s">
        <v>432</v>
      </c>
      <c r="C98" s="176" t="s">
        <v>322</v>
      </c>
      <c r="D98" s="172" t="s">
        <v>520</v>
      </c>
    </row>
    <row r="99" spans="1:4" ht="18.75">
      <c r="A99" s="171">
        <f t="shared" si="1"/>
        <v>98</v>
      </c>
      <c r="B99" s="174" t="s">
        <v>435</v>
      </c>
      <c r="C99" s="176" t="s">
        <v>323</v>
      </c>
      <c r="D99" s="172" t="s">
        <v>520</v>
      </c>
    </row>
    <row r="100" spans="1:4" ht="18.75">
      <c r="A100" s="171">
        <f t="shared" si="1"/>
        <v>99</v>
      </c>
      <c r="B100" s="174" t="s">
        <v>433</v>
      </c>
      <c r="C100" s="176" t="s">
        <v>321</v>
      </c>
      <c r="D100" s="172" t="s">
        <v>521</v>
      </c>
    </row>
    <row r="101" spans="1:4" ht="18.75">
      <c r="A101" s="171">
        <f t="shared" si="1"/>
        <v>100</v>
      </c>
      <c r="B101" s="174" t="s">
        <v>434</v>
      </c>
      <c r="C101" s="176" t="s">
        <v>322</v>
      </c>
      <c r="D101" s="172" t="s">
        <v>521</v>
      </c>
    </row>
    <row r="102" spans="1:4" ht="18.75">
      <c r="A102" s="171">
        <f t="shared" si="1"/>
        <v>101</v>
      </c>
      <c r="B102" s="174" t="s">
        <v>436</v>
      </c>
      <c r="C102" s="176" t="s">
        <v>324</v>
      </c>
      <c r="D102" s="172" t="s">
        <v>521</v>
      </c>
    </row>
    <row r="103" spans="1:4" ht="18.75">
      <c r="A103" s="171">
        <f t="shared" si="1"/>
        <v>102</v>
      </c>
      <c r="B103" s="174" t="s">
        <v>437</v>
      </c>
      <c r="C103" s="176" t="s">
        <v>323</v>
      </c>
      <c r="D103" s="172" t="s">
        <v>521</v>
      </c>
    </row>
    <row r="104" spans="1:4" ht="18.75">
      <c r="A104" s="171">
        <f t="shared" si="1"/>
        <v>103</v>
      </c>
      <c r="B104" s="174" t="s">
        <v>438</v>
      </c>
      <c r="C104" s="176" t="s">
        <v>326</v>
      </c>
      <c r="D104" s="172" t="s">
        <v>522</v>
      </c>
    </row>
    <row r="105" spans="1:4" ht="18.75">
      <c r="A105" s="171">
        <f t="shared" si="1"/>
        <v>104</v>
      </c>
      <c r="B105" s="174" t="s">
        <v>439</v>
      </c>
      <c r="C105" s="176" t="s">
        <v>327</v>
      </c>
      <c r="D105" s="172" t="s">
        <v>522</v>
      </c>
    </row>
    <row r="106" spans="1:4" ht="18.75">
      <c r="A106" s="171">
        <f t="shared" si="1"/>
        <v>105</v>
      </c>
      <c r="B106" s="174" t="s">
        <v>440</v>
      </c>
      <c r="C106" s="176" t="s">
        <v>328</v>
      </c>
      <c r="D106" s="172" t="s">
        <v>522</v>
      </c>
    </row>
    <row r="107" spans="1:4" ht="18.75">
      <c r="A107" s="171">
        <f t="shared" si="1"/>
        <v>106</v>
      </c>
      <c r="B107" s="174" t="s">
        <v>441</v>
      </c>
      <c r="C107" s="176" t="s">
        <v>329</v>
      </c>
      <c r="D107" s="172" t="s">
        <v>522</v>
      </c>
    </row>
    <row r="108" spans="1:4" ht="18.75">
      <c r="A108" s="171">
        <f t="shared" si="1"/>
        <v>107</v>
      </c>
      <c r="B108" s="174" t="s">
        <v>442</v>
      </c>
      <c r="C108" s="176" t="s">
        <v>330</v>
      </c>
      <c r="D108" s="172" t="s">
        <v>522</v>
      </c>
    </row>
    <row r="109" spans="1:4" ht="18.75">
      <c r="A109" s="171">
        <f t="shared" si="1"/>
        <v>108</v>
      </c>
      <c r="B109" s="174" t="s">
        <v>443</v>
      </c>
      <c r="C109" s="176" t="s">
        <v>331</v>
      </c>
      <c r="D109" s="172" t="s">
        <v>522</v>
      </c>
    </row>
    <row r="110" spans="1:4" ht="18.75">
      <c r="A110" s="171">
        <f t="shared" si="1"/>
        <v>109</v>
      </c>
      <c r="B110" s="174" t="s">
        <v>444</v>
      </c>
      <c r="C110" s="176" t="s">
        <v>332</v>
      </c>
      <c r="D110" s="172" t="s">
        <v>522</v>
      </c>
    </row>
    <row r="111" spans="1:4" ht="18.75">
      <c r="A111" s="171">
        <f t="shared" si="1"/>
        <v>110</v>
      </c>
      <c r="B111" s="174" t="s">
        <v>445</v>
      </c>
      <c r="C111" s="176" t="s">
        <v>333</v>
      </c>
      <c r="D111" s="172" t="s">
        <v>522</v>
      </c>
    </row>
    <row r="112" spans="1:4" ht="18.75">
      <c r="A112" s="171">
        <f t="shared" si="1"/>
        <v>111</v>
      </c>
      <c r="B112" s="174" t="s">
        <v>446</v>
      </c>
      <c r="C112" s="176" t="s">
        <v>334</v>
      </c>
      <c r="D112" s="172" t="s">
        <v>522</v>
      </c>
    </row>
    <row r="113" spans="1:4" ht="18.75">
      <c r="A113" s="171">
        <f t="shared" si="1"/>
        <v>112</v>
      </c>
      <c r="B113" s="174" t="s">
        <v>447</v>
      </c>
      <c r="C113" s="176" t="s">
        <v>335</v>
      </c>
      <c r="D113" s="172" t="s">
        <v>522</v>
      </c>
    </row>
    <row r="114" spans="1:4" ht="18.75">
      <c r="A114" s="171">
        <f t="shared" si="1"/>
        <v>113</v>
      </c>
      <c r="B114" s="174" t="s">
        <v>448</v>
      </c>
      <c r="C114" s="176" t="s">
        <v>612</v>
      </c>
      <c r="D114" s="172" t="s">
        <v>522</v>
      </c>
    </row>
    <row r="115" spans="1:4" ht="18.75">
      <c r="A115" s="171">
        <f t="shared" si="1"/>
        <v>114</v>
      </c>
      <c r="B115" s="174" t="s">
        <v>449</v>
      </c>
      <c r="C115" s="176" t="s">
        <v>604</v>
      </c>
      <c r="D115" s="172" t="s">
        <v>522</v>
      </c>
    </row>
    <row r="116" spans="1:4" ht="18.75">
      <c r="A116" s="171">
        <f t="shared" si="1"/>
        <v>115</v>
      </c>
      <c r="B116" s="174" t="s">
        <v>450</v>
      </c>
      <c r="C116" s="176" t="s">
        <v>613</v>
      </c>
      <c r="D116" s="172" t="s">
        <v>522</v>
      </c>
    </row>
    <row r="117" spans="1:4" ht="18.75">
      <c r="A117" s="171">
        <f t="shared" si="1"/>
        <v>116</v>
      </c>
      <c r="B117" s="174" t="s">
        <v>451</v>
      </c>
      <c r="C117" s="176" t="s">
        <v>614</v>
      </c>
      <c r="D117" s="172" t="s">
        <v>522</v>
      </c>
    </row>
    <row r="118" spans="1:4" ht="18.75">
      <c r="A118" s="171">
        <f t="shared" si="1"/>
        <v>117</v>
      </c>
      <c r="B118" s="174" t="s">
        <v>452</v>
      </c>
      <c r="C118" s="176" t="s">
        <v>615</v>
      </c>
      <c r="D118" s="172" t="s">
        <v>522</v>
      </c>
    </row>
    <row r="119" spans="1:4" ht="18.75">
      <c r="A119" s="171">
        <f t="shared" si="1"/>
        <v>118</v>
      </c>
      <c r="B119" s="174" t="s">
        <v>453</v>
      </c>
      <c r="C119" s="176" t="s">
        <v>616</v>
      </c>
      <c r="D119" s="172" t="s">
        <v>522</v>
      </c>
    </row>
    <row r="120" spans="1:4" ht="18.75">
      <c r="A120" s="171">
        <f t="shared" si="1"/>
        <v>119</v>
      </c>
      <c r="B120" s="174" t="s">
        <v>454</v>
      </c>
      <c r="C120" s="176" t="s">
        <v>605</v>
      </c>
      <c r="D120" s="172" t="s">
        <v>522</v>
      </c>
    </row>
    <row r="121" spans="1:4" ht="18.75">
      <c r="A121" s="171">
        <f t="shared" si="1"/>
        <v>120</v>
      </c>
      <c r="B121" s="174" t="s">
        <v>455</v>
      </c>
      <c r="C121" s="176" t="s">
        <v>606</v>
      </c>
      <c r="D121" s="172" t="s">
        <v>522</v>
      </c>
    </row>
    <row r="122" spans="1:4" ht="18.75">
      <c r="A122" s="171">
        <f t="shared" si="1"/>
        <v>121</v>
      </c>
      <c r="B122" s="174" t="s">
        <v>456</v>
      </c>
      <c r="C122" s="176" t="s">
        <v>607</v>
      </c>
      <c r="D122" s="172" t="s">
        <v>522</v>
      </c>
    </row>
    <row r="123" spans="1:4" ht="18.75">
      <c r="A123" s="171">
        <f t="shared" si="1"/>
        <v>122</v>
      </c>
      <c r="B123" s="174" t="s">
        <v>457</v>
      </c>
      <c r="C123" s="176" t="s">
        <v>608</v>
      </c>
      <c r="D123" s="172" t="s">
        <v>522</v>
      </c>
    </row>
    <row r="124" spans="1:4" ht="18.75">
      <c r="A124" s="171">
        <f t="shared" si="1"/>
        <v>123</v>
      </c>
      <c r="B124" s="174" t="s">
        <v>458</v>
      </c>
      <c r="C124" s="176" t="s">
        <v>609</v>
      </c>
      <c r="D124" s="172" t="s">
        <v>522</v>
      </c>
    </row>
    <row r="125" spans="1:4" ht="18.75">
      <c r="A125" s="171">
        <f t="shared" si="1"/>
        <v>124</v>
      </c>
      <c r="B125" s="174" t="s">
        <v>459</v>
      </c>
      <c r="C125" s="176" t="s">
        <v>617</v>
      </c>
      <c r="D125" s="172" t="s">
        <v>522</v>
      </c>
    </row>
    <row r="126" spans="1:4" ht="18.75">
      <c r="A126" s="171">
        <f t="shared" si="1"/>
        <v>125</v>
      </c>
      <c r="B126" s="174" t="s">
        <v>460</v>
      </c>
      <c r="C126" s="176" t="s">
        <v>610</v>
      </c>
      <c r="D126" s="172" t="s">
        <v>522</v>
      </c>
    </row>
    <row r="127" spans="1:4" ht="18.75">
      <c r="A127" s="171">
        <f t="shared" si="1"/>
        <v>126</v>
      </c>
      <c r="B127" s="174" t="s">
        <v>461</v>
      </c>
      <c r="C127" s="176" t="s">
        <v>611</v>
      </c>
      <c r="D127" s="172" t="s">
        <v>522</v>
      </c>
    </row>
    <row r="128" spans="1:4" ht="18.75">
      <c r="A128" s="171">
        <f t="shared" si="1"/>
        <v>127</v>
      </c>
      <c r="B128" s="174" t="s">
        <v>619</v>
      </c>
      <c r="C128" s="176" t="s">
        <v>618</v>
      </c>
      <c r="D128" s="172" t="s">
        <v>522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57" t="s">
        <v>27</v>
      </c>
      <c r="B3" s="10" t="s">
        <v>26</v>
      </c>
      <c r="C3" s="9" t="e">
        <f>COUNTIFS(QTCT!$A$6:$A$100,#REF!,QTCT!#REF!,#REF!)</f>
        <v>#REF!</v>
      </c>
      <c r="D3" s="561" t="s">
        <v>17</v>
      </c>
      <c r="E3" s="560" t="s">
        <v>18</v>
      </c>
      <c r="F3" s="560" t="s">
        <v>18</v>
      </c>
      <c r="G3" s="560" t="s">
        <v>18</v>
      </c>
      <c r="H3" s="557" t="s">
        <v>9</v>
      </c>
      <c r="I3" s="557" t="s">
        <v>9</v>
      </c>
      <c r="J3" s="558" t="s">
        <v>2</v>
      </c>
      <c r="K3" s="557" t="s">
        <v>3</v>
      </c>
      <c r="L3" s="557" t="s">
        <v>13</v>
      </c>
      <c r="M3" s="561"/>
      <c r="N3" s="561"/>
      <c r="O3" s="570" t="s">
        <v>20</v>
      </c>
      <c r="P3" s="570" t="s">
        <v>20</v>
      </c>
      <c r="Q3" s="570" t="s">
        <v>20</v>
      </c>
      <c r="R3" s="560" t="s">
        <v>16</v>
      </c>
      <c r="S3" s="560" t="s">
        <v>16</v>
      </c>
      <c r="T3" s="560" t="s">
        <v>16</v>
      </c>
      <c r="U3" s="557" t="s">
        <v>21</v>
      </c>
    </row>
    <row r="4" spans="1:36" ht="29.45" customHeight="1">
      <c r="A4" s="557"/>
      <c r="B4" s="2" t="s">
        <v>23</v>
      </c>
      <c r="C4" s="9" t="e">
        <f t="array" ref="C4">MATCH(#REF!&amp;"X",QT_HoTen&amp;QT_Dang_ApDung,0)</f>
        <v>#REF!</v>
      </c>
      <c r="D4" s="561"/>
      <c r="E4" s="560"/>
      <c r="F4" s="560"/>
      <c r="G4" s="560"/>
      <c r="H4" s="557"/>
      <c r="I4" s="557"/>
      <c r="J4" s="559"/>
      <c r="K4" s="557"/>
      <c r="L4" s="557"/>
      <c r="M4" s="19" t="s">
        <v>3</v>
      </c>
      <c r="N4" s="19" t="s">
        <v>14</v>
      </c>
      <c r="O4" s="570"/>
      <c r="P4" s="570"/>
      <c r="Q4" s="570"/>
      <c r="R4" s="560"/>
      <c r="S4" s="560"/>
      <c r="T4" s="560"/>
      <c r="U4" s="557"/>
    </row>
    <row r="5" spans="1:36" ht="18" customHeight="1">
      <c r="A5" s="557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4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4" t="e">
        <f>#REF!*(1+#REF!)+L5+M5</f>
        <v>#REF!</v>
      </c>
      <c r="P5" s="184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COUNTIFS(QTCT!$A$6:$A$1505,Trich_Yeu!D15)</f>
        <v>6</v>
      </c>
    </row>
    <row r="9" spans="1:36" ht="15" customHeight="1">
      <c r="A9" s="558" t="s">
        <v>31</v>
      </c>
      <c r="B9" s="66" t="s">
        <v>26</v>
      </c>
      <c r="C9" s="583" t="s">
        <v>33</v>
      </c>
      <c r="D9" s="561" t="s">
        <v>17</v>
      </c>
      <c r="E9" s="560" t="s">
        <v>18</v>
      </c>
      <c r="F9" s="560" t="s">
        <v>18</v>
      </c>
      <c r="G9" s="560" t="s">
        <v>18</v>
      </c>
      <c r="H9" s="557" t="s">
        <v>9</v>
      </c>
      <c r="I9" s="557" t="s">
        <v>9</v>
      </c>
      <c r="J9" s="558" t="s">
        <v>2</v>
      </c>
      <c r="K9" s="557" t="s">
        <v>3</v>
      </c>
      <c r="L9" s="557" t="s">
        <v>13</v>
      </c>
      <c r="M9" s="561"/>
      <c r="N9" s="561"/>
      <c r="O9" s="570" t="s">
        <v>20</v>
      </c>
      <c r="P9" s="570" t="s">
        <v>20</v>
      </c>
      <c r="Q9" s="570" t="s">
        <v>20</v>
      </c>
      <c r="R9" s="560" t="s">
        <v>16</v>
      </c>
      <c r="S9" s="560" t="s">
        <v>16</v>
      </c>
      <c r="T9" s="560" t="s">
        <v>16</v>
      </c>
      <c r="U9" s="557" t="s">
        <v>21</v>
      </c>
    </row>
    <row r="10" spans="1:36" ht="30">
      <c r="A10" s="582"/>
      <c r="B10" s="65">
        <f>COUNTIF(DSDV!$G$7:$G$216,Them_DV!$F$10)</f>
        <v>0</v>
      </c>
      <c r="C10" s="584"/>
      <c r="D10" s="561"/>
      <c r="E10" s="560"/>
      <c r="F10" s="560"/>
      <c r="G10" s="560"/>
      <c r="H10" s="557"/>
      <c r="I10" s="557"/>
      <c r="J10" s="559"/>
      <c r="K10" s="557"/>
      <c r="L10" s="557"/>
      <c r="M10" s="19" t="s">
        <v>3</v>
      </c>
      <c r="N10" s="19" t="s">
        <v>14</v>
      </c>
      <c r="O10" s="570"/>
      <c r="P10" s="570"/>
      <c r="Q10" s="570"/>
      <c r="R10" s="560"/>
      <c r="S10" s="560"/>
      <c r="T10" s="560"/>
      <c r="U10" s="557"/>
    </row>
    <row r="11" spans="1:36" ht="16.899999999999999" customHeight="1">
      <c r="A11" s="582"/>
      <c r="B11" s="66" t="s">
        <v>28</v>
      </c>
      <c r="C11" s="585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4" t="e">
        <f>#REF!*(1+#REF!)+L11+M11</f>
        <v>#REF!</v>
      </c>
      <c r="P11" s="184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82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82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83" t="s">
        <v>162</v>
      </c>
      <c r="D13" s="555" t="s">
        <v>463</v>
      </c>
      <c r="E13" s="555" t="s">
        <v>464</v>
      </c>
      <c r="F13" s="555" t="s">
        <v>155</v>
      </c>
      <c r="G13" s="555" t="s">
        <v>482</v>
      </c>
      <c r="H13" s="562" t="s">
        <v>480</v>
      </c>
      <c r="I13" s="562" t="s">
        <v>481</v>
      </c>
      <c r="J13" s="562" t="s">
        <v>10</v>
      </c>
      <c r="K13" s="572" t="s">
        <v>112</v>
      </c>
      <c r="L13" s="562" t="s">
        <v>465</v>
      </c>
      <c r="M13" s="563" t="s">
        <v>1</v>
      </c>
      <c r="N13" s="574" t="s">
        <v>466</v>
      </c>
      <c r="O13" s="575"/>
      <c r="P13" s="575"/>
      <c r="Q13" s="575"/>
      <c r="R13" s="575"/>
      <c r="S13" s="575"/>
      <c r="T13" s="576"/>
      <c r="U13" s="577" t="s">
        <v>3</v>
      </c>
      <c r="V13" s="578"/>
      <c r="W13" s="572" t="s">
        <v>487</v>
      </c>
      <c r="X13" s="572" t="s">
        <v>467</v>
      </c>
      <c r="Y13" s="562" t="s">
        <v>468</v>
      </c>
      <c r="Z13" s="562" t="s">
        <v>95</v>
      </c>
      <c r="AA13" s="562" t="s">
        <v>111</v>
      </c>
      <c r="AB13" s="568" t="s">
        <v>469</v>
      </c>
      <c r="AC13" s="562" t="s">
        <v>160</v>
      </c>
      <c r="AD13" s="562" t="s">
        <v>470</v>
      </c>
      <c r="AE13" s="562" t="s">
        <v>471</v>
      </c>
      <c r="AF13" s="562" t="s">
        <v>472</v>
      </c>
      <c r="AG13" s="565" t="s">
        <v>473</v>
      </c>
      <c r="AH13" s="562" t="s">
        <v>488</v>
      </c>
      <c r="AI13" s="562" t="s">
        <v>116</v>
      </c>
      <c r="AJ13" s="562" t="s">
        <v>474</v>
      </c>
    </row>
    <row r="14" spans="1:36" ht="41.25" customHeight="1">
      <c r="A14" s="582"/>
      <c r="B14" s="68"/>
      <c r="C14" s="584"/>
      <c r="D14" s="556"/>
      <c r="E14" s="556"/>
      <c r="F14" s="556"/>
      <c r="G14" s="556"/>
      <c r="H14" s="556"/>
      <c r="I14" s="556"/>
      <c r="J14" s="567"/>
      <c r="K14" s="573"/>
      <c r="L14" s="567"/>
      <c r="M14" s="564"/>
      <c r="N14" s="179" t="s">
        <v>475</v>
      </c>
      <c r="O14" s="182" t="s">
        <v>483</v>
      </c>
      <c r="P14" s="182" t="s">
        <v>476</v>
      </c>
      <c r="Q14" s="182" t="s">
        <v>484</v>
      </c>
      <c r="R14" s="183" t="s">
        <v>477</v>
      </c>
      <c r="S14" s="183" t="s">
        <v>485</v>
      </c>
      <c r="T14" s="180" t="s">
        <v>486</v>
      </c>
      <c r="U14" s="181" t="s">
        <v>478</v>
      </c>
      <c r="V14" s="181" t="s">
        <v>479</v>
      </c>
      <c r="W14" s="573"/>
      <c r="X14" s="573"/>
      <c r="Y14" s="567"/>
      <c r="Z14" s="567"/>
      <c r="AA14" s="567"/>
      <c r="AB14" s="569"/>
      <c r="AC14" s="567"/>
      <c r="AD14" s="567"/>
      <c r="AE14" s="567"/>
      <c r="AF14" s="567"/>
      <c r="AG14" s="566"/>
      <c r="AH14" s="556"/>
      <c r="AI14" s="556"/>
      <c r="AJ14" s="556"/>
    </row>
    <row r="15" spans="1:36" ht="19.149999999999999" customHeight="1">
      <c r="A15" s="559"/>
      <c r="B15" s="69"/>
      <c r="C15" s="586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5">
        <f>Them_DV!F10</f>
        <v>0</v>
      </c>
      <c r="J15" s="186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5">
        <f>Them_DV!E23</f>
        <v>0</v>
      </c>
      <c r="P15" s="4">
        <f>Them_DV!C25</f>
        <v>0</v>
      </c>
      <c r="Q15" s="186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6">
        <f>Them_DV!G12</f>
        <v>0</v>
      </c>
      <c r="AA15" s="2">
        <f>Them_DV!C14</f>
        <v>0</v>
      </c>
      <c r="AB15" s="185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1</v>
      </c>
      <c r="C33" s="558" t="s">
        <v>9</v>
      </c>
      <c r="D33" s="580" t="s">
        <v>165</v>
      </c>
      <c r="E33" s="581"/>
      <c r="F33" s="570" t="s">
        <v>168</v>
      </c>
      <c r="G33" s="554" t="s">
        <v>131</v>
      </c>
      <c r="H33" s="554"/>
      <c r="I33" s="579"/>
      <c r="J33" s="571"/>
    </row>
    <row r="34" spans="2:10">
      <c r="C34" s="559"/>
      <c r="D34" s="8" t="s">
        <v>166</v>
      </c>
      <c r="E34" s="19" t="s">
        <v>167</v>
      </c>
      <c r="F34" s="570"/>
      <c r="G34" s="554"/>
      <c r="H34" s="554"/>
      <c r="I34" s="579"/>
      <c r="J34" s="571"/>
    </row>
    <row r="35" spans="2:10">
      <c r="C35" s="10" t="str">
        <f>Them_QTCT!D5</f>
        <v>Cao Văn Hiệp</v>
      </c>
      <c r="D35" s="125">
        <f>Them_QTCT!D7</f>
        <v>0</v>
      </c>
      <c r="E35" s="208">
        <f>Them_QTCT!F7</f>
        <v>0</v>
      </c>
      <c r="F35" s="125">
        <f>Them_QTCT!D9</f>
        <v>0</v>
      </c>
      <c r="G35" s="206">
        <f>Them_QTCT!D13</f>
        <v>0</v>
      </c>
      <c r="H35" s="206"/>
      <c r="I35" s="207"/>
      <c r="J35" s="207"/>
    </row>
    <row r="36" spans="2:10">
      <c r="I36" s="91"/>
      <c r="J36" s="91"/>
    </row>
  </sheetData>
  <mergeCells count="71"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M9:N9"/>
    <mergeCell ref="F3:F4"/>
    <mergeCell ref="F9:F10"/>
    <mergeCell ref="H3:H4"/>
    <mergeCell ref="L3:L4"/>
    <mergeCell ref="M3:N3"/>
    <mergeCell ref="K9:K10"/>
    <mergeCell ref="K3:K4"/>
    <mergeCell ref="G33:G34"/>
    <mergeCell ref="E13:E14"/>
    <mergeCell ref="F13:F14"/>
    <mergeCell ref="L9:L10"/>
    <mergeCell ref="J3:J4"/>
    <mergeCell ref="E3:E4"/>
    <mergeCell ref="E9:E10"/>
    <mergeCell ref="I3:I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activeCell="C13" sqref="C13"/>
      <selection pane="bottomLeft" activeCell="D16" sqref="D16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8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91" t="s">
        <v>169</v>
      </c>
      <c r="B2" s="591"/>
      <c r="C2" s="591"/>
      <c r="D2" s="591"/>
      <c r="E2" s="591"/>
    </row>
    <row r="3" spans="1:5" ht="19.5" customHeight="1">
      <c r="A3" s="587" t="s">
        <v>9</v>
      </c>
      <c r="B3" s="589" t="s">
        <v>165</v>
      </c>
      <c r="C3" s="590"/>
      <c r="D3" s="587" t="s">
        <v>168</v>
      </c>
      <c r="E3" s="587" t="s">
        <v>131</v>
      </c>
    </row>
    <row r="4" spans="1:5" ht="19.5" customHeight="1">
      <c r="A4" s="588"/>
      <c r="B4" s="126" t="s">
        <v>166</v>
      </c>
      <c r="C4" s="127" t="s">
        <v>167</v>
      </c>
      <c r="D4" s="588"/>
      <c r="E4" s="588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493</v>
      </c>
      <c r="B6" s="167" t="s">
        <v>494</v>
      </c>
      <c r="C6" s="167" t="s">
        <v>495</v>
      </c>
      <c r="D6" s="209" t="s">
        <v>496</v>
      </c>
      <c r="E6" s="167" t="s">
        <v>497</v>
      </c>
    </row>
    <row r="7" spans="1:5">
      <c r="A7" s="129" t="s">
        <v>493</v>
      </c>
      <c r="B7" s="167" t="s">
        <v>501</v>
      </c>
      <c r="C7" s="167" t="s">
        <v>502</v>
      </c>
      <c r="D7" s="129" t="s">
        <v>503</v>
      </c>
      <c r="E7" s="167" t="s">
        <v>504</v>
      </c>
    </row>
    <row r="8" spans="1:5">
      <c r="A8" s="129" t="s">
        <v>725</v>
      </c>
      <c r="B8" s="167" t="s">
        <v>732</v>
      </c>
      <c r="C8" s="167" t="s">
        <v>733</v>
      </c>
      <c r="D8" s="129" t="s">
        <v>734</v>
      </c>
      <c r="E8" s="167" t="s">
        <v>134</v>
      </c>
    </row>
    <row r="9" spans="1:5">
      <c r="A9" s="129" t="s">
        <v>548</v>
      </c>
      <c r="B9" s="167" t="s">
        <v>555</v>
      </c>
      <c r="C9" s="167" t="s">
        <v>556</v>
      </c>
      <c r="D9" s="129" t="s">
        <v>557</v>
      </c>
      <c r="E9" s="167">
        <v>0</v>
      </c>
    </row>
    <row r="10" spans="1:5">
      <c r="A10" s="129" t="s">
        <v>548</v>
      </c>
      <c r="B10" s="167" t="s">
        <v>558</v>
      </c>
      <c r="C10" s="167" t="s">
        <v>559</v>
      </c>
      <c r="D10" s="129" t="s">
        <v>560</v>
      </c>
      <c r="E10" s="167" t="s">
        <v>135</v>
      </c>
    </row>
    <row r="11" spans="1:5">
      <c r="A11" s="129" t="s">
        <v>548</v>
      </c>
      <c r="B11" s="167" t="s">
        <v>559</v>
      </c>
      <c r="C11" s="167" t="s">
        <v>563</v>
      </c>
      <c r="D11" s="129" t="s">
        <v>564</v>
      </c>
      <c r="E11" s="167" t="s">
        <v>135</v>
      </c>
    </row>
    <row r="12" spans="1:5">
      <c r="A12" s="129" t="s">
        <v>548</v>
      </c>
      <c r="B12" s="167" t="s">
        <v>568</v>
      </c>
      <c r="C12" s="167" t="s">
        <v>569</v>
      </c>
      <c r="D12" s="129" t="s">
        <v>570</v>
      </c>
      <c r="E12" s="167" t="s">
        <v>135</v>
      </c>
    </row>
    <row r="13" spans="1:5">
      <c r="A13" s="129" t="s">
        <v>548</v>
      </c>
      <c r="B13" s="167" t="s">
        <v>651</v>
      </c>
      <c r="C13" s="167" t="s">
        <v>652</v>
      </c>
      <c r="D13" s="129" t="s">
        <v>653</v>
      </c>
      <c r="E13" s="167" t="s">
        <v>133</v>
      </c>
    </row>
    <row r="14" spans="1:5">
      <c r="A14" s="129" t="s">
        <v>548</v>
      </c>
      <c r="B14" s="167" t="s">
        <v>565</v>
      </c>
      <c r="C14" s="167" t="s">
        <v>566</v>
      </c>
      <c r="D14" s="129" t="s">
        <v>567</v>
      </c>
      <c r="E14" s="167" t="s">
        <v>135</v>
      </c>
    </row>
    <row r="15" spans="1:5">
      <c r="A15" s="129" t="s">
        <v>489</v>
      </c>
      <c r="B15" s="167" t="s">
        <v>498</v>
      </c>
      <c r="C15" s="167" t="s">
        <v>500</v>
      </c>
      <c r="D15" s="129" t="s">
        <v>499</v>
      </c>
      <c r="E15" s="167">
        <v>45</v>
      </c>
    </row>
    <row r="16" spans="1:5">
      <c r="A16" s="129" t="s">
        <v>489</v>
      </c>
      <c r="B16" s="167" t="s">
        <v>526</v>
      </c>
      <c r="C16" s="167" t="s">
        <v>527</v>
      </c>
      <c r="D16" s="129" t="s">
        <v>528</v>
      </c>
      <c r="E16" s="167">
        <v>0</v>
      </c>
    </row>
    <row r="17" spans="1:5">
      <c r="A17" s="129" t="s">
        <v>489</v>
      </c>
      <c r="B17" s="167" t="s">
        <v>529</v>
      </c>
      <c r="C17" s="167" t="s">
        <v>529</v>
      </c>
      <c r="D17" s="129" t="s">
        <v>528</v>
      </c>
      <c r="E17" s="167">
        <v>0</v>
      </c>
    </row>
    <row r="18" spans="1:5">
      <c r="A18" s="129"/>
      <c r="B18" s="167" t="s">
        <v>735</v>
      </c>
      <c r="C18" s="167" t="s">
        <v>735</v>
      </c>
      <c r="D18" s="129"/>
      <c r="E18" s="167" t="s">
        <v>735</v>
      </c>
    </row>
    <row r="19" spans="1:5">
      <c r="A19" s="129"/>
      <c r="B19" s="167" t="s">
        <v>735</v>
      </c>
      <c r="C19" s="167" t="s">
        <v>735</v>
      </c>
      <c r="D19" s="129"/>
      <c r="E19" s="167" t="s">
        <v>735</v>
      </c>
    </row>
    <row r="20" spans="1:5">
      <c r="A20" s="129"/>
      <c r="B20" s="167"/>
      <c r="C20" s="167"/>
      <c r="D20" s="129"/>
      <c r="E20" s="167"/>
    </row>
    <row r="21" spans="1:5">
      <c r="A21" s="129"/>
      <c r="B21" s="167"/>
      <c r="C21" s="167"/>
      <c r="D21" s="129"/>
      <c r="E21" s="167"/>
    </row>
    <row r="22" spans="1:5">
      <c r="A22" s="129"/>
      <c r="B22" s="167"/>
      <c r="C22" s="167"/>
      <c r="D22" s="129"/>
      <c r="E22" s="167"/>
    </row>
    <row r="23" spans="1:5">
      <c r="A23" s="129"/>
      <c r="B23" s="167"/>
      <c r="C23" s="167"/>
      <c r="D23" s="129"/>
      <c r="E23" s="167"/>
    </row>
    <row r="24" spans="1:5">
      <c r="A24" s="129"/>
      <c r="B24" s="167"/>
      <c r="C24" s="167"/>
      <c r="D24" s="129"/>
      <c r="E24" s="167"/>
    </row>
    <row r="25" spans="1:5">
      <c r="A25" s="129"/>
      <c r="B25" s="167"/>
      <c r="C25" s="167"/>
      <c r="D25" s="129"/>
      <c r="E25" s="167"/>
    </row>
    <row r="26" spans="1:5">
      <c r="A26" s="129"/>
      <c r="B26" s="167"/>
      <c r="C26" s="167"/>
      <c r="D26" s="129"/>
      <c r="E26" s="167"/>
    </row>
    <row r="27" spans="1:5">
      <c r="A27" s="129"/>
      <c r="B27" s="167"/>
      <c r="C27" s="167"/>
      <c r="D27" s="129"/>
      <c r="E27" s="167"/>
    </row>
    <row r="28" spans="1:5">
      <c r="A28" s="129"/>
      <c r="B28" s="167"/>
      <c r="C28" s="167"/>
      <c r="D28" s="129"/>
      <c r="E28" s="167"/>
    </row>
    <row r="29" spans="1:5">
      <c r="A29" s="129"/>
      <c r="B29" s="167"/>
      <c r="C29" s="167"/>
      <c r="D29" s="129"/>
      <c r="E29" s="167"/>
    </row>
    <row r="30" spans="1:5">
      <c r="A30" s="129"/>
      <c r="B30" s="167"/>
      <c r="C30" s="167"/>
      <c r="D30" s="129"/>
      <c r="E30" s="167"/>
    </row>
    <row r="31" spans="1:5">
      <c r="A31" s="129"/>
      <c r="B31" s="167"/>
      <c r="C31" s="167"/>
      <c r="D31" s="129"/>
      <c r="E31" s="167"/>
    </row>
    <row r="32" spans="1:5">
      <c r="A32" s="129"/>
      <c r="B32" s="167"/>
      <c r="C32" s="167"/>
      <c r="D32" s="129"/>
      <c r="E32" s="167"/>
    </row>
    <row r="33" spans="1:5">
      <c r="A33" s="129"/>
      <c r="B33" s="167"/>
      <c r="C33" s="167"/>
      <c r="D33" s="129"/>
      <c r="E33" s="167"/>
    </row>
    <row r="34" spans="1:5">
      <c r="A34" s="129"/>
      <c r="B34" s="167"/>
      <c r="C34" s="167"/>
      <c r="D34" s="129"/>
      <c r="E34" s="167"/>
    </row>
    <row r="35" spans="1:5">
      <c r="A35" s="129"/>
      <c r="B35" s="167"/>
      <c r="C35" s="167"/>
      <c r="D35" s="129"/>
      <c r="E35" s="167"/>
    </row>
    <row r="36" spans="1:5">
      <c r="A36" s="129"/>
      <c r="B36" s="167"/>
      <c r="C36" s="167"/>
      <c r="D36" s="129"/>
      <c r="E36" s="167"/>
    </row>
    <row r="37" spans="1:5">
      <c r="A37" s="129"/>
      <c r="B37" s="167"/>
      <c r="C37" s="167"/>
      <c r="D37" s="129"/>
      <c r="E37" s="167"/>
    </row>
    <row r="38" spans="1:5">
      <c r="A38" s="129"/>
      <c r="B38" s="167"/>
      <c r="C38" s="167"/>
      <c r="D38" s="129"/>
      <c r="E38" s="167"/>
    </row>
    <row r="39" spans="1:5">
      <c r="A39" s="129"/>
      <c r="B39" s="167"/>
      <c r="C39" s="167"/>
      <c r="D39" s="129"/>
      <c r="E39" s="167"/>
    </row>
    <row r="40" spans="1:5">
      <c r="A40" s="129"/>
      <c r="B40" s="167"/>
      <c r="C40" s="167"/>
      <c r="D40" s="129"/>
      <c r="E40" s="167"/>
    </row>
    <row r="41" spans="1:5">
      <c r="A41" s="129"/>
      <c r="B41" s="167"/>
      <c r="C41" s="167"/>
      <c r="D41" s="129"/>
      <c r="E41" s="167"/>
    </row>
    <row r="42" spans="1:5">
      <c r="A42" s="129"/>
      <c r="B42" s="167"/>
      <c r="C42" s="167"/>
      <c r="D42" s="129"/>
      <c r="E42" s="167"/>
    </row>
    <row r="43" spans="1:5">
      <c r="A43" s="129"/>
      <c r="B43" s="167"/>
      <c r="C43" s="167"/>
      <c r="D43" s="129"/>
      <c r="E43" s="167"/>
    </row>
    <row r="44" spans="1:5">
      <c r="A44" s="129"/>
      <c r="B44" s="167"/>
      <c r="C44" s="167"/>
      <c r="D44" s="129"/>
      <c r="E44" s="167"/>
    </row>
    <row r="45" spans="1:5">
      <c r="A45" s="129"/>
      <c r="B45" s="167"/>
      <c r="C45" s="167"/>
      <c r="D45" s="129"/>
      <c r="E45" s="167"/>
    </row>
    <row r="46" spans="1:5">
      <c r="A46" s="129"/>
      <c r="B46" s="167"/>
      <c r="C46" s="167"/>
      <c r="D46" s="129"/>
      <c r="E46" s="167"/>
    </row>
    <row r="47" spans="1:5">
      <c r="A47" s="129"/>
      <c r="B47" s="167"/>
      <c r="C47" s="167"/>
      <c r="D47" s="129"/>
      <c r="E47" s="167"/>
    </row>
    <row r="48" spans="1:5">
      <c r="A48" s="129"/>
      <c r="B48" s="167"/>
      <c r="C48" s="167"/>
      <c r="D48" s="129"/>
      <c r="E48" s="167"/>
    </row>
    <row r="49" spans="1:5">
      <c r="A49" s="129"/>
      <c r="B49" s="167"/>
      <c r="C49" s="167"/>
      <c r="D49" s="129"/>
      <c r="E49" s="167"/>
    </row>
    <row r="50" spans="1:5">
      <c r="A50" s="129"/>
      <c r="B50" s="167"/>
      <c r="C50" s="167"/>
      <c r="D50" s="129"/>
      <c r="E50" s="167"/>
    </row>
    <row r="51" spans="1:5">
      <c r="A51" s="129"/>
      <c r="B51" s="167"/>
      <c r="C51" s="167"/>
      <c r="D51" s="129"/>
      <c r="E51" s="167"/>
    </row>
    <row r="52" spans="1:5">
      <c r="A52" s="129"/>
      <c r="B52" s="167"/>
      <c r="C52" s="167"/>
      <c r="D52" s="129"/>
      <c r="E52" s="167"/>
    </row>
    <row r="53" spans="1:5">
      <c r="A53" s="129"/>
      <c r="B53" s="167"/>
      <c r="C53" s="167"/>
      <c r="D53" s="129"/>
      <c r="E53" s="167"/>
    </row>
    <row r="54" spans="1:5">
      <c r="A54" s="129"/>
      <c r="B54" s="167"/>
      <c r="C54" s="167"/>
      <c r="D54" s="129"/>
      <c r="E54" s="167"/>
    </row>
    <row r="55" spans="1:5">
      <c r="A55" s="129"/>
      <c r="B55" s="167"/>
      <c r="C55" s="167"/>
      <c r="D55" s="129"/>
      <c r="E55" s="167"/>
    </row>
    <row r="56" spans="1:5">
      <c r="A56" s="129"/>
      <c r="B56" s="167"/>
      <c r="C56" s="167"/>
      <c r="D56" s="129"/>
      <c r="E56" s="167"/>
    </row>
    <row r="57" spans="1:5">
      <c r="A57" s="129"/>
      <c r="B57" s="167"/>
      <c r="C57" s="167"/>
      <c r="D57" s="129"/>
      <c r="E57" s="167"/>
    </row>
    <row r="58" spans="1:5">
      <c r="A58" s="129"/>
      <c r="B58" s="167"/>
      <c r="C58" s="167"/>
      <c r="D58" s="129"/>
      <c r="E58" s="167"/>
    </row>
    <row r="59" spans="1:5">
      <c r="A59" s="129"/>
      <c r="B59" s="167"/>
      <c r="C59" s="167"/>
      <c r="D59" s="129"/>
      <c r="E59" s="167"/>
    </row>
    <row r="60" spans="1:5">
      <c r="A60" s="129"/>
      <c r="B60" s="167"/>
      <c r="C60" s="167"/>
      <c r="D60" s="129"/>
      <c r="E60" s="167"/>
    </row>
    <row r="61" spans="1:5">
      <c r="A61" s="129"/>
      <c r="B61" s="167"/>
      <c r="C61" s="167"/>
      <c r="D61" s="129"/>
      <c r="E61" s="167"/>
    </row>
    <row r="62" spans="1:5">
      <c r="A62" s="129"/>
      <c r="B62" s="167"/>
      <c r="C62" s="167"/>
      <c r="D62" s="129"/>
      <c r="E62" s="167"/>
    </row>
    <row r="63" spans="1:5">
      <c r="A63" s="129"/>
      <c r="B63" s="167"/>
      <c r="C63" s="167"/>
      <c r="D63" s="129"/>
      <c r="E63" s="167"/>
    </row>
    <row r="64" spans="1:5">
      <c r="A64" s="129"/>
      <c r="B64" s="167"/>
      <c r="C64" s="167"/>
      <c r="D64" s="129"/>
      <c r="E64" s="167"/>
    </row>
    <row r="65" spans="1:5">
      <c r="A65" s="129"/>
      <c r="B65" s="167"/>
      <c r="C65" s="167"/>
      <c r="D65" s="129"/>
      <c r="E65" s="167"/>
    </row>
    <row r="66" spans="1:5">
      <c r="A66" s="129"/>
      <c r="B66" s="167"/>
      <c r="C66" s="167"/>
      <c r="D66" s="129"/>
      <c r="E66" s="167"/>
    </row>
    <row r="67" spans="1:5">
      <c r="A67" s="129"/>
      <c r="B67" s="167"/>
      <c r="C67" s="167"/>
      <c r="D67" s="129"/>
      <c r="E67" s="167"/>
    </row>
    <row r="68" spans="1:5">
      <c r="A68" s="129"/>
      <c r="B68" s="167"/>
      <c r="C68" s="167"/>
      <c r="D68" s="129"/>
      <c r="E68" s="167"/>
    </row>
    <row r="69" spans="1:5">
      <c r="A69" s="129"/>
      <c r="B69" s="167"/>
      <c r="C69" s="167"/>
      <c r="D69" s="129"/>
      <c r="E69" s="167"/>
    </row>
    <row r="70" spans="1:5">
      <c r="A70" s="129"/>
      <c r="B70" s="167"/>
      <c r="C70" s="167"/>
      <c r="D70" s="129"/>
      <c r="E70" s="167"/>
    </row>
    <row r="71" spans="1:5">
      <c r="A71" s="129"/>
      <c r="B71" s="167"/>
      <c r="C71" s="167"/>
      <c r="D71" s="129"/>
      <c r="E71" s="167"/>
    </row>
    <row r="72" spans="1:5">
      <c r="A72" s="129"/>
      <c r="B72" s="167"/>
      <c r="C72" s="167"/>
      <c r="D72" s="129"/>
      <c r="E72" s="167"/>
    </row>
    <row r="73" spans="1:5">
      <c r="A73" s="129"/>
      <c r="B73" s="167"/>
      <c r="C73" s="167"/>
      <c r="D73" s="129"/>
      <c r="E73" s="167"/>
    </row>
    <row r="74" spans="1:5">
      <c r="A74" s="129"/>
      <c r="B74" s="167"/>
      <c r="C74" s="167"/>
      <c r="D74" s="129"/>
      <c r="E74" s="167"/>
    </row>
    <row r="75" spans="1:5">
      <c r="A75" s="129"/>
      <c r="B75" s="167"/>
      <c r="C75" s="167"/>
      <c r="D75" s="129"/>
      <c r="E75" s="167"/>
    </row>
    <row r="76" spans="1:5">
      <c r="A76" s="129"/>
      <c r="B76" s="167"/>
      <c r="C76" s="167"/>
      <c r="D76" s="129"/>
      <c r="E76" s="167"/>
    </row>
    <row r="77" spans="1:5">
      <c r="A77" s="129"/>
      <c r="B77" s="167"/>
      <c r="C77" s="167"/>
      <c r="D77" s="129"/>
      <c r="E77" s="167"/>
    </row>
    <row r="78" spans="1:5">
      <c r="A78" s="129"/>
      <c r="B78" s="167"/>
      <c r="C78" s="167"/>
      <c r="D78" s="129"/>
      <c r="E78" s="167"/>
    </row>
    <row r="79" spans="1:5">
      <c r="A79" s="129"/>
      <c r="B79" s="167"/>
      <c r="C79" s="167"/>
      <c r="D79" s="129"/>
      <c r="E79" s="167"/>
    </row>
    <row r="80" spans="1:5">
      <c r="A80" s="129"/>
      <c r="B80" s="167"/>
      <c r="C80" s="167"/>
      <c r="D80" s="129"/>
      <c r="E80" s="167"/>
    </row>
    <row r="81" spans="1:5">
      <c r="A81" s="129"/>
      <c r="B81" s="167"/>
      <c r="C81" s="167"/>
      <c r="D81" s="129"/>
      <c r="E81" s="167"/>
    </row>
    <row r="82" spans="1:5">
      <c r="A82" s="129"/>
      <c r="B82" s="167"/>
      <c r="C82" s="167"/>
      <c r="D82" s="129"/>
      <c r="E82" s="167"/>
    </row>
    <row r="83" spans="1:5">
      <c r="A83" s="129"/>
      <c r="B83" s="167"/>
      <c r="C83" s="167"/>
      <c r="D83" s="129"/>
      <c r="E83" s="167"/>
    </row>
    <row r="84" spans="1:5">
      <c r="A84" s="129"/>
      <c r="B84" s="167"/>
      <c r="C84" s="167"/>
      <c r="D84" s="129"/>
      <c r="E84" s="167"/>
    </row>
    <row r="85" spans="1:5">
      <c r="A85" s="129"/>
      <c r="B85" s="167"/>
      <c r="C85" s="167"/>
      <c r="D85" s="129"/>
      <c r="E85" s="167"/>
    </row>
    <row r="86" spans="1:5">
      <c r="A86" s="129"/>
      <c r="B86" s="167"/>
      <c r="C86" s="167"/>
      <c r="D86" s="129"/>
      <c r="E86" s="167"/>
    </row>
    <row r="87" spans="1:5">
      <c r="A87" s="129"/>
      <c r="B87" s="167"/>
      <c r="C87" s="167"/>
      <c r="D87" s="129"/>
      <c r="E87" s="167"/>
    </row>
    <row r="88" spans="1:5">
      <c r="A88" s="129"/>
      <c r="B88" s="167"/>
      <c r="C88" s="167"/>
      <c r="D88" s="129"/>
      <c r="E88" s="167"/>
    </row>
    <row r="89" spans="1:5">
      <c r="A89" s="129"/>
      <c r="B89" s="167"/>
      <c r="C89" s="167"/>
      <c r="D89" s="129"/>
      <c r="E89" s="167"/>
    </row>
    <row r="90" spans="1:5">
      <c r="A90" s="129"/>
      <c r="B90" s="167"/>
      <c r="C90" s="167"/>
      <c r="D90" s="129"/>
      <c r="E90" s="167"/>
    </row>
    <row r="91" spans="1:5">
      <c r="A91" s="129"/>
      <c r="B91" s="167"/>
      <c r="C91" s="167"/>
      <c r="D91" s="129"/>
      <c r="E91" s="167"/>
    </row>
    <row r="92" spans="1:5">
      <c r="A92" s="129"/>
      <c r="B92" s="167"/>
      <c r="C92" s="167"/>
      <c r="D92" s="129"/>
      <c r="E92" s="167"/>
    </row>
    <row r="93" spans="1:5">
      <c r="A93" s="129"/>
      <c r="B93" s="167"/>
      <c r="C93" s="167"/>
      <c r="D93" s="129"/>
      <c r="E93" s="167"/>
    </row>
    <row r="94" spans="1:5">
      <c r="A94" s="129"/>
      <c r="B94" s="167"/>
      <c r="C94" s="167"/>
      <c r="D94" s="129"/>
      <c r="E94" s="167"/>
    </row>
    <row r="95" spans="1:5">
      <c r="A95" s="129"/>
      <c r="B95" s="167"/>
      <c r="C95" s="167"/>
      <c r="D95" s="129"/>
      <c r="E95" s="167"/>
    </row>
    <row r="96" spans="1:5">
      <c r="A96" s="129"/>
      <c r="B96" s="167"/>
      <c r="C96" s="167"/>
      <c r="D96" s="129"/>
      <c r="E96" s="167"/>
    </row>
    <row r="97" spans="1:5">
      <c r="A97" s="129"/>
      <c r="B97" s="167"/>
      <c r="C97" s="167"/>
      <c r="D97" s="129"/>
      <c r="E97" s="167"/>
    </row>
    <row r="98" spans="1:5">
      <c r="A98" s="129"/>
      <c r="B98" s="167"/>
      <c r="C98" s="167"/>
      <c r="D98" s="129"/>
      <c r="E98" s="167"/>
    </row>
    <row r="99" spans="1:5">
      <c r="A99" s="129"/>
      <c r="B99" s="167"/>
      <c r="C99" s="167"/>
      <c r="D99" s="129"/>
      <c r="E99" s="167"/>
    </row>
    <row r="100" spans="1:5">
      <c r="A100" s="129"/>
      <c r="B100" s="167"/>
      <c r="C100" s="167"/>
      <c r="D100" s="129"/>
      <c r="E100" s="167"/>
    </row>
    <row r="101" spans="1:5">
      <c r="A101" s="129"/>
      <c r="B101" s="167"/>
      <c r="C101" s="167"/>
      <c r="D101" s="129"/>
      <c r="E101" s="167"/>
    </row>
    <row r="102" spans="1:5">
      <c r="A102" s="129"/>
      <c r="B102" s="167"/>
      <c r="C102" s="167"/>
      <c r="D102" s="129"/>
      <c r="E102" s="167"/>
    </row>
    <row r="103" spans="1:5">
      <c r="A103" s="129"/>
      <c r="B103" s="167"/>
      <c r="C103" s="167"/>
      <c r="D103" s="129"/>
      <c r="E103" s="167"/>
    </row>
    <row r="104" spans="1:5">
      <c r="A104" s="129"/>
      <c r="B104" s="167"/>
      <c r="C104" s="167"/>
      <c r="D104" s="129"/>
      <c r="E104" s="167"/>
    </row>
    <row r="105" spans="1:5">
      <c r="A105" s="129"/>
      <c r="B105" s="167"/>
      <c r="C105" s="167"/>
      <c r="D105" s="129"/>
      <c r="E105" s="167"/>
    </row>
    <row r="106" spans="1:5">
      <c r="A106" s="129"/>
      <c r="B106" s="167"/>
      <c r="C106" s="167"/>
      <c r="D106" s="129"/>
      <c r="E106" s="167"/>
    </row>
    <row r="107" spans="1:5">
      <c r="A107" s="129"/>
      <c r="B107" s="167"/>
      <c r="C107" s="167"/>
      <c r="D107" s="129"/>
      <c r="E107" s="167"/>
    </row>
    <row r="108" spans="1:5">
      <c r="A108" s="129"/>
      <c r="B108" s="167"/>
      <c r="C108" s="167"/>
      <c r="D108" s="129"/>
      <c r="E108" s="167"/>
    </row>
    <row r="109" spans="1:5">
      <c r="A109" s="129"/>
      <c r="B109" s="167"/>
      <c r="C109" s="167"/>
      <c r="D109" s="129"/>
      <c r="E109" s="167"/>
    </row>
    <row r="110" spans="1:5">
      <c r="A110" s="129"/>
      <c r="B110" s="167"/>
      <c r="C110" s="167"/>
      <c r="D110" s="129"/>
      <c r="E110" s="167"/>
    </row>
    <row r="111" spans="1:5">
      <c r="A111" s="129"/>
      <c r="B111" s="167"/>
      <c r="C111" s="167"/>
      <c r="D111" s="129"/>
      <c r="E111" s="167"/>
    </row>
    <row r="112" spans="1:5">
      <c r="A112" s="129"/>
      <c r="B112" s="167"/>
      <c r="C112" s="167"/>
      <c r="D112" s="129"/>
      <c r="E112" s="167"/>
    </row>
    <row r="113" spans="1:5">
      <c r="A113" s="129"/>
      <c r="B113" s="167"/>
      <c r="C113" s="167"/>
      <c r="D113" s="129"/>
      <c r="E113" s="167"/>
    </row>
    <row r="114" spans="1:5">
      <c r="A114" s="129"/>
      <c r="B114" s="167"/>
      <c r="C114" s="167"/>
      <c r="D114" s="129"/>
      <c r="E114" s="167"/>
    </row>
    <row r="115" spans="1:5">
      <c r="A115" s="129"/>
      <c r="B115" s="167"/>
      <c r="C115" s="167"/>
      <c r="D115" s="129"/>
      <c r="E115" s="167"/>
    </row>
    <row r="116" spans="1:5">
      <c r="A116" s="129"/>
      <c r="B116" s="167"/>
      <c r="C116" s="167"/>
      <c r="D116" s="129"/>
      <c r="E116" s="167"/>
    </row>
    <row r="117" spans="1:5">
      <c r="A117" s="129"/>
      <c r="B117" s="167"/>
      <c r="C117" s="167"/>
      <c r="D117" s="129"/>
      <c r="E117" s="167"/>
    </row>
    <row r="118" spans="1:5">
      <c r="A118" s="129"/>
      <c r="B118" s="167"/>
      <c r="C118" s="167"/>
      <c r="D118" s="129"/>
      <c r="E118" s="167"/>
    </row>
    <row r="119" spans="1:5">
      <c r="A119" s="129"/>
      <c r="B119" s="167"/>
      <c r="C119" s="167"/>
      <c r="D119" s="129"/>
      <c r="E119" s="167"/>
    </row>
    <row r="120" spans="1:5">
      <c r="A120" s="129"/>
      <c r="B120" s="167"/>
      <c r="C120" s="167"/>
      <c r="D120" s="129"/>
      <c r="E120" s="167"/>
    </row>
    <row r="121" spans="1:5">
      <c r="A121" s="129"/>
      <c r="B121" s="167"/>
      <c r="C121" s="167"/>
      <c r="D121" s="129"/>
      <c r="E121" s="167"/>
    </row>
    <row r="122" spans="1:5">
      <c r="A122" s="129"/>
      <c r="B122" s="167"/>
      <c r="C122" s="167"/>
      <c r="D122" s="129"/>
      <c r="E122" s="167"/>
    </row>
    <row r="123" spans="1:5">
      <c r="A123" s="129"/>
      <c r="B123" s="167"/>
      <c r="C123" s="167"/>
      <c r="D123" s="129"/>
      <c r="E123" s="167"/>
    </row>
    <row r="124" spans="1:5">
      <c r="A124" s="129"/>
      <c r="B124" s="167"/>
      <c r="C124" s="167"/>
      <c r="D124" s="129"/>
      <c r="E124" s="167"/>
    </row>
    <row r="125" spans="1:5">
      <c r="A125" s="129"/>
      <c r="B125" s="167"/>
      <c r="C125" s="167"/>
      <c r="D125" s="129"/>
      <c r="E125" s="167"/>
    </row>
    <row r="126" spans="1:5">
      <c r="A126" s="129"/>
      <c r="B126" s="167"/>
      <c r="C126" s="167"/>
      <c r="D126" s="129"/>
      <c r="E126" s="167"/>
    </row>
    <row r="127" spans="1:5">
      <c r="A127" s="129"/>
      <c r="B127" s="167"/>
      <c r="C127" s="167"/>
      <c r="D127" s="129"/>
      <c r="E127" s="167"/>
    </row>
    <row r="128" spans="1:5">
      <c r="A128" s="129"/>
      <c r="B128" s="167"/>
      <c r="C128" s="167"/>
      <c r="D128" s="129"/>
      <c r="E128" s="167"/>
    </row>
    <row r="129" spans="1:5">
      <c r="A129" s="129"/>
      <c r="B129" s="167"/>
      <c r="C129" s="167"/>
      <c r="D129" s="129"/>
      <c r="E129" s="167"/>
    </row>
    <row r="130" spans="1:5">
      <c r="A130" s="129"/>
      <c r="B130" s="167"/>
      <c r="C130" s="167"/>
      <c r="D130" s="129"/>
      <c r="E130" s="167"/>
    </row>
    <row r="131" spans="1:5">
      <c r="A131" s="129"/>
      <c r="B131" s="167"/>
      <c r="C131" s="167"/>
      <c r="D131" s="129"/>
      <c r="E131" s="167"/>
    </row>
    <row r="132" spans="1:5">
      <c r="A132" s="129"/>
      <c r="B132" s="167"/>
      <c r="C132" s="167"/>
      <c r="D132" s="129"/>
      <c r="E132" s="167"/>
    </row>
    <row r="133" spans="1:5">
      <c r="A133" s="129"/>
      <c r="B133" s="167"/>
      <c r="C133" s="167"/>
      <c r="D133" s="129"/>
      <c r="E133" s="167"/>
    </row>
    <row r="134" spans="1:5">
      <c r="A134" s="129"/>
      <c r="B134" s="167"/>
      <c r="C134" s="167"/>
      <c r="D134" s="129"/>
      <c r="E134" s="167"/>
    </row>
    <row r="135" spans="1:5">
      <c r="A135" s="129"/>
      <c r="B135" s="167"/>
      <c r="C135" s="167"/>
      <c r="D135" s="129"/>
      <c r="E135" s="167"/>
    </row>
    <row r="136" spans="1:5">
      <c r="A136" s="129"/>
      <c r="B136" s="167"/>
      <c r="C136" s="167"/>
      <c r="D136" s="129"/>
      <c r="E136" s="167"/>
    </row>
    <row r="137" spans="1:5">
      <c r="A137" s="129"/>
      <c r="B137" s="167"/>
      <c r="C137" s="167"/>
      <c r="D137" s="129"/>
      <c r="E137" s="167"/>
    </row>
    <row r="138" spans="1:5">
      <c r="A138" s="129"/>
      <c r="B138" s="167"/>
      <c r="C138" s="167"/>
      <c r="D138" s="129"/>
      <c r="E138" s="167"/>
    </row>
    <row r="139" spans="1:5">
      <c r="A139" s="129"/>
      <c r="B139" s="167"/>
      <c r="C139" s="167"/>
      <c r="D139" s="129"/>
      <c r="E139" s="167"/>
    </row>
    <row r="140" spans="1:5">
      <c r="A140" s="129"/>
      <c r="B140" s="167"/>
      <c r="C140" s="167"/>
      <c r="D140" s="129"/>
      <c r="E140" s="167"/>
    </row>
    <row r="141" spans="1:5">
      <c r="A141" s="129"/>
      <c r="B141" s="167"/>
      <c r="C141" s="167"/>
      <c r="D141" s="129"/>
      <c r="E141" s="167"/>
    </row>
    <row r="142" spans="1:5">
      <c r="A142" s="129"/>
      <c r="B142" s="167"/>
      <c r="C142" s="167"/>
      <c r="D142" s="129"/>
      <c r="E142" s="167"/>
    </row>
    <row r="143" spans="1:5">
      <c r="A143" s="129"/>
      <c r="B143" s="167"/>
      <c r="C143" s="167"/>
      <c r="D143" s="129"/>
      <c r="E143" s="167"/>
    </row>
    <row r="144" spans="1:5">
      <c r="A144" s="129"/>
      <c r="B144" s="167"/>
      <c r="C144" s="167"/>
      <c r="D144" s="129"/>
      <c r="E144" s="167"/>
    </row>
    <row r="145" spans="1:5">
      <c r="A145" s="129"/>
      <c r="B145" s="167"/>
      <c r="C145" s="167"/>
      <c r="D145" s="129"/>
      <c r="E145" s="167"/>
    </row>
    <row r="146" spans="1:5">
      <c r="A146" s="129"/>
      <c r="B146" s="167"/>
      <c r="C146" s="167"/>
      <c r="D146" s="129"/>
      <c r="E146" s="167"/>
    </row>
    <row r="147" spans="1:5">
      <c r="A147" s="129"/>
      <c r="B147" s="167"/>
      <c r="C147" s="167"/>
      <c r="D147" s="129"/>
      <c r="E147" s="167"/>
    </row>
    <row r="148" spans="1:5">
      <c r="A148" s="129"/>
      <c r="B148" s="167"/>
      <c r="C148" s="167"/>
      <c r="D148" s="129"/>
      <c r="E148" s="167"/>
    </row>
    <row r="149" spans="1:5">
      <c r="A149" s="129"/>
      <c r="B149" s="167"/>
      <c r="C149" s="167"/>
      <c r="D149" s="129"/>
      <c r="E149" s="167"/>
    </row>
    <row r="150" spans="1:5">
      <c r="A150" s="129"/>
      <c r="B150" s="167"/>
      <c r="C150" s="167"/>
      <c r="D150" s="129"/>
      <c r="E150" s="167"/>
    </row>
    <row r="151" spans="1:5">
      <c r="A151" s="129"/>
      <c r="B151" s="167"/>
      <c r="C151" s="167"/>
      <c r="D151" s="129"/>
      <c r="E151" s="167"/>
    </row>
    <row r="152" spans="1:5">
      <c r="A152" s="129"/>
      <c r="B152" s="167"/>
      <c r="C152" s="167"/>
      <c r="D152" s="129"/>
      <c r="E152" s="167"/>
    </row>
    <row r="153" spans="1:5">
      <c r="A153" s="129"/>
      <c r="B153" s="167"/>
      <c r="C153" s="167"/>
      <c r="D153" s="129"/>
      <c r="E153" s="167"/>
    </row>
    <row r="154" spans="1:5">
      <c r="A154" s="129"/>
      <c r="B154" s="167"/>
      <c r="C154" s="167"/>
      <c r="D154" s="129"/>
      <c r="E154" s="167"/>
    </row>
    <row r="155" spans="1:5">
      <c r="A155" s="129"/>
      <c r="B155" s="167"/>
      <c r="C155" s="167"/>
      <c r="D155" s="129"/>
      <c r="E155" s="167"/>
    </row>
    <row r="156" spans="1:5">
      <c r="A156" s="129"/>
      <c r="B156" s="167"/>
      <c r="C156" s="167"/>
      <c r="D156" s="129"/>
      <c r="E156" s="167"/>
    </row>
    <row r="157" spans="1:5">
      <c r="A157" s="129"/>
      <c r="B157" s="167"/>
      <c r="C157" s="167"/>
      <c r="D157" s="129"/>
      <c r="E157" s="167"/>
    </row>
    <row r="158" spans="1:5">
      <c r="A158" s="129"/>
      <c r="B158" s="167"/>
      <c r="C158" s="167"/>
      <c r="D158" s="129"/>
      <c r="E158" s="167"/>
    </row>
    <row r="159" spans="1:5">
      <c r="A159" s="129"/>
      <c r="B159" s="167"/>
      <c r="C159" s="167"/>
      <c r="D159" s="129"/>
      <c r="E159" s="167"/>
    </row>
    <row r="160" spans="1:5">
      <c r="A160" s="129"/>
      <c r="B160" s="167"/>
      <c r="C160" s="167"/>
      <c r="D160" s="129"/>
      <c r="E160" s="167"/>
    </row>
    <row r="161" spans="1:5">
      <c r="A161" s="129"/>
      <c r="B161" s="167"/>
      <c r="C161" s="167"/>
      <c r="D161" s="129"/>
      <c r="E161" s="167"/>
    </row>
    <row r="162" spans="1:5">
      <c r="A162" s="129"/>
      <c r="B162" s="167"/>
      <c r="C162" s="167"/>
      <c r="D162" s="129"/>
      <c r="E162" s="167"/>
    </row>
    <row r="163" spans="1:5">
      <c r="A163" s="129"/>
      <c r="B163" s="167"/>
      <c r="C163" s="167"/>
      <c r="D163" s="129"/>
      <c r="E163" s="167"/>
    </row>
    <row r="164" spans="1:5">
      <c r="A164" s="129"/>
      <c r="B164" s="167"/>
      <c r="C164" s="167"/>
      <c r="D164" s="129"/>
      <c r="E164" s="167"/>
    </row>
    <row r="165" spans="1:5">
      <c r="A165" s="129"/>
      <c r="B165" s="167"/>
      <c r="C165" s="167"/>
      <c r="D165" s="129"/>
      <c r="E165" s="167"/>
    </row>
    <row r="166" spans="1:5">
      <c r="A166" s="129"/>
      <c r="B166" s="167"/>
      <c r="C166" s="167"/>
      <c r="D166" s="129"/>
      <c r="E166" s="167"/>
    </row>
    <row r="167" spans="1:5">
      <c r="A167" s="129"/>
      <c r="B167" s="167"/>
      <c r="C167" s="167"/>
      <c r="D167" s="129"/>
      <c r="E167" s="167"/>
    </row>
    <row r="168" spans="1:5">
      <c r="A168" s="129"/>
      <c r="B168" s="167"/>
      <c r="C168" s="167"/>
      <c r="D168" s="129"/>
      <c r="E168" s="167"/>
    </row>
    <row r="169" spans="1:5">
      <c r="A169" s="129"/>
      <c r="B169" s="167"/>
      <c r="C169" s="167"/>
      <c r="D169" s="129"/>
      <c r="E169" s="167"/>
    </row>
    <row r="170" spans="1:5">
      <c r="A170" s="129"/>
      <c r="B170" s="167"/>
      <c r="C170" s="167"/>
      <c r="D170" s="129"/>
      <c r="E170" s="167"/>
    </row>
    <row r="171" spans="1:5">
      <c r="A171" s="129"/>
      <c r="B171" s="167"/>
      <c r="C171" s="167"/>
      <c r="D171" s="129"/>
      <c r="E171" s="167"/>
    </row>
    <row r="172" spans="1:5">
      <c r="A172" s="129"/>
      <c r="B172" s="167"/>
      <c r="C172" s="167"/>
      <c r="D172" s="129"/>
      <c r="E172" s="167"/>
    </row>
    <row r="173" spans="1:5">
      <c r="A173" s="129"/>
      <c r="B173" s="167"/>
      <c r="C173" s="167"/>
      <c r="D173" s="129"/>
      <c r="E173" s="167"/>
    </row>
    <row r="174" spans="1:5">
      <c r="A174" s="129"/>
      <c r="B174" s="167"/>
      <c r="C174" s="167"/>
      <c r="D174" s="129"/>
      <c r="E174" s="167"/>
    </row>
    <row r="175" spans="1:5">
      <c r="A175" s="129"/>
      <c r="B175" s="167"/>
      <c r="C175" s="167"/>
      <c r="D175" s="129"/>
      <c r="E175" s="167"/>
    </row>
    <row r="176" spans="1:5">
      <c r="A176" s="129"/>
      <c r="B176" s="167"/>
      <c r="C176" s="167"/>
      <c r="D176" s="129"/>
      <c r="E176" s="167"/>
    </row>
    <row r="177" spans="1:5">
      <c r="A177" s="129"/>
      <c r="B177" s="167"/>
      <c r="C177" s="167"/>
      <c r="D177" s="129"/>
      <c r="E177" s="167"/>
    </row>
    <row r="178" spans="1:5">
      <c r="A178" s="129"/>
      <c r="B178" s="167"/>
      <c r="C178" s="167"/>
      <c r="D178" s="129"/>
      <c r="E178" s="167"/>
    </row>
    <row r="179" spans="1:5">
      <c r="A179" s="129"/>
      <c r="B179" s="167"/>
      <c r="C179" s="167"/>
      <c r="D179" s="129"/>
      <c r="E179" s="167"/>
    </row>
    <row r="180" spans="1:5">
      <c r="A180" s="129"/>
      <c r="B180" s="167"/>
      <c r="C180" s="167"/>
      <c r="D180" s="129"/>
      <c r="E180" s="167"/>
    </row>
    <row r="181" spans="1:5">
      <c r="A181" s="129"/>
      <c r="B181" s="167"/>
      <c r="C181" s="167"/>
      <c r="D181" s="129"/>
      <c r="E181" s="167"/>
    </row>
    <row r="182" spans="1:5">
      <c r="A182" s="129"/>
      <c r="B182" s="167"/>
      <c r="C182" s="167"/>
      <c r="D182" s="129"/>
      <c r="E182" s="167"/>
    </row>
    <row r="183" spans="1:5">
      <c r="A183" s="129"/>
      <c r="B183" s="167"/>
      <c r="C183" s="167"/>
      <c r="D183" s="129"/>
      <c r="E183" s="167"/>
    </row>
    <row r="184" spans="1:5">
      <c r="A184" s="129"/>
      <c r="B184" s="167"/>
      <c r="C184" s="167"/>
      <c r="D184" s="129"/>
      <c r="E184" s="167"/>
    </row>
    <row r="185" spans="1:5">
      <c r="A185" s="129"/>
      <c r="B185" s="167"/>
      <c r="C185" s="167"/>
      <c r="D185" s="129"/>
      <c r="E185" s="167"/>
    </row>
    <row r="186" spans="1:5">
      <c r="A186" s="129"/>
      <c r="B186" s="167"/>
      <c r="C186" s="167"/>
      <c r="D186" s="129"/>
      <c r="E186" s="167"/>
    </row>
    <row r="187" spans="1:5">
      <c r="A187" s="129"/>
      <c r="B187" s="167"/>
      <c r="C187" s="167"/>
      <c r="D187" s="129"/>
      <c r="E187" s="167"/>
    </row>
    <row r="188" spans="1:5">
      <c r="A188" s="129"/>
      <c r="B188" s="167"/>
      <c r="C188" s="167"/>
      <c r="D188" s="129"/>
      <c r="E188" s="167"/>
    </row>
    <row r="189" spans="1:5">
      <c r="A189" s="129"/>
      <c r="B189" s="167"/>
      <c r="C189" s="167"/>
      <c r="D189" s="129"/>
      <c r="E189" s="167"/>
    </row>
    <row r="190" spans="1:5">
      <c r="A190" s="129"/>
      <c r="B190" s="167"/>
      <c r="C190" s="167"/>
      <c r="D190" s="129"/>
      <c r="E190" s="167"/>
    </row>
    <row r="191" spans="1:5">
      <c r="A191" s="129"/>
      <c r="B191" s="167"/>
      <c r="C191" s="167"/>
      <c r="D191" s="129"/>
      <c r="E191" s="167"/>
    </row>
    <row r="192" spans="1:5">
      <c r="A192" s="129"/>
      <c r="B192" s="167"/>
      <c r="C192" s="167"/>
      <c r="D192" s="129"/>
      <c r="E192" s="167"/>
    </row>
    <row r="193" spans="1:5">
      <c r="A193" s="129"/>
      <c r="B193" s="167"/>
      <c r="C193" s="167"/>
      <c r="D193" s="129"/>
      <c r="E193" s="167"/>
    </row>
    <row r="194" spans="1:5">
      <c r="A194" s="129"/>
      <c r="B194" s="167"/>
      <c r="C194" s="167"/>
      <c r="D194" s="129"/>
      <c r="E194" s="167"/>
    </row>
    <row r="195" spans="1:5">
      <c r="A195" s="129"/>
      <c r="B195" s="167"/>
      <c r="C195" s="167"/>
      <c r="D195" s="129"/>
      <c r="E195" s="167"/>
    </row>
    <row r="196" spans="1:5">
      <c r="A196" s="129"/>
      <c r="B196" s="167"/>
      <c r="C196" s="167"/>
      <c r="D196" s="129"/>
      <c r="E196" s="167"/>
    </row>
    <row r="197" spans="1:5">
      <c r="A197" s="129"/>
      <c r="B197" s="167"/>
      <c r="C197" s="167"/>
      <c r="D197" s="129"/>
      <c r="E197" s="167"/>
    </row>
    <row r="198" spans="1:5">
      <c r="A198" s="129"/>
      <c r="B198" s="167"/>
      <c r="C198" s="167"/>
      <c r="D198" s="129"/>
      <c r="E198" s="167"/>
    </row>
    <row r="199" spans="1:5">
      <c r="A199" s="129"/>
      <c r="B199" s="167"/>
      <c r="C199" s="167"/>
      <c r="D199" s="129"/>
      <c r="E199" s="167"/>
    </row>
    <row r="200" spans="1:5">
      <c r="A200" s="129"/>
      <c r="B200" s="167"/>
      <c r="C200" s="167"/>
      <c r="D200" s="129"/>
      <c r="E200" s="167"/>
    </row>
    <row r="201" spans="1:5">
      <c r="A201" s="129"/>
      <c r="B201" s="167"/>
      <c r="C201" s="167"/>
      <c r="D201" s="129"/>
      <c r="E201" s="167"/>
    </row>
    <row r="202" spans="1:5">
      <c r="A202" s="129"/>
      <c r="B202" s="167"/>
      <c r="C202" s="167"/>
      <c r="D202" s="129"/>
      <c r="E202" s="167"/>
    </row>
    <row r="203" spans="1:5">
      <c r="A203" s="129"/>
      <c r="B203" s="167"/>
      <c r="C203" s="167"/>
      <c r="D203" s="129"/>
      <c r="E203" s="167"/>
    </row>
    <row r="204" spans="1:5">
      <c r="A204" s="129"/>
      <c r="B204" s="167"/>
      <c r="C204" s="167"/>
      <c r="D204" s="129"/>
      <c r="E204" s="167"/>
    </row>
    <row r="205" spans="1:5">
      <c r="A205" s="129"/>
      <c r="B205" s="167"/>
      <c r="C205" s="167"/>
      <c r="D205" s="129"/>
      <c r="E205" s="167"/>
    </row>
    <row r="206" spans="1:5">
      <c r="A206" s="129"/>
      <c r="B206" s="167"/>
      <c r="C206" s="167"/>
      <c r="D206" s="129"/>
      <c r="E206" s="167"/>
    </row>
    <row r="207" spans="1:5">
      <c r="A207" s="129"/>
      <c r="B207" s="167"/>
      <c r="C207" s="167"/>
      <c r="D207" s="129"/>
      <c r="E207" s="167"/>
    </row>
    <row r="208" spans="1:5">
      <c r="A208" s="129"/>
      <c r="B208" s="167"/>
      <c r="C208" s="167"/>
      <c r="D208" s="129"/>
      <c r="E208" s="167"/>
    </row>
    <row r="209" spans="1:5">
      <c r="A209" s="129"/>
      <c r="B209" s="167"/>
      <c r="C209" s="167"/>
      <c r="D209" s="129"/>
      <c r="E209" s="167"/>
    </row>
    <row r="210" spans="1:5">
      <c r="A210" s="129"/>
      <c r="B210" s="167"/>
      <c r="C210" s="167"/>
      <c r="D210" s="129"/>
      <c r="E210" s="167"/>
    </row>
    <row r="211" spans="1:5">
      <c r="A211" s="129"/>
      <c r="B211" s="167"/>
      <c r="C211" s="167"/>
      <c r="D211" s="129"/>
      <c r="E211" s="167"/>
    </row>
    <row r="212" spans="1:5">
      <c r="A212" s="129"/>
      <c r="B212" s="167"/>
      <c r="C212" s="167"/>
      <c r="D212" s="129"/>
      <c r="E212" s="167"/>
    </row>
    <row r="213" spans="1:5">
      <c r="A213" s="129"/>
      <c r="B213" s="167"/>
      <c r="C213" s="167"/>
      <c r="D213" s="129"/>
      <c r="E213" s="167"/>
    </row>
    <row r="214" spans="1:5">
      <c r="A214" s="129"/>
      <c r="B214" s="167"/>
      <c r="C214" s="167"/>
      <c r="D214" s="129"/>
      <c r="E214" s="167"/>
    </row>
    <row r="215" spans="1:5">
      <c r="A215" s="129"/>
      <c r="B215" s="167"/>
      <c r="C215" s="167"/>
      <c r="D215" s="129"/>
      <c r="E215" s="167"/>
    </row>
    <row r="216" spans="1:5">
      <c r="A216" s="129"/>
      <c r="B216" s="167"/>
      <c r="C216" s="167"/>
      <c r="D216" s="129"/>
      <c r="E216" s="167"/>
    </row>
    <row r="217" spans="1:5">
      <c r="A217" s="129"/>
      <c r="B217" s="167"/>
      <c r="C217" s="167"/>
      <c r="D217" s="129"/>
      <c r="E217" s="167"/>
    </row>
    <row r="218" spans="1:5">
      <c r="A218" s="129"/>
      <c r="B218" s="167"/>
      <c r="C218" s="167"/>
      <c r="D218" s="129"/>
      <c r="E218" s="167"/>
    </row>
    <row r="219" spans="1:5">
      <c r="A219" s="129"/>
      <c r="B219" s="167"/>
      <c r="C219" s="167"/>
      <c r="D219" s="129"/>
      <c r="E219" s="167"/>
    </row>
    <row r="220" spans="1:5">
      <c r="A220" s="129"/>
      <c r="B220" s="167"/>
      <c r="C220" s="167"/>
      <c r="D220" s="129"/>
      <c r="E220" s="167"/>
    </row>
    <row r="221" spans="1:5">
      <c r="A221" s="129"/>
      <c r="B221" s="167"/>
      <c r="C221" s="167"/>
      <c r="D221" s="129"/>
      <c r="E221" s="167"/>
    </row>
    <row r="222" spans="1:5">
      <c r="A222" s="129"/>
      <c r="B222" s="167"/>
      <c r="C222" s="167"/>
      <c r="D222" s="129"/>
      <c r="E222" s="167"/>
    </row>
    <row r="223" spans="1:5">
      <c r="A223" s="129"/>
      <c r="B223" s="167"/>
      <c r="C223" s="167"/>
      <c r="D223" s="129"/>
      <c r="E223" s="167"/>
    </row>
    <row r="224" spans="1:5">
      <c r="A224" s="129"/>
      <c r="B224" s="167"/>
      <c r="C224" s="167"/>
      <c r="D224" s="129"/>
      <c r="E224" s="167"/>
    </row>
    <row r="225" spans="1:5">
      <c r="A225" s="129"/>
      <c r="B225" s="167"/>
      <c r="C225" s="167"/>
      <c r="D225" s="129"/>
      <c r="E225" s="167"/>
    </row>
    <row r="226" spans="1:5">
      <c r="A226" s="129"/>
      <c r="B226" s="167"/>
      <c r="C226" s="167"/>
      <c r="D226" s="129"/>
      <c r="E226" s="167"/>
    </row>
    <row r="227" spans="1:5">
      <c r="A227" s="129"/>
      <c r="B227" s="167"/>
      <c r="C227" s="167"/>
      <c r="D227" s="129"/>
      <c r="E227" s="167"/>
    </row>
    <row r="228" spans="1:5">
      <c r="A228" s="129"/>
      <c r="B228" s="167"/>
      <c r="C228" s="167"/>
      <c r="D228" s="129"/>
      <c r="E228" s="167"/>
    </row>
    <row r="229" spans="1:5">
      <c r="A229" s="129"/>
      <c r="B229" s="167"/>
      <c r="C229" s="167"/>
      <c r="D229" s="129"/>
      <c r="E229" s="167"/>
    </row>
    <row r="230" spans="1:5">
      <c r="A230" s="129"/>
      <c r="B230" s="167"/>
      <c r="C230" s="167"/>
      <c r="D230" s="129"/>
      <c r="E230" s="167"/>
    </row>
    <row r="231" spans="1:5">
      <c r="A231" s="129"/>
      <c r="B231" s="167"/>
      <c r="C231" s="167"/>
      <c r="D231" s="129"/>
      <c r="E231" s="167"/>
    </row>
    <row r="232" spans="1:5">
      <c r="A232" s="129"/>
      <c r="B232" s="167"/>
      <c r="C232" s="167"/>
      <c r="D232" s="129"/>
      <c r="E232" s="167"/>
    </row>
    <row r="233" spans="1:5">
      <c r="A233" s="129"/>
      <c r="B233" s="167"/>
      <c r="C233" s="167"/>
      <c r="D233" s="129"/>
      <c r="E233" s="167"/>
    </row>
    <row r="234" spans="1:5">
      <c r="A234" s="129"/>
      <c r="B234" s="167"/>
      <c r="C234" s="167"/>
      <c r="D234" s="129"/>
      <c r="E234" s="167"/>
    </row>
    <row r="235" spans="1:5">
      <c r="A235" s="129"/>
      <c r="B235" s="167"/>
      <c r="C235" s="167"/>
      <c r="D235" s="129"/>
      <c r="E235" s="167"/>
    </row>
    <row r="236" spans="1:5">
      <c r="A236" s="129"/>
      <c r="B236" s="167"/>
      <c r="C236" s="167"/>
      <c r="D236" s="129"/>
      <c r="E236" s="167"/>
    </row>
    <row r="237" spans="1:5">
      <c r="A237" s="129"/>
      <c r="B237" s="167"/>
      <c r="C237" s="167"/>
      <c r="D237" s="129"/>
      <c r="E237" s="167"/>
    </row>
    <row r="238" spans="1:5">
      <c r="A238" s="129"/>
      <c r="B238" s="167"/>
      <c r="C238" s="167"/>
      <c r="D238" s="129"/>
      <c r="E238" s="167"/>
    </row>
    <row r="239" spans="1:5">
      <c r="A239" s="129"/>
      <c r="B239" s="167"/>
      <c r="C239" s="167"/>
      <c r="D239" s="129"/>
      <c r="E239" s="167"/>
    </row>
    <row r="240" spans="1:5">
      <c r="A240" s="129"/>
      <c r="B240" s="167"/>
      <c r="C240" s="167"/>
      <c r="D240" s="129"/>
      <c r="E240" s="167"/>
    </row>
    <row r="241" spans="1:5">
      <c r="A241" s="129"/>
      <c r="B241" s="167"/>
      <c r="C241" s="167"/>
      <c r="D241" s="129"/>
      <c r="E241" s="167"/>
    </row>
    <row r="242" spans="1:5">
      <c r="A242" s="129"/>
      <c r="B242" s="167"/>
      <c r="C242" s="167"/>
      <c r="D242" s="129"/>
      <c r="E242" s="167"/>
    </row>
    <row r="243" spans="1:5">
      <c r="A243" s="129"/>
      <c r="B243" s="167"/>
      <c r="C243" s="167"/>
      <c r="D243" s="129"/>
      <c r="E243" s="167"/>
    </row>
    <row r="244" spans="1:5">
      <c r="A244" s="129"/>
      <c r="B244" s="167"/>
      <c r="C244" s="167"/>
      <c r="D244" s="129"/>
      <c r="E244" s="167"/>
    </row>
    <row r="245" spans="1:5">
      <c r="A245" s="129"/>
      <c r="B245" s="167"/>
      <c r="C245" s="167"/>
      <c r="D245" s="129"/>
      <c r="E245" s="167"/>
    </row>
    <row r="246" spans="1:5">
      <c r="A246" s="129"/>
      <c r="B246" s="167"/>
      <c r="C246" s="167"/>
      <c r="D246" s="129"/>
      <c r="E246" s="167"/>
    </row>
    <row r="247" spans="1:5">
      <c r="A247" s="129"/>
      <c r="B247" s="167"/>
      <c r="C247" s="167"/>
      <c r="D247" s="129"/>
      <c r="E247" s="167"/>
    </row>
    <row r="248" spans="1:5">
      <c r="A248" s="129"/>
      <c r="B248" s="167"/>
      <c r="C248" s="167"/>
      <c r="D248" s="129"/>
      <c r="E248" s="167"/>
    </row>
    <row r="249" spans="1:5">
      <c r="A249" s="129"/>
      <c r="B249" s="167"/>
      <c r="C249" s="167"/>
      <c r="D249" s="129"/>
      <c r="E249" s="167"/>
    </row>
    <row r="250" spans="1:5">
      <c r="A250" s="129"/>
      <c r="B250" s="167"/>
      <c r="C250" s="167"/>
      <c r="D250" s="129"/>
      <c r="E250" s="167"/>
    </row>
    <row r="251" spans="1:5">
      <c r="A251" s="129"/>
      <c r="B251" s="167"/>
      <c r="C251" s="167"/>
      <c r="D251" s="129"/>
      <c r="E251" s="167"/>
    </row>
    <row r="252" spans="1:5">
      <c r="A252" s="129"/>
      <c r="B252" s="167"/>
      <c r="C252" s="167"/>
      <c r="D252" s="129"/>
      <c r="E252" s="167"/>
    </row>
    <row r="253" spans="1:5">
      <c r="A253" s="129"/>
      <c r="B253" s="167"/>
      <c r="C253" s="167"/>
      <c r="D253" s="129"/>
      <c r="E253" s="167"/>
    </row>
    <row r="254" spans="1:5">
      <c r="A254" s="129"/>
      <c r="B254" s="167"/>
      <c r="C254" s="167"/>
      <c r="D254" s="129"/>
      <c r="E254" s="167"/>
    </row>
    <row r="255" spans="1:5">
      <c r="A255" s="129"/>
      <c r="B255" s="167"/>
      <c r="C255" s="167"/>
      <c r="D255" s="129"/>
      <c r="E255" s="167"/>
    </row>
    <row r="256" spans="1:5">
      <c r="A256" s="129"/>
      <c r="B256" s="167"/>
      <c r="C256" s="167"/>
      <c r="D256" s="129"/>
      <c r="E256" s="167"/>
    </row>
    <row r="257" spans="1:5">
      <c r="A257" s="129"/>
      <c r="B257" s="167"/>
      <c r="C257" s="167"/>
      <c r="D257" s="129"/>
      <c r="E257" s="167"/>
    </row>
    <row r="258" spans="1:5">
      <c r="A258" s="129"/>
      <c r="B258" s="167"/>
      <c r="C258" s="167"/>
      <c r="D258" s="129"/>
      <c r="E258" s="167"/>
    </row>
    <row r="259" spans="1:5">
      <c r="A259" s="129"/>
      <c r="B259" s="167"/>
      <c r="C259" s="167"/>
      <c r="D259" s="129"/>
      <c r="E259" s="167"/>
    </row>
    <row r="260" spans="1:5">
      <c r="A260" s="129"/>
      <c r="B260" s="167"/>
      <c r="C260" s="167"/>
      <c r="D260" s="129"/>
      <c r="E260" s="167"/>
    </row>
    <row r="261" spans="1:5">
      <c r="A261" s="129"/>
      <c r="B261" s="167"/>
      <c r="C261" s="167"/>
      <c r="D261" s="129"/>
      <c r="E261" s="167"/>
    </row>
    <row r="262" spans="1:5">
      <c r="A262" s="129"/>
      <c r="B262" s="167"/>
      <c r="C262" s="167"/>
      <c r="D262" s="129"/>
      <c r="E262" s="167"/>
    </row>
    <row r="263" spans="1:5">
      <c r="A263" s="129"/>
      <c r="B263" s="167"/>
      <c r="C263" s="167"/>
      <c r="D263" s="129"/>
      <c r="E263" s="167"/>
    </row>
    <row r="264" spans="1:5">
      <c r="A264" s="129"/>
      <c r="B264" s="167"/>
      <c r="C264" s="167"/>
      <c r="D264" s="129"/>
      <c r="E264" s="167"/>
    </row>
    <row r="265" spans="1:5">
      <c r="A265" s="129"/>
      <c r="B265" s="167"/>
      <c r="C265" s="167"/>
      <c r="D265" s="129"/>
      <c r="E265" s="167"/>
    </row>
    <row r="266" spans="1:5">
      <c r="A266" s="129"/>
      <c r="B266" s="167"/>
      <c r="C266" s="167"/>
      <c r="D266" s="129"/>
      <c r="E266" s="167"/>
    </row>
    <row r="267" spans="1:5">
      <c r="A267" s="129"/>
      <c r="B267" s="167"/>
      <c r="C267" s="167"/>
      <c r="D267" s="129"/>
      <c r="E267" s="167"/>
    </row>
    <row r="268" spans="1:5">
      <c r="A268" s="129"/>
      <c r="B268" s="167"/>
      <c r="C268" s="167"/>
      <c r="D268" s="129"/>
      <c r="E268" s="167"/>
    </row>
    <row r="269" spans="1:5">
      <c r="A269" s="129"/>
      <c r="B269" s="167"/>
      <c r="C269" s="167"/>
      <c r="D269" s="129"/>
      <c r="E269" s="167"/>
    </row>
    <row r="270" spans="1:5">
      <c r="A270" s="129"/>
      <c r="B270" s="167"/>
      <c r="C270" s="167"/>
      <c r="D270" s="129"/>
      <c r="E270" s="167"/>
    </row>
    <row r="271" spans="1:5">
      <c r="A271" s="129"/>
      <c r="B271" s="167"/>
      <c r="C271" s="167"/>
      <c r="D271" s="129"/>
      <c r="E271" s="167"/>
    </row>
    <row r="272" spans="1:5">
      <c r="A272" s="129"/>
      <c r="B272" s="167"/>
      <c r="C272" s="167"/>
      <c r="D272" s="129"/>
      <c r="E272" s="167"/>
    </row>
    <row r="273" spans="1:5">
      <c r="A273" s="129"/>
      <c r="B273" s="167"/>
      <c r="C273" s="167"/>
      <c r="D273" s="129"/>
      <c r="E273" s="167"/>
    </row>
    <row r="274" spans="1:5">
      <c r="A274" s="129"/>
      <c r="B274" s="167"/>
      <c r="C274" s="167"/>
      <c r="D274" s="129"/>
      <c r="E274" s="167"/>
    </row>
    <row r="275" spans="1:5">
      <c r="A275" s="129"/>
      <c r="B275" s="167"/>
      <c r="C275" s="167"/>
      <c r="D275" s="129"/>
      <c r="E275" s="167"/>
    </row>
    <row r="276" spans="1:5">
      <c r="A276" s="129"/>
      <c r="B276" s="167"/>
      <c r="C276" s="167"/>
      <c r="D276" s="129"/>
      <c r="E276" s="167"/>
    </row>
    <row r="277" spans="1:5">
      <c r="A277" s="129"/>
      <c r="B277" s="167"/>
      <c r="C277" s="167"/>
      <c r="D277" s="129"/>
      <c r="E277" s="167"/>
    </row>
    <row r="278" spans="1:5">
      <c r="A278" s="129"/>
      <c r="B278" s="167"/>
      <c r="C278" s="167"/>
      <c r="D278" s="129"/>
      <c r="E278" s="167"/>
    </row>
    <row r="279" spans="1:5">
      <c r="A279" s="129"/>
      <c r="B279" s="167"/>
      <c r="C279" s="167"/>
      <c r="D279" s="129"/>
      <c r="E279" s="167"/>
    </row>
    <row r="280" spans="1:5">
      <c r="A280" s="129"/>
      <c r="B280" s="167"/>
      <c r="C280" s="167"/>
      <c r="D280" s="129"/>
      <c r="E280" s="167"/>
    </row>
    <row r="281" spans="1:5">
      <c r="A281" s="129"/>
      <c r="B281" s="167"/>
      <c r="C281" s="167"/>
      <c r="D281" s="129"/>
      <c r="E281" s="167"/>
    </row>
    <row r="282" spans="1:5">
      <c r="A282" s="129"/>
      <c r="B282" s="167"/>
      <c r="C282" s="167"/>
      <c r="D282" s="129"/>
      <c r="E282" s="167"/>
    </row>
    <row r="283" spans="1:5">
      <c r="A283" s="129"/>
      <c r="B283" s="167"/>
      <c r="C283" s="167"/>
      <c r="D283" s="129"/>
      <c r="E283" s="167"/>
    </row>
    <row r="284" spans="1:5">
      <c r="A284" s="129"/>
      <c r="B284" s="167"/>
      <c r="C284" s="167"/>
      <c r="D284" s="129"/>
      <c r="E284" s="167"/>
    </row>
    <row r="285" spans="1:5">
      <c r="A285" s="129"/>
      <c r="B285" s="167"/>
      <c r="C285" s="167"/>
      <c r="D285" s="129"/>
      <c r="E285" s="167"/>
    </row>
    <row r="286" spans="1:5">
      <c r="A286" s="129"/>
      <c r="B286" s="167"/>
      <c r="C286" s="167"/>
      <c r="D286" s="129"/>
      <c r="E286" s="167"/>
    </row>
    <row r="287" spans="1:5">
      <c r="A287" s="129"/>
      <c r="B287" s="167"/>
      <c r="C287" s="167"/>
      <c r="D287" s="129"/>
      <c r="E287" s="167"/>
    </row>
    <row r="288" spans="1:5">
      <c r="A288" s="129"/>
      <c r="B288" s="167"/>
      <c r="C288" s="167"/>
      <c r="D288" s="129"/>
      <c r="E288" s="167"/>
    </row>
    <row r="289" spans="1:5">
      <c r="A289" s="129"/>
      <c r="B289" s="167"/>
      <c r="C289" s="167"/>
      <c r="D289" s="129"/>
      <c r="E289" s="167"/>
    </row>
    <row r="290" spans="1:5">
      <c r="A290" s="129"/>
      <c r="B290" s="167"/>
      <c r="C290" s="167"/>
      <c r="D290" s="129"/>
      <c r="E290" s="167"/>
    </row>
    <row r="291" spans="1:5">
      <c r="A291" s="129"/>
      <c r="B291" s="167"/>
      <c r="C291" s="167"/>
      <c r="D291" s="129"/>
      <c r="E291" s="167"/>
    </row>
    <row r="292" spans="1:5">
      <c r="A292" s="129"/>
      <c r="B292" s="167"/>
      <c r="C292" s="167"/>
      <c r="D292" s="129"/>
      <c r="E292" s="167"/>
    </row>
    <row r="293" spans="1:5">
      <c r="A293" s="129"/>
      <c r="B293" s="167"/>
      <c r="C293" s="167"/>
      <c r="D293" s="129"/>
      <c r="E293" s="167"/>
    </row>
    <row r="294" spans="1:5">
      <c r="A294" s="129"/>
      <c r="B294" s="167"/>
      <c r="C294" s="167"/>
      <c r="D294" s="129"/>
      <c r="E294" s="167"/>
    </row>
    <row r="295" spans="1:5">
      <c r="A295" s="129"/>
      <c r="B295" s="167"/>
      <c r="C295" s="167"/>
      <c r="D295" s="129"/>
      <c r="E295" s="167"/>
    </row>
    <row r="296" spans="1:5">
      <c r="A296" s="129"/>
      <c r="B296" s="167"/>
      <c r="C296" s="167"/>
      <c r="D296" s="129"/>
      <c r="E296" s="167"/>
    </row>
    <row r="297" spans="1:5">
      <c r="A297" s="129"/>
      <c r="B297" s="167"/>
      <c r="C297" s="167"/>
      <c r="D297" s="129"/>
      <c r="E297" s="167"/>
    </row>
    <row r="298" spans="1:5">
      <c r="A298" s="129"/>
      <c r="B298" s="167"/>
      <c r="C298" s="167"/>
      <c r="D298" s="129"/>
      <c r="E298" s="167"/>
    </row>
    <row r="299" spans="1:5">
      <c r="A299" s="129"/>
      <c r="B299" s="167"/>
      <c r="C299" s="167"/>
      <c r="D299" s="129"/>
      <c r="E299" s="167"/>
    </row>
    <row r="300" spans="1:5">
      <c r="A300" s="129"/>
      <c r="B300" s="167"/>
      <c r="C300" s="167"/>
      <c r="D300" s="129"/>
      <c r="E300" s="167"/>
    </row>
    <row r="301" spans="1:5">
      <c r="A301" s="129"/>
      <c r="B301" s="167"/>
      <c r="C301" s="167"/>
      <c r="D301" s="129"/>
      <c r="E301" s="167"/>
    </row>
    <row r="302" spans="1:5">
      <c r="A302" s="129"/>
      <c r="B302" s="167"/>
      <c r="C302" s="167"/>
      <c r="D302" s="129"/>
      <c r="E302" s="167"/>
    </row>
    <row r="303" spans="1:5">
      <c r="A303" s="129"/>
      <c r="B303" s="167"/>
      <c r="C303" s="167"/>
      <c r="D303" s="129"/>
      <c r="E303" s="167"/>
    </row>
    <row r="304" spans="1:5">
      <c r="A304" s="129"/>
      <c r="B304" s="167"/>
      <c r="C304" s="167"/>
      <c r="D304" s="129"/>
      <c r="E304" s="167"/>
    </row>
    <row r="305" spans="1:5">
      <c r="A305" s="129"/>
      <c r="B305" s="167"/>
      <c r="C305" s="167"/>
      <c r="D305" s="129"/>
      <c r="E305" s="167"/>
    </row>
    <row r="306" spans="1:5">
      <c r="A306" s="129"/>
      <c r="B306" s="167"/>
      <c r="C306" s="167"/>
      <c r="D306" s="129"/>
      <c r="E306" s="167"/>
    </row>
    <row r="307" spans="1:5">
      <c r="A307" s="129"/>
      <c r="B307" s="167"/>
      <c r="C307" s="167"/>
      <c r="D307" s="129"/>
      <c r="E307" s="167"/>
    </row>
    <row r="308" spans="1:5">
      <c r="A308" s="129"/>
      <c r="B308" s="167"/>
      <c r="C308" s="167"/>
      <c r="D308" s="129"/>
      <c r="E308" s="167"/>
    </row>
    <row r="309" spans="1:5">
      <c r="A309" s="129"/>
      <c r="B309" s="167"/>
      <c r="C309" s="167"/>
      <c r="D309" s="129"/>
      <c r="E309" s="167"/>
    </row>
    <row r="310" spans="1:5">
      <c r="A310" s="129"/>
      <c r="B310" s="167"/>
      <c r="C310" s="167"/>
      <c r="D310" s="129"/>
      <c r="E310" s="167"/>
    </row>
    <row r="311" spans="1:5">
      <c r="A311" s="129"/>
      <c r="B311" s="167"/>
      <c r="C311" s="167"/>
      <c r="D311" s="129"/>
      <c r="E311" s="167"/>
    </row>
    <row r="312" spans="1:5">
      <c r="A312" s="129"/>
      <c r="B312" s="167"/>
      <c r="C312" s="167"/>
      <c r="D312" s="129"/>
      <c r="E312" s="167"/>
    </row>
    <row r="313" spans="1:5">
      <c r="A313" s="129"/>
      <c r="B313" s="167"/>
      <c r="C313" s="167"/>
      <c r="D313" s="129"/>
      <c r="E313" s="167"/>
    </row>
    <row r="314" spans="1:5">
      <c r="A314" s="129"/>
      <c r="B314" s="167"/>
      <c r="C314" s="167"/>
      <c r="D314" s="129"/>
      <c r="E314" s="167"/>
    </row>
    <row r="315" spans="1:5">
      <c r="A315" s="129"/>
      <c r="B315" s="167"/>
      <c r="C315" s="167"/>
      <c r="D315" s="129"/>
      <c r="E315" s="167"/>
    </row>
    <row r="316" spans="1:5">
      <c r="A316" s="129"/>
      <c r="B316" s="167"/>
      <c r="C316" s="167"/>
      <c r="D316" s="129"/>
      <c r="E316" s="167"/>
    </row>
    <row r="317" spans="1:5">
      <c r="A317" s="129"/>
      <c r="B317" s="167"/>
      <c r="C317" s="167"/>
      <c r="D317" s="129"/>
      <c r="E317" s="167"/>
    </row>
    <row r="318" spans="1:5">
      <c r="A318" s="129"/>
      <c r="B318" s="167"/>
      <c r="C318" s="167"/>
      <c r="D318" s="129"/>
      <c r="E318" s="167"/>
    </row>
    <row r="319" spans="1:5">
      <c r="A319" s="129"/>
      <c r="B319" s="167"/>
      <c r="C319" s="167"/>
      <c r="D319" s="129"/>
      <c r="E319" s="167"/>
    </row>
    <row r="320" spans="1:5">
      <c r="A320" s="129"/>
      <c r="B320" s="167"/>
      <c r="C320" s="167"/>
      <c r="D320" s="129"/>
      <c r="E320" s="167"/>
    </row>
    <row r="321" spans="1:5">
      <c r="A321" s="129"/>
      <c r="B321" s="167"/>
      <c r="C321" s="167"/>
      <c r="D321" s="129"/>
      <c r="E321" s="167"/>
    </row>
    <row r="322" spans="1:5">
      <c r="A322" s="129"/>
      <c r="B322" s="167"/>
      <c r="C322" s="167"/>
      <c r="D322" s="129"/>
      <c r="E322" s="167"/>
    </row>
    <row r="323" spans="1:5">
      <c r="A323" s="129"/>
      <c r="B323" s="167"/>
      <c r="C323" s="167"/>
      <c r="D323" s="129"/>
      <c r="E323" s="167"/>
    </row>
    <row r="324" spans="1:5">
      <c r="A324" s="129"/>
      <c r="B324" s="167"/>
      <c r="C324" s="167"/>
      <c r="D324" s="129"/>
      <c r="E324" s="167"/>
    </row>
    <row r="325" spans="1:5">
      <c r="A325" s="129"/>
      <c r="B325" s="167"/>
      <c r="C325" s="167"/>
      <c r="D325" s="129"/>
      <c r="E325" s="167"/>
    </row>
    <row r="326" spans="1:5">
      <c r="A326" s="129"/>
      <c r="B326" s="167"/>
      <c r="C326" s="167"/>
      <c r="D326" s="129"/>
      <c r="E326" s="167"/>
    </row>
    <row r="327" spans="1:5">
      <c r="A327" s="129"/>
      <c r="B327" s="167"/>
      <c r="C327" s="167"/>
      <c r="D327" s="129"/>
      <c r="E327" s="167"/>
    </row>
    <row r="328" spans="1:5">
      <c r="A328" s="129"/>
      <c r="B328" s="167"/>
      <c r="C328" s="167"/>
      <c r="D328" s="129"/>
      <c r="E328" s="167"/>
    </row>
    <row r="329" spans="1:5">
      <c r="A329" s="129"/>
      <c r="B329" s="167"/>
      <c r="C329" s="167"/>
      <c r="D329" s="129"/>
      <c r="E329" s="167"/>
    </row>
    <row r="330" spans="1:5">
      <c r="A330" s="129"/>
      <c r="B330" s="167"/>
      <c r="C330" s="167"/>
      <c r="D330" s="129"/>
      <c r="E330" s="167"/>
    </row>
    <row r="331" spans="1:5">
      <c r="A331" s="129"/>
      <c r="B331" s="167"/>
      <c r="C331" s="167"/>
      <c r="D331" s="129"/>
      <c r="E331" s="167"/>
    </row>
    <row r="332" spans="1:5">
      <c r="A332" s="129"/>
      <c r="B332" s="167"/>
      <c r="C332" s="167"/>
      <c r="D332" s="129"/>
      <c r="E332" s="167"/>
    </row>
    <row r="333" spans="1:5">
      <c r="A333" s="129"/>
      <c r="B333" s="167"/>
      <c r="C333" s="167"/>
      <c r="D333" s="129"/>
      <c r="E333" s="167"/>
    </row>
    <row r="334" spans="1:5">
      <c r="A334" s="129"/>
      <c r="B334" s="167"/>
      <c r="C334" s="167"/>
      <c r="D334" s="129"/>
      <c r="E334" s="167"/>
    </row>
    <row r="335" spans="1:5">
      <c r="A335" s="129"/>
      <c r="B335" s="167"/>
      <c r="C335" s="167"/>
      <c r="D335" s="129"/>
      <c r="E335" s="167"/>
    </row>
    <row r="336" spans="1:5">
      <c r="A336" s="129"/>
      <c r="B336" s="167"/>
      <c r="C336" s="167"/>
      <c r="D336" s="129"/>
      <c r="E336" s="167"/>
    </row>
    <row r="337" spans="1:5">
      <c r="A337" s="129"/>
      <c r="B337" s="167"/>
      <c r="C337" s="167"/>
      <c r="D337" s="129"/>
      <c r="E337" s="167"/>
    </row>
    <row r="338" spans="1:5">
      <c r="A338" s="129"/>
      <c r="B338" s="167"/>
      <c r="C338" s="167"/>
      <c r="D338" s="129"/>
      <c r="E338" s="167"/>
    </row>
    <row r="339" spans="1:5">
      <c r="A339" s="129"/>
      <c r="B339" s="167"/>
      <c r="C339" s="167"/>
      <c r="D339" s="129"/>
      <c r="E339" s="167"/>
    </row>
    <row r="340" spans="1:5">
      <c r="A340" s="129"/>
      <c r="B340" s="167"/>
      <c r="C340" s="167"/>
      <c r="D340" s="129"/>
      <c r="E340" s="167"/>
    </row>
    <row r="341" spans="1:5">
      <c r="A341" s="129"/>
      <c r="B341" s="167"/>
      <c r="C341" s="167"/>
      <c r="D341" s="129"/>
      <c r="E341" s="167"/>
    </row>
    <row r="342" spans="1:5">
      <c r="A342" s="129"/>
      <c r="B342" s="167"/>
      <c r="C342" s="167"/>
      <c r="D342" s="129"/>
      <c r="E342" s="167"/>
    </row>
    <row r="343" spans="1:5">
      <c r="A343" s="129"/>
      <c r="B343" s="167"/>
      <c r="C343" s="167"/>
      <c r="D343" s="129"/>
      <c r="E343" s="167"/>
    </row>
    <row r="344" spans="1:5">
      <c r="A344" s="129"/>
      <c r="B344" s="167"/>
      <c r="C344" s="167"/>
      <c r="D344" s="129"/>
      <c r="E344" s="167"/>
    </row>
    <row r="345" spans="1:5">
      <c r="A345" s="129"/>
      <c r="B345" s="167"/>
      <c r="C345" s="167"/>
      <c r="D345" s="129"/>
      <c r="E345" s="167"/>
    </row>
    <row r="346" spans="1:5">
      <c r="A346" s="129"/>
      <c r="B346" s="167"/>
      <c r="C346" s="167"/>
      <c r="D346" s="129"/>
      <c r="E346" s="167"/>
    </row>
    <row r="347" spans="1:5">
      <c r="A347" s="129"/>
      <c r="B347" s="167"/>
      <c r="C347" s="167"/>
      <c r="D347" s="129"/>
      <c r="E347" s="167"/>
    </row>
    <row r="348" spans="1:5">
      <c r="A348" s="129"/>
      <c r="B348" s="167"/>
      <c r="C348" s="167"/>
      <c r="D348" s="129"/>
      <c r="E348" s="167"/>
    </row>
    <row r="349" spans="1:5">
      <c r="A349" s="129"/>
      <c r="B349" s="167"/>
      <c r="C349" s="167"/>
      <c r="D349" s="129"/>
      <c r="E349" s="167"/>
    </row>
    <row r="350" spans="1:5">
      <c r="A350" s="129"/>
      <c r="B350" s="167"/>
      <c r="C350" s="167"/>
      <c r="D350" s="129"/>
      <c r="E350" s="167"/>
    </row>
    <row r="351" spans="1:5">
      <c r="A351" s="129"/>
      <c r="B351" s="167"/>
      <c r="C351" s="167"/>
      <c r="D351" s="129"/>
      <c r="E351" s="167"/>
    </row>
    <row r="352" spans="1:5">
      <c r="A352" s="129"/>
      <c r="B352" s="167"/>
      <c r="C352" s="167"/>
      <c r="D352" s="129"/>
      <c r="E352" s="167"/>
    </row>
    <row r="353" spans="1:5">
      <c r="A353" s="129"/>
      <c r="B353" s="167"/>
      <c r="C353" s="167"/>
      <c r="D353" s="129"/>
      <c r="E353" s="167"/>
    </row>
    <row r="354" spans="1:5">
      <c r="A354" s="129"/>
      <c r="B354" s="167"/>
      <c r="C354" s="167"/>
      <c r="D354" s="129"/>
      <c r="E354" s="167"/>
    </row>
    <row r="355" spans="1:5">
      <c r="A355" s="129"/>
      <c r="B355" s="167"/>
      <c r="C355" s="167"/>
      <c r="D355" s="129"/>
      <c r="E355" s="167"/>
    </row>
    <row r="356" spans="1:5">
      <c r="A356" s="129"/>
      <c r="B356" s="167"/>
      <c r="C356" s="167"/>
      <c r="D356" s="129"/>
      <c r="E356" s="167"/>
    </row>
    <row r="357" spans="1:5">
      <c r="A357" s="129"/>
      <c r="B357" s="167"/>
      <c r="C357" s="167"/>
      <c r="D357" s="129"/>
      <c r="E357" s="167"/>
    </row>
    <row r="358" spans="1:5">
      <c r="A358" s="129"/>
      <c r="B358" s="167"/>
      <c r="C358" s="167"/>
      <c r="D358" s="129"/>
      <c r="E358" s="167"/>
    </row>
    <row r="359" spans="1:5">
      <c r="A359" s="129"/>
      <c r="B359" s="167"/>
      <c r="C359" s="167"/>
      <c r="D359" s="129"/>
      <c r="E359" s="167"/>
    </row>
    <row r="360" spans="1:5">
      <c r="A360" s="129"/>
      <c r="B360" s="167"/>
      <c r="C360" s="167"/>
      <c r="D360" s="129"/>
      <c r="E360" s="167"/>
    </row>
    <row r="361" spans="1:5">
      <c r="A361" s="130"/>
      <c r="B361" s="167"/>
      <c r="C361" s="167"/>
      <c r="D361" s="129"/>
      <c r="E361" s="167"/>
    </row>
    <row r="362" spans="1:5">
      <c r="A362" s="130"/>
      <c r="B362" s="167"/>
      <c r="C362" s="167"/>
      <c r="D362" s="129"/>
      <c r="E362" s="167"/>
    </row>
    <row r="363" spans="1:5">
      <c r="A363" s="130"/>
      <c r="B363" s="167"/>
      <c r="C363" s="167"/>
      <c r="D363" s="129"/>
      <c r="E363" s="167"/>
    </row>
    <row r="364" spans="1:5">
      <c r="A364" s="130"/>
      <c r="B364" s="167"/>
      <c r="C364" s="167"/>
      <c r="D364" s="129"/>
      <c r="E364" s="167"/>
    </row>
    <row r="365" spans="1:5">
      <c r="A365" s="130"/>
      <c r="B365" s="167"/>
      <c r="C365" s="167"/>
      <c r="D365" s="129"/>
      <c r="E365" s="167"/>
    </row>
    <row r="366" spans="1:5">
      <c r="A366" s="130"/>
      <c r="B366" s="167"/>
      <c r="C366" s="167"/>
      <c r="D366" s="129"/>
      <c r="E366" s="167"/>
    </row>
    <row r="367" spans="1:5">
      <c r="A367" s="130"/>
      <c r="B367" s="167"/>
      <c r="C367" s="167"/>
      <c r="D367" s="129"/>
      <c r="E367" s="167"/>
    </row>
    <row r="368" spans="1:5">
      <c r="A368" s="130"/>
      <c r="B368" s="167"/>
      <c r="C368" s="167"/>
      <c r="D368" s="129"/>
      <c r="E368" s="167"/>
    </row>
    <row r="369" spans="1:5">
      <c r="A369" s="130"/>
      <c r="B369" s="167"/>
      <c r="C369" s="167"/>
      <c r="D369" s="129"/>
      <c r="E369" s="167"/>
    </row>
    <row r="370" spans="1:5">
      <c r="A370" s="130"/>
      <c r="B370" s="167"/>
      <c r="C370" s="167"/>
      <c r="D370" s="129"/>
      <c r="E370" s="167"/>
    </row>
    <row r="371" spans="1:5">
      <c r="A371" s="130"/>
      <c r="B371" s="167"/>
      <c r="C371" s="167"/>
      <c r="D371" s="129"/>
      <c r="E371" s="167"/>
    </row>
    <row r="372" spans="1:5">
      <c r="A372" s="130"/>
      <c r="B372" s="167"/>
      <c r="C372" s="167"/>
      <c r="D372" s="129"/>
      <c r="E372" s="167"/>
    </row>
    <row r="373" spans="1:5">
      <c r="A373" s="130"/>
      <c r="B373" s="167"/>
      <c r="C373" s="167"/>
      <c r="D373" s="129"/>
      <c r="E373" s="167"/>
    </row>
    <row r="374" spans="1:5">
      <c r="A374" s="130"/>
      <c r="B374" s="167"/>
      <c r="C374" s="167"/>
      <c r="D374" s="129"/>
      <c r="E374" s="167"/>
    </row>
    <row r="375" spans="1:5">
      <c r="A375" s="130"/>
      <c r="B375" s="167"/>
      <c r="C375" s="167"/>
      <c r="D375" s="129"/>
      <c r="E375" s="167"/>
    </row>
    <row r="376" spans="1:5">
      <c r="A376" s="130"/>
      <c r="B376" s="167"/>
      <c r="C376" s="167"/>
      <c r="D376" s="129"/>
      <c r="E376" s="167"/>
    </row>
    <row r="377" spans="1:5">
      <c r="A377" s="130"/>
      <c r="B377" s="167"/>
      <c r="C377" s="167"/>
      <c r="D377" s="129"/>
      <c r="E377" s="167"/>
    </row>
    <row r="378" spans="1:5">
      <c r="A378" s="130"/>
      <c r="B378" s="167"/>
      <c r="C378" s="167"/>
      <c r="D378" s="129"/>
      <c r="E378" s="167"/>
    </row>
    <row r="379" spans="1:5">
      <c r="A379" s="130"/>
      <c r="B379" s="167"/>
      <c r="C379" s="167"/>
      <c r="D379" s="129"/>
      <c r="E379" s="167"/>
    </row>
    <row r="380" spans="1:5">
      <c r="A380" s="130"/>
      <c r="B380" s="167"/>
      <c r="C380" s="167"/>
      <c r="D380" s="129"/>
      <c r="E380" s="167"/>
    </row>
    <row r="381" spans="1:5">
      <c r="A381" s="130"/>
      <c r="B381" s="167"/>
      <c r="C381" s="167"/>
      <c r="D381" s="129"/>
      <c r="E381" s="167"/>
    </row>
    <row r="382" spans="1:5">
      <c r="A382" s="130"/>
      <c r="B382" s="167"/>
      <c r="C382" s="167"/>
      <c r="D382" s="129"/>
      <c r="E382" s="167"/>
    </row>
    <row r="383" spans="1:5">
      <c r="A383" s="130"/>
      <c r="B383" s="167"/>
      <c r="C383" s="167"/>
      <c r="D383" s="129"/>
      <c r="E383" s="167"/>
    </row>
    <row r="384" spans="1:5">
      <c r="A384" s="130"/>
      <c r="B384" s="167"/>
      <c r="C384" s="167"/>
      <c r="D384" s="129"/>
      <c r="E384" s="167"/>
    </row>
    <row r="385" spans="1:5">
      <c r="A385" s="130"/>
      <c r="B385" s="167"/>
      <c r="C385" s="167"/>
      <c r="D385" s="129"/>
      <c r="E385" s="167"/>
    </row>
    <row r="386" spans="1:5">
      <c r="A386" s="130"/>
      <c r="B386" s="167"/>
      <c r="C386" s="167"/>
      <c r="D386" s="129"/>
      <c r="E386" s="167"/>
    </row>
    <row r="387" spans="1:5">
      <c r="A387" s="130"/>
      <c r="B387" s="167"/>
      <c r="C387" s="167"/>
      <c r="D387" s="129"/>
      <c r="E387" s="167"/>
    </row>
    <row r="388" spans="1:5">
      <c r="A388" s="130"/>
      <c r="B388" s="167"/>
      <c r="C388" s="167"/>
      <c r="D388" s="129"/>
      <c r="E388" s="167"/>
    </row>
    <row r="389" spans="1:5">
      <c r="A389" s="130"/>
      <c r="B389" s="167"/>
      <c r="C389" s="167"/>
      <c r="D389" s="129"/>
      <c r="E389" s="167"/>
    </row>
    <row r="390" spans="1:5">
      <c r="A390" s="130"/>
      <c r="B390" s="167"/>
      <c r="C390" s="167"/>
      <c r="D390" s="129"/>
      <c r="E390" s="167"/>
    </row>
    <row r="391" spans="1:5">
      <c r="A391" s="130"/>
      <c r="B391" s="167"/>
      <c r="C391" s="167"/>
      <c r="D391" s="129"/>
      <c r="E391" s="167"/>
    </row>
    <row r="392" spans="1:5">
      <c r="A392" s="130"/>
      <c r="B392" s="167"/>
      <c r="C392" s="167"/>
      <c r="D392" s="129"/>
      <c r="E392" s="167"/>
    </row>
    <row r="393" spans="1:5">
      <c r="A393" s="130"/>
      <c r="B393" s="167"/>
      <c r="C393" s="167"/>
      <c r="D393" s="129"/>
      <c r="E393" s="167"/>
    </row>
    <row r="394" spans="1:5">
      <c r="A394" s="130"/>
      <c r="B394" s="167"/>
      <c r="C394" s="167"/>
      <c r="D394" s="129"/>
      <c r="E394" s="167"/>
    </row>
    <row r="395" spans="1:5">
      <c r="A395" s="130"/>
      <c r="B395" s="167"/>
      <c r="C395" s="167"/>
      <c r="D395" s="129"/>
      <c r="E395" s="167"/>
    </row>
    <row r="396" spans="1:5">
      <c r="A396" s="130"/>
      <c r="B396" s="167"/>
      <c r="C396" s="167"/>
      <c r="D396" s="129"/>
      <c r="E396" s="167"/>
    </row>
    <row r="397" spans="1:5">
      <c r="A397" s="130"/>
      <c r="B397" s="167"/>
      <c r="C397" s="167"/>
      <c r="D397" s="129"/>
      <c r="E397" s="167"/>
    </row>
    <row r="398" spans="1:5">
      <c r="A398" s="130"/>
      <c r="B398" s="167"/>
      <c r="C398" s="167"/>
      <c r="D398" s="129"/>
      <c r="E398" s="167"/>
    </row>
    <row r="399" spans="1:5">
      <c r="A399" s="130"/>
      <c r="B399" s="167"/>
      <c r="C399" s="167"/>
      <c r="D399" s="129"/>
      <c r="E399" s="167"/>
    </row>
    <row r="400" spans="1:5">
      <c r="A400" s="130"/>
      <c r="B400" s="167"/>
      <c r="C400" s="167"/>
      <c r="D400" s="129"/>
      <c r="E400" s="167"/>
    </row>
    <row r="401" spans="1:5">
      <c r="A401" s="130"/>
      <c r="B401" s="167"/>
      <c r="C401" s="167"/>
      <c r="D401" s="129"/>
      <c r="E401" s="167"/>
    </row>
    <row r="402" spans="1:5">
      <c r="A402" s="130"/>
      <c r="B402" s="167"/>
      <c r="C402" s="167"/>
      <c r="D402" s="129"/>
      <c r="E402" s="167"/>
    </row>
    <row r="403" spans="1:5">
      <c r="A403" s="130"/>
      <c r="B403" s="167"/>
      <c r="C403" s="167"/>
      <c r="D403" s="129"/>
      <c r="E403" s="167"/>
    </row>
    <row r="404" spans="1:5">
      <c r="A404" s="130"/>
      <c r="B404" s="167"/>
      <c r="C404" s="167"/>
      <c r="D404" s="129"/>
      <c r="E404" s="167"/>
    </row>
    <row r="405" spans="1:5">
      <c r="A405" s="130"/>
      <c r="B405" s="167"/>
      <c r="C405" s="167"/>
      <c r="D405" s="129"/>
      <c r="E405" s="167"/>
    </row>
    <row r="406" spans="1:5">
      <c r="A406" s="130"/>
      <c r="B406" s="167"/>
      <c r="C406" s="167"/>
      <c r="D406" s="129"/>
      <c r="E406" s="167"/>
    </row>
    <row r="407" spans="1:5">
      <c r="A407" s="130"/>
      <c r="B407" s="167"/>
      <c r="C407" s="167"/>
      <c r="D407" s="129"/>
      <c r="E407" s="167"/>
    </row>
    <row r="408" spans="1:5">
      <c r="A408" s="130"/>
      <c r="B408" s="167"/>
      <c r="C408" s="167"/>
      <c r="D408" s="129"/>
      <c r="E408" s="167"/>
    </row>
    <row r="409" spans="1:5">
      <c r="A409" s="130"/>
      <c r="B409" s="167"/>
      <c r="C409" s="167"/>
      <c r="D409" s="129"/>
      <c r="E409" s="167"/>
    </row>
    <row r="410" spans="1:5">
      <c r="A410" s="130"/>
      <c r="B410" s="167"/>
      <c r="C410" s="167"/>
      <c r="D410" s="129"/>
      <c r="E410" s="167"/>
    </row>
    <row r="411" spans="1:5">
      <c r="A411" s="130"/>
      <c r="B411" s="167"/>
      <c r="C411" s="167"/>
      <c r="D411" s="129"/>
      <c r="E411" s="167"/>
    </row>
    <row r="412" spans="1:5">
      <c r="A412" s="130"/>
      <c r="B412" s="167"/>
      <c r="C412" s="167"/>
      <c r="D412" s="129"/>
      <c r="E412" s="167"/>
    </row>
    <row r="413" spans="1:5">
      <c r="A413" s="130"/>
      <c r="B413" s="167"/>
      <c r="C413" s="167"/>
      <c r="D413" s="129"/>
      <c r="E413" s="167"/>
    </row>
    <row r="414" spans="1:5">
      <c r="A414" s="130"/>
      <c r="B414" s="167"/>
      <c r="C414" s="167"/>
      <c r="D414" s="129"/>
      <c r="E414" s="167"/>
    </row>
    <row r="415" spans="1:5">
      <c r="A415" s="130"/>
      <c r="B415" s="167"/>
      <c r="C415" s="167"/>
      <c r="D415" s="129"/>
      <c r="E415" s="167"/>
    </row>
    <row r="416" spans="1:5">
      <c r="A416" s="130"/>
      <c r="B416" s="167"/>
      <c r="C416" s="167"/>
      <c r="D416" s="129"/>
      <c r="E416" s="167"/>
    </row>
    <row r="417" spans="1:5">
      <c r="A417" s="130"/>
      <c r="B417" s="167"/>
      <c r="C417" s="167"/>
      <c r="D417" s="129"/>
      <c r="E417" s="167"/>
    </row>
    <row r="418" spans="1:5">
      <c r="A418" s="130"/>
      <c r="B418" s="167"/>
      <c r="C418" s="167"/>
      <c r="D418" s="129"/>
      <c r="E418" s="167"/>
    </row>
    <row r="419" spans="1:5">
      <c r="A419" s="130"/>
      <c r="B419" s="167"/>
      <c r="C419" s="167"/>
      <c r="D419" s="129"/>
      <c r="E419" s="167"/>
    </row>
    <row r="420" spans="1:5">
      <c r="A420" s="130"/>
      <c r="B420" s="167"/>
      <c r="C420" s="167"/>
      <c r="D420" s="129"/>
      <c r="E420" s="167"/>
    </row>
    <row r="421" spans="1:5">
      <c r="A421" s="130"/>
      <c r="B421" s="167"/>
      <c r="C421" s="167"/>
      <c r="D421" s="129"/>
      <c r="E421" s="167"/>
    </row>
    <row r="422" spans="1:5">
      <c r="A422" s="130"/>
      <c r="B422" s="167"/>
      <c r="C422" s="167"/>
      <c r="D422" s="129"/>
      <c r="E422" s="167"/>
    </row>
    <row r="423" spans="1:5">
      <c r="A423" s="130"/>
      <c r="B423" s="167"/>
      <c r="C423" s="167"/>
      <c r="D423" s="129"/>
      <c r="E423" s="167"/>
    </row>
    <row r="424" spans="1:5">
      <c r="A424" s="130"/>
      <c r="B424" s="167"/>
      <c r="C424" s="167"/>
      <c r="D424" s="129"/>
      <c r="E424" s="167"/>
    </row>
    <row r="425" spans="1:5">
      <c r="A425" s="130"/>
      <c r="B425" s="167"/>
      <c r="C425" s="167"/>
      <c r="D425" s="129"/>
      <c r="E425" s="167"/>
    </row>
    <row r="426" spans="1:5">
      <c r="A426" s="130"/>
      <c r="B426" s="167"/>
      <c r="C426" s="167"/>
      <c r="D426" s="129"/>
      <c r="E426" s="167"/>
    </row>
    <row r="427" spans="1:5">
      <c r="A427" s="130"/>
      <c r="B427" s="167"/>
      <c r="C427" s="167"/>
      <c r="D427" s="129"/>
      <c r="E427" s="167"/>
    </row>
    <row r="428" spans="1:5">
      <c r="A428" s="130"/>
      <c r="B428" s="167"/>
      <c r="C428" s="167"/>
      <c r="D428" s="129"/>
      <c r="E428" s="167"/>
    </row>
    <row r="429" spans="1:5">
      <c r="A429" s="130"/>
      <c r="B429" s="167"/>
      <c r="C429" s="167"/>
      <c r="D429" s="129"/>
      <c r="E429" s="167"/>
    </row>
    <row r="430" spans="1:5">
      <c r="A430" s="130"/>
      <c r="B430" s="167"/>
      <c r="C430" s="167"/>
      <c r="D430" s="129"/>
      <c r="E430" s="167"/>
    </row>
    <row r="431" spans="1:5">
      <c r="A431" s="130"/>
      <c r="B431" s="167"/>
      <c r="C431" s="167"/>
      <c r="D431" s="129"/>
      <c r="E431" s="167"/>
    </row>
    <row r="432" spans="1:5">
      <c r="A432" s="130"/>
      <c r="B432" s="167"/>
      <c r="C432" s="167"/>
      <c r="D432" s="129"/>
      <c r="E432" s="167"/>
    </row>
    <row r="433" spans="1:5">
      <c r="A433" s="130"/>
      <c r="B433" s="167"/>
      <c r="C433" s="167"/>
      <c r="D433" s="129"/>
      <c r="E433" s="167"/>
    </row>
    <row r="434" spans="1:5">
      <c r="A434" s="130"/>
      <c r="B434" s="167"/>
      <c r="C434" s="167"/>
      <c r="D434" s="129"/>
      <c r="E434" s="167"/>
    </row>
    <row r="435" spans="1:5">
      <c r="A435" s="130"/>
      <c r="B435" s="167"/>
      <c r="C435" s="167"/>
      <c r="D435" s="129"/>
      <c r="E435" s="167"/>
    </row>
    <row r="436" spans="1:5">
      <c r="A436" s="130"/>
      <c r="B436" s="167"/>
      <c r="C436" s="167"/>
      <c r="D436" s="129"/>
      <c r="E436" s="167"/>
    </row>
    <row r="437" spans="1:5">
      <c r="A437" s="130"/>
      <c r="B437" s="167"/>
      <c r="C437" s="167"/>
      <c r="D437" s="129"/>
      <c r="E437" s="167"/>
    </row>
    <row r="438" spans="1:5">
      <c r="A438" s="130"/>
      <c r="B438" s="167"/>
      <c r="C438" s="167"/>
      <c r="D438" s="129"/>
      <c r="E438" s="167"/>
    </row>
    <row r="439" spans="1:5">
      <c r="A439" s="130"/>
      <c r="B439" s="167"/>
      <c r="C439" s="167"/>
      <c r="D439" s="129"/>
      <c r="E439" s="167"/>
    </row>
    <row r="440" spans="1:5">
      <c r="A440" s="130"/>
      <c r="B440" s="167"/>
      <c r="C440" s="167"/>
      <c r="D440" s="129"/>
      <c r="E440" s="167"/>
    </row>
    <row r="441" spans="1:5">
      <c r="A441" s="130"/>
      <c r="B441" s="167"/>
      <c r="C441" s="167"/>
      <c r="D441" s="129"/>
      <c r="E441" s="167"/>
    </row>
    <row r="442" spans="1:5">
      <c r="A442" s="130"/>
      <c r="B442" s="167"/>
      <c r="C442" s="167"/>
      <c r="D442" s="129"/>
      <c r="E442" s="167"/>
    </row>
    <row r="443" spans="1:5">
      <c r="A443" s="130"/>
      <c r="B443" s="167"/>
      <c r="C443" s="167"/>
      <c r="D443" s="129"/>
      <c r="E443" s="167"/>
    </row>
    <row r="444" spans="1:5">
      <c r="A444" s="130"/>
      <c r="B444" s="167"/>
      <c r="C444" s="167"/>
      <c r="D444" s="129"/>
      <c r="E444" s="167"/>
    </row>
    <row r="445" spans="1:5">
      <c r="A445" s="130"/>
      <c r="B445" s="167"/>
      <c r="C445" s="167"/>
      <c r="D445" s="129"/>
      <c r="E445" s="167"/>
    </row>
    <row r="446" spans="1:5">
      <c r="A446" s="130"/>
      <c r="B446" s="167"/>
      <c r="C446" s="167"/>
      <c r="D446" s="129"/>
      <c r="E446" s="167"/>
    </row>
    <row r="447" spans="1:5">
      <c r="A447" s="130"/>
      <c r="B447" s="167"/>
      <c r="C447" s="167"/>
      <c r="D447" s="129"/>
      <c r="E447" s="167"/>
    </row>
    <row r="448" spans="1:5">
      <c r="A448" s="130"/>
      <c r="B448" s="167"/>
      <c r="C448" s="167"/>
      <c r="D448" s="129"/>
      <c r="E448" s="167"/>
    </row>
    <row r="449" spans="1:5">
      <c r="A449" s="130"/>
      <c r="B449" s="167"/>
      <c r="C449" s="167"/>
      <c r="D449" s="129"/>
      <c r="E449" s="167"/>
    </row>
    <row r="450" spans="1:5">
      <c r="A450" s="130"/>
      <c r="B450" s="167"/>
      <c r="C450" s="167"/>
      <c r="D450" s="129"/>
      <c r="E450" s="167"/>
    </row>
    <row r="451" spans="1:5">
      <c r="A451" s="130"/>
      <c r="B451" s="167"/>
      <c r="C451" s="167"/>
      <c r="D451" s="129"/>
      <c r="E451" s="167"/>
    </row>
    <row r="452" spans="1:5">
      <c r="A452" s="130"/>
      <c r="B452" s="167"/>
      <c r="C452" s="167"/>
      <c r="D452" s="129"/>
      <c r="E452" s="167"/>
    </row>
    <row r="453" spans="1:5">
      <c r="A453" s="130"/>
      <c r="B453" s="167"/>
      <c r="C453" s="167"/>
      <c r="D453" s="129"/>
      <c r="E453" s="167"/>
    </row>
    <row r="454" spans="1:5">
      <c r="A454" s="130"/>
      <c r="B454" s="167"/>
      <c r="C454" s="167"/>
      <c r="D454" s="129"/>
      <c r="E454" s="167"/>
    </row>
    <row r="455" spans="1:5">
      <c r="A455" s="130"/>
      <c r="B455" s="167"/>
      <c r="C455" s="167"/>
      <c r="D455" s="129"/>
      <c r="E455" s="167"/>
    </row>
    <row r="456" spans="1:5">
      <c r="A456" s="130"/>
      <c r="B456" s="167"/>
      <c r="C456" s="167"/>
      <c r="D456" s="129"/>
      <c r="E456" s="167"/>
    </row>
    <row r="457" spans="1:5">
      <c r="A457" s="130"/>
      <c r="B457" s="167"/>
      <c r="C457" s="167"/>
      <c r="D457" s="129"/>
      <c r="E457" s="167"/>
    </row>
    <row r="458" spans="1:5">
      <c r="A458" s="130"/>
      <c r="B458" s="167"/>
      <c r="C458" s="167"/>
      <c r="D458" s="129"/>
      <c r="E458" s="167"/>
    </row>
    <row r="459" spans="1:5">
      <c r="A459" s="130"/>
      <c r="B459" s="167"/>
      <c r="C459" s="167"/>
      <c r="D459" s="129"/>
      <c r="E459" s="167"/>
    </row>
    <row r="460" spans="1:5">
      <c r="A460" s="130"/>
      <c r="B460" s="167"/>
      <c r="C460" s="167"/>
      <c r="D460" s="129"/>
      <c r="E460" s="167"/>
    </row>
    <row r="461" spans="1:5">
      <c r="A461" s="130"/>
      <c r="B461" s="167"/>
      <c r="C461" s="167"/>
      <c r="D461" s="129"/>
      <c r="E461" s="167"/>
    </row>
    <row r="462" spans="1:5">
      <c r="A462" s="130"/>
      <c r="B462" s="167"/>
      <c r="C462" s="167"/>
      <c r="D462" s="129"/>
      <c r="E462" s="167"/>
    </row>
    <row r="463" spans="1:5">
      <c r="A463" s="130"/>
      <c r="B463" s="167"/>
      <c r="C463" s="167"/>
      <c r="D463" s="129"/>
      <c r="E463" s="167"/>
    </row>
    <row r="464" spans="1:5">
      <c r="A464" s="130"/>
      <c r="B464" s="167"/>
      <c r="C464" s="167"/>
      <c r="D464" s="129"/>
      <c r="E464" s="167"/>
    </row>
    <row r="465" spans="1:5">
      <c r="A465" s="130"/>
      <c r="B465" s="167"/>
      <c r="C465" s="167"/>
      <c r="D465" s="129"/>
      <c r="E465" s="167"/>
    </row>
    <row r="466" spans="1:5">
      <c r="A466" s="130"/>
      <c r="B466" s="167"/>
      <c r="C466" s="167"/>
      <c r="D466" s="129"/>
      <c r="E466" s="167"/>
    </row>
    <row r="467" spans="1:5">
      <c r="A467" s="130"/>
      <c r="B467" s="167"/>
      <c r="C467" s="167"/>
      <c r="D467" s="129"/>
      <c r="E467" s="167"/>
    </row>
    <row r="468" spans="1:5">
      <c r="A468" s="130"/>
      <c r="B468" s="167"/>
      <c r="C468" s="167"/>
      <c r="D468" s="129"/>
      <c r="E468" s="167"/>
    </row>
    <row r="469" spans="1:5">
      <c r="A469" s="130"/>
      <c r="B469" s="167"/>
      <c r="C469" s="167"/>
      <c r="D469" s="129"/>
      <c r="E469" s="167"/>
    </row>
    <row r="470" spans="1:5">
      <c r="A470" s="130"/>
      <c r="B470" s="167"/>
      <c r="C470" s="167"/>
      <c r="D470" s="129"/>
      <c r="E470" s="167"/>
    </row>
    <row r="471" spans="1:5">
      <c r="A471" s="130"/>
      <c r="B471" s="167"/>
      <c r="C471" s="167"/>
      <c r="D471" s="129"/>
      <c r="E471" s="167"/>
    </row>
    <row r="472" spans="1:5">
      <c r="A472" s="130"/>
      <c r="B472" s="167"/>
      <c r="C472" s="167"/>
      <c r="D472" s="129"/>
      <c r="E472" s="167"/>
    </row>
    <row r="473" spans="1:5">
      <c r="A473" s="130"/>
      <c r="B473" s="167"/>
      <c r="C473" s="167"/>
      <c r="D473" s="129"/>
      <c r="E473" s="167"/>
    </row>
    <row r="474" spans="1:5">
      <c r="A474" s="130"/>
      <c r="B474" s="167"/>
      <c r="C474" s="167"/>
      <c r="D474" s="129"/>
      <c r="E474" s="167"/>
    </row>
    <row r="475" spans="1:5">
      <c r="A475" s="130"/>
      <c r="B475" s="167"/>
      <c r="C475" s="167"/>
      <c r="D475" s="129"/>
      <c r="E475" s="167"/>
    </row>
    <row r="476" spans="1:5">
      <c r="A476" s="130"/>
      <c r="B476" s="167"/>
      <c r="C476" s="167"/>
      <c r="D476" s="129"/>
      <c r="E476" s="167"/>
    </row>
    <row r="477" spans="1:5">
      <c r="A477" s="130"/>
      <c r="B477" s="167"/>
      <c r="C477" s="167"/>
      <c r="D477" s="129"/>
      <c r="E477" s="167"/>
    </row>
    <row r="478" spans="1:5">
      <c r="A478" s="130"/>
      <c r="B478" s="167"/>
      <c r="C478" s="167"/>
      <c r="D478" s="129"/>
      <c r="E478" s="167"/>
    </row>
    <row r="479" spans="1:5">
      <c r="A479" s="130"/>
      <c r="B479" s="167"/>
      <c r="C479" s="167"/>
      <c r="D479" s="129"/>
      <c r="E479" s="167"/>
    </row>
    <row r="480" spans="1:5">
      <c r="A480" s="130"/>
      <c r="B480" s="167"/>
      <c r="C480" s="167"/>
      <c r="D480" s="129"/>
      <c r="E480" s="167"/>
    </row>
    <row r="481" spans="1:5">
      <c r="A481" s="130"/>
      <c r="B481" s="167"/>
      <c r="C481" s="167"/>
      <c r="D481" s="129"/>
      <c r="E481" s="167"/>
    </row>
    <row r="482" spans="1:5">
      <c r="A482" s="130"/>
      <c r="B482" s="167"/>
      <c r="C482" s="167"/>
      <c r="D482" s="129"/>
      <c r="E482" s="167"/>
    </row>
    <row r="483" spans="1:5">
      <c r="A483" s="130"/>
      <c r="B483" s="167"/>
      <c r="C483" s="167"/>
      <c r="D483" s="129"/>
      <c r="E483" s="167"/>
    </row>
    <row r="484" spans="1:5">
      <c r="A484" s="130"/>
      <c r="B484" s="167"/>
      <c r="C484" s="167"/>
      <c r="D484" s="129"/>
      <c r="E484" s="167"/>
    </row>
    <row r="485" spans="1:5">
      <c r="A485" s="130"/>
      <c r="B485" s="167"/>
      <c r="C485" s="167"/>
      <c r="D485" s="129"/>
      <c r="E485" s="167"/>
    </row>
    <row r="486" spans="1:5">
      <c r="A486" s="130"/>
      <c r="B486" s="167"/>
      <c r="C486" s="167"/>
      <c r="D486" s="129"/>
      <c r="E486" s="167"/>
    </row>
    <row r="487" spans="1:5">
      <c r="A487" s="130"/>
      <c r="B487" s="167"/>
      <c r="C487" s="167"/>
      <c r="D487" s="129"/>
      <c r="E487" s="167"/>
    </row>
    <row r="488" spans="1:5">
      <c r="A488" s="130"/>
      <c r="B488" s="167"/>
      <c r="C488" s="167"/>
      <c r="D488" s="129"/>
      <c r="E488" s="167"/>
    </row>
    <row r="489" spans="1:5">
      <c r="A489" s="130"/>
      <c r="B489" s="167"/>
      <c r="C489" s="167"/>
      <c r="D489" s="129"/>
      <c r="E489" s="167"/>
    </row>
    <row r="490" spans="1:5">
      <c r="A490" s="130"/>
      <c r="B490" s="167"/>
      <c r="C490" s="167"/>
      <c r="D490" s="129"/>
      <c r="E490" s="167"/>
    </row>
    <row r="491" spans="1:5">
      <c r="A491" s="130"/>
      <c r="B491" s="167"/>
      <c r="C491" s="167"/>
      <c r="D491" s="129"/>
      <c r="E491" s="167"/>
    </row>
    <row r="492" spans="1:5">
      <c r="A492" s="130"/>
      <c r="B492" s="167"/>
      <c r="C492" s="167"/>
      <c r="D492" s="129"/>
      <c r="E492" s="167"/>
    </row>
    <row r="493" spans="1:5">
      <c r="A493" s="130"/>
      <c r="B493" s="167"/>
      <c r="C493" s="167"/>
      <c r="D493" s="129"/>
      <c r="E493" s="167"/>
    </row>
    <row r="494" spans="1:5">
      <c r="A494" s="130"/>
      <c r="B494" s="167"/>
      <c r="C494" s="167"/>
      <c r="D494" s="129"/>
      <c r="E494" s="167"/>
    </row>
    <row r="495" spans="1:5">
      <c r="A495" s="130"/>
      <c r="B495" s="167"/>
      <c r="C495" s="167"/>
      <c r="D495" s="129"/>
      <c r="E495" s="167"/>
    </row>
    <row r="496" spans="1:5">
      <c r="A496" s="130"/>
      <c r="B496" s="167"/>
      <c r="C496" s="167"/>
      <c r="D496" s="129"/>
      <c r="E496" s="167"/>
    </row>
    <row r="497" spans="1:5">
      <c r="A497" s="130"/>
      <c r="B497" s="167"/>
      <c r="C497" s="167"/>
      <c r="D497" s="129"/>
      <c r="E497" s="167"/>
    </row>
    <row r="498" spans="1:5">
      <c r="A498" s="130"/>
      <c r="B498" s="167"/>
      <c r="C498" s="167"/>
      <c r="D498" s="129"/>
      <c r="E498" s="167"/>
    </row>
    <row r="499" spans="1:5">
      <c r="A499" s="130"/>
      <c r="B499" s="167"/>
      <c r="C499" s="167"/>
      <c r="D499" s="129"/>
      <c r="E499" s="167"/>
    </row>
    <row r="500" spans="1:5">
      <c r="A500" s="130"/>
      <c r="B500" s="167"/>
      <c r="C500" s="167"/>
      <c r="D500" s="129"/>
      <c r="E500" s="167"/>
    </row>
    <row r="501" spans="1:5">
      <c r="A501" s="130"/>
      <c r="B501" s="167"/>
      <c r="C501" s="167"/>
      <c r="D501" s="129"/>
      <c r="E501" s="167"/>
    </row>
    <row r="502" spans="1:5">
      <c r="A502" s="130"/>
      <c r="B502" s="167"/>
      <c r="C502" s="167"/>
      <c r="D502" s="129"/>
      <c r="E502" s="167"/>
    </row>
    <row r="503" spans="1:5">
      <c r="A503" s="130"/>
      <c r="B503" s="167"/>
      <c r="C503" s="167"/>
      <c r="D503" s="129"/>
      <c r="E503" s="167"/>
    </row>
    <row r="504" spans="1:5">
      <c r="A504" s="130"/>
      <c r="B504" s="167"/>
      <c r="C504" s="167"/>
      <c r="D504" s="129"/>
      <c r="E504" s="167"/>
    </row>
    <row r="505" spans="1:5">
      <c r="A505" s="130"/>
      <c r="B505" s="167"/>
      <c r="C505" s="167"/>
      <c r="D505" s="129"/>
      <c r="E505" s="167"/>
    </row>
    <row r="506" spans="1:5">
      <c r="A506" s="130"/>
      <c r="B506" s="167"/>
      <c r="C506" s="167"/>
      <c r="D506" s="129"/>
      <c r="E506" s="167"/>
    </row>
    <row r="507" spans="1:5">
      <c r="A507" s="130"/>
      <c r="B507" s="167"/>
      <c r="C507" s="167"/>
      <c r="D507" s="129"/>
      <c r="E507" s="167"/>
    </row>
    <row r="508" spans="1:5">
      <c r="A508" s="130"/>
      <c r="B508" s="167"/>
      <c r="C508" s="167"/>
      <c r="D508" s="129"/>
      <c r="E508" s="167"/>
    </row>
    <row r="509" spans="1:5">
      <c r="A509" s="130"/>
      <c r="B509" s="167"/>
      <c r="C509" s="167"/>
      <c r="D509" s="129"/>
      <c r="E509" s="167"/>
    </row>
    <row r="510" spans="1:5">
      <c r="A510" s="130"/>
      <c r="B510" s="167"/>
      <c r="C510" s="167"/>
      <c r="D510" s="129"/>
      <c r="E510" s="167"/>
    </row>
    <row r="511" spans="1:5">
      <c r="A511" s="130"/>
      <c r="B511" s="167"/>
      <c r="C511" s="167"/>
      <c r="D511" s="129"/>
      <c r="E511" s="167"/>
    </row>
    <row r="512" spans="1:5">
      <c r="A512" s="130"/>
      <c r="B512" s="167"/>
      <c r="C512" s="167"/>
      <c r="D512" s="129"/>
      <c r="E512" s="167"/>
    </row>
    <row r="513" spans="1:5">
      <c r="A513" s="130"/>
      <c r="B513" s="167"/>
      <c r="C513" s="167"/>
      <c r="D513" s="129"/>
      <c r="E513" s="167"/>
    </row>
    <row r="514" spans="1:5">
      <c r="A514" s="130"/>
      <c r="B514" s="167"/>
      <c r="C514" s="167"/>
      <c r="D514" s="129"/>
      <c r="E514" s="167"/>
    </row>
    <row r="515" spans="1:5">
      <c r="A515" s="130"/>
      <c r="B515" s="167"/>
      <c r="C515" s="167"/>
      <c r="D515" s="129"/>
      <c r="E515" s="167"/>
    </row>
    <row r="516" spans="1:5">
      <c r="A516" s="130"/>
      <c r="B516" s="167"/>
      <c r="C516" s="167"/>
      <c r="D516" s="129"/>
      <c r="E516" s="167"/>
    </row>
    <row r="517" spans="1:5">
      <c r="A517" s="130"/>
      <c r="B517" s="167"/>
      <c r="C517" s="167"/>
      <c r="D517" s="129"/>
      <c r="E517" s="167"/>
    </row>
    <row r="518" spans="1:5">
      <c r="A518" s="130"/>
      <c r="B518" s="167"/>
      <c r="C518" s="167"/>
      <c r="D518" s="129"/>
      <c r="E518" s="167"/>
    </row>
    <row r="519" spans="1:5">
      <c r="A519" s="130"/>
      <c r="B519" s="167"/>
      <c r="C519" s="167"/>
      <c r="D519" s="129"/>
      <c r="E519" s="167"/>
    </row>
    <row r="520" spans="1:5">
      <c r="A520" s="130"/>
      <c r="B520" s="167"/>
      <c r="C520" s="167"/>
      <c r="D520" s="129"/>
      <c r="E520" s="167"/>
    </row>
    <row r="521" spans="1:5">
      <c r="A521" s="130"/>
      <c r="B521" s="167"/>
      <c r="C521" s="167"/>
      <c r="D521" s="129"/>
      <c r="E521" s="167"/>
    </row>
    <row r="522" spans="1:5">
      <c r="A522" s="130"/>
      <c r="B522" s="167"/>
      <c r="C522" s="167"/>
      <c r="D522" s="129"/>
      <c r="E522" s="167"/>
    </row>
    <row r="523" spans="1:5">
      <c r="A523" s="130"/>
      <c r="B523" s="167"/>
      <c r="C523" s="167"/>
      <c r="D523" s="129"/>
      <c r="E523" s="167"/>
    </row>
    <row r="524" spans="1:5">
      <c r="A524" s="130"/>
      <c r="B524" s="167"/>
      <c r="C524" s="167"/>
      <c r="D524" s="129"/>
      <c r="E524" s="167"/>
    </row>
    <row r="525" spans="1:5">
      <c r="A525" s="130"/>
      <c r="B525" s="167"/>
      <c r="C525" s="167"/>
      <c r="D525" s="129"/>
      <c r="E525" s="167"/>
    </row>
    <row r="526" spans="1:5">
      <c r="A526" s="130"/>
      <c r="B526" s="167"/>
      <c r="C526" s="167"/>
      <c r="D526" s="129"/>
      <c r="E526" s="167"/>
    </row>
    <row r="527" spans="1:5">
      <c r="A527" s="130"/>
      <c r="B527" s="167"/>
      <c r="C527" s="167"/>
      <c r="D527" s="129"/>
      <c r="E527" s="167"/>
    </row>
    <row r="528" spans="1:5">
      <c r="A528" s="130"/>
      <c r="B528" s="167"/>
      <c r="C528" s="167"/>
      <c r="D528" s="129"/>
      <c r="E528" s="167"/>
    </row>
    <row r="529" spans="1:5">
      <c r="A529" s="130"/>
      <c r="B529" s="167"/>
      <c r="C529" s="167"/>
      <c r="D529" s="129"/>
      <c r="E529" s="167"/>
    </row>
    <row r="530" spans="1:5">
      <c r="A530" s="130"/>
      <c r="B530" s="167"/>
      <c r="C530" s="167"/>
      <c r="D530" s="129"/>
      <c r="E530" s="167"/>
    </row>
    <row r="531" spans="1:5">
      <c r="A531" s="130"/>
      <c r="B531" s="167"/>
      <c r="C531" s="167"/>
      <c r="D531" s="129"/>
      <c r="E531" s="167"/>
    </row>
    <row r="532" spans="1:5">
      <c r="A532" s="130"/>
      <c r="B532" s="167"/>
      <c r="C532" s="167"/>
      <c r="D532" s="129"/>
      <c r="E532" s="167"/>
    </row>
    <row r="533" spans="1:5">
      <c r="A533" s="130"/>
      <c r="B533" s="167"/>
      <c r="C533" s="167"/>
      <c r="D533" s="129"/>
      <c r="E533" s="167"/>
    </row>
    <row r="534" spans="1:5">
      <c r="A534" s="130"/>
      <c r="B534" s="167"/>
      <c r="C534" s="167"/>
      <c r="D534" s="129"/>
      <c r="E534" s="167"/>
    </row>
    <row r="535" spans="1:5">
      <c r="A535" s="130"/>
      <c r="B535" s="167"/>
      <c r="C535" s="167"/>
      <c r="D535" s="129"/>
      <c r="E535" s="167"/>
    </row>
    <row r="536" spans="1:5">
      <c r="A536" s="130"/>
      <c r="B536" s="167"/>
      <c r="C536" s="167"/>
      <c r="D536" s="129"/>
      <c r="E536" s="167"/>
    </row>
    <row r="537" spans="1:5">
      <c r="A537" s="130"/>
      <c r="B537" s="167"/>
      <c r="C537" s="167"/>
      <c r="D537" s="129"/>
      <c r="E537" s="167"/>
    </row>
    <row r="538" spans="1:5">
      <c r="A538" s="130"/>
      <c r="B538" s="167"/>
      <c r="C538" s="167"/>
      <c r="D538" s="129"/>
      <c r="E538" s="167"/>
    </row>
    <row r="539" spans="1:5">
      <c r="A539" s="130"/>
      <c r="B539" s="167"/>
      <c r="C539" s="167"/>
      <c r="D539" s="129"/>
      <c r="E539" s="167"/>
    </row>
    <row r="540" spans="1:5">
      <c r="A540" s="130"/>
      <c r="B540" s="167"/>
      <c r="C540" s="167"/>
      <c r="D540" s="129"/>
      <c r="E540" s="167"/>
    </row>
    <row r="541" spans="1:5">
      <c r="A541" s="130"/>
      <c r="B541" s="167"/>
      <c r="C541" s="167"/>
      <c r="D541" s="129"/>
      <c r="E541" s="167"/>
    </row>
    <row r="542" spans="1:5">
      <c r="A542" s="130"/>
      <c r="B542" s="167"/>
      <c r="C542" s="167"/>
      <c r="D542" s="129"/>
      <c r="E542" s="167"/>
    </row>
    <row r="543" spans="1:5">
      <c r="A543" s="130"/>
      <c r="B543" s="167"/>
      <c r="C543" s="167"/>
      <c r="D543" s="129"/>
      <c r="E543" s="167"/>
    </row>
    <row r="544" spans="1:5">
      <c r="A544" s="130"/>
      <c r="B544" s="167"/>
      <c r="C544" s="167"/>
      <c r="D544" s="129"/>
      <c r="E544" s="167"/>
    </row>
    <row r="545" spans="1:5">
      <c r="A545" s="130"/>
      <c r="B545" s="167"/>
      <c r="C545" s="167"/>
      <c r="D545" s="129"/>
      <c r="E545" s="167"/>
    </row>
    <row r="546" spans="1:5">
      <c r="A546" s="130"/>
      <c r="B546" s="167"/>
      <c r="C546" s="167"/>
      <c r="D546" s="129"/>
      <c r="E546" s="167"/>
    </row>
    <row r="547" spans="1:5">
      <c r="A547" s="130"/>
      <c r="B547" s="167"/>
      <c r="C547" s="167"/>
      <c r="D547" s="129"/>
      <c r="E547" s="167"/>
    </row>
    <row r="548" spans="1:5">
      <c r="A548" s="130"/>
      <c r="B548" s="167"/>
      <c r="C548" s="167"/>
      <c r="D548" s="129"/>
      <c r="E548" s="167"/>
    </row>
    <row r="549" spans="1:5">
      <c r="A549" s="130"/>
      <c r="B549" s="167"/>
      <c r="C549" s="167"/>
      <c r="D549" s="129"/>
      <c r="E549" s="167"/>
    </row>
    <row r="550" spans="1:5">
      <c r="A550" s="130"/>
      <c r="B550" s="167"/>
      <c r="C550" s="167"/>
      <c r="D550" s="129"/>
      <c r="E550" s="167"/>
    </row>
    <row r="551" spans="1:5">
      <c r="A551" s="130"/>
      <c r="B551" s="167"/>
      <c r="C551" s="167"/>
      <c r="D551" s="129"/>
      <c r="E551" s="167"/>
    </row>
    <row r="552" spans="1:5">
      <c r="A552" s="130"/>
      <c r="B552" s="167"/>
      <c r="C552" s="167"/>
      <c r="D552" s="129"/>
      <c r="E552" s="167"/>
    </row>
    <row r="553" spans="1:5">
      <c r="A553" s="130"/>
      <c r="B553" s="167"/>
      <c r="C553" s="167"/>
      <c r="D553" s="129"/>
      <c r="E553" s="167"/>
    </row>
    <row r="554" spans="1:5">
      <c r="A554" s="130"/>
      <c r="B554" s="167"/>
      <c r="C554" s="167"/>
      <c r="D554" s="129"/>
      <c r="E554" s="167"/>
    </row>
    <row r="555" spans="1:5">
      <c r="A555" s="130"/>
      <c r="B555" s="167"/>
      <c r="C555" s="167"/>
      <c r="D555" s="129"/>
      <c r="E555" s="167"/>
    </row>
    <row r="556" spans="1:5">
      <c r="A556" s="130"/>
      <c r="B556" s="167"/>
      <c r="C556" s="167"/>
      <c r="D556" s="129"/>
      <c r="E556" s="167"/>
    </row>
    <row r="557" spans="1:5">
      <c r="A557" s="130"/>
      <c r="B557" s="167"/>
      <c r="C557" s="167"/>
      <c r="D557" s="129"/>
      <c r="E557" s="167"/>
    </row>
    <row r="558" spans="1:5">
      <c r="A558" s="130"/>
      <c r="B558" s="167"/>
      <c r="C558" s="167"/>
      <c r="D558" s="129"/>
      <c r="E558" s="167"/>
    </row>
    <row r="559" spans="1:5">
      <c r="A559" s="130"/>
      <c r="B559" s="167"/>
      <c r="C559" s="167"/>
      <c r="D559" s="129"/>
      <c r="E559" s="167"/>
    </row>
    <row r="560" spans="1:5">
      <c r="A560" s="130"/>
      <c r="B560" s="167"/>
      <c r="C560" s="167"/>
      <c r="D560" s="129"/>
      <c r="E560" s="167"/>
    </row>
    <row r="561" spans="1:5">
      <c r="A561" s="130"/>
      <c r="B561" s="167"/>
      <c r="C561" s="167"/>
      <c r="D561" s="129"/>
      <c r="E561" s="167"/>
    </row>
    <row r="562" spans="1:5">
      <c r="A562" s="130"/>
      <c r="B562" s="167"/>
      <c r="C562" s="167"/>
      <c r="D562" s="129"/>
      <c r="E562" s="167"/>
    </row>
    <row r="563" spans="1:5">
      <c r="A563" s="130"/>
      <c r="B563" s="167"/>
      <c r="C563" s="167"/>
      <c r="D563" s="129"/>
      <c r="E563" s="167"/>
    </row>
    <row r="564" spans="1:5">
      <c r="A564" s="130"/>
      <c r="B564" s="167"/>
      <c r="C564" s="167"/>
      <c r="D564" s="129"/>
      <c r="E564" s="167"/>
    </row>
    <row r="565" spans="1:5">
      <c r="A565" s="130"/>
      <c r="B565" s="167"/>
      <c r="C565" s="167"/>
      <c r="D565" s="129"/>
      <c r="E565" s="167"/>
    </row>
    <row r="566" spans="1:5">
      <c r="A566" s="130"/>
      <c r="B566" s="167"/>
      <c r="C566" s="167"/>
      <c r="D566" s="129"/>
      <c r="E566" s="167"/>
    </row>
    <row r="567" spans="1:5">
      <c r="A567" s="130"/>
      <c r="B567" s="167"/>
      <c r="C567" s="167"/>
      <c r="D567" s="129"/>
      <c r="E567" s="167"/>
    </row>
    <row r="568" spans="1:5">
      <c r="A568" s="130"/>
      <c r="B568" s="167"/>
      <c r="C568" s="167"/>
      <c r="D568" s="129"/>
      <c r="E568" s="167"/>
    </row>
    <row r="569" spans="1:5">
      <c r="A569" s="130"/>
      <c r="B569" s="167"/>
      <c r="C569" s="167"/>
      <c r="D569" s="129"/>
      <c r="E569" s="167"/>
    </row>
    <row r="570" spans="1:5">
      <c r="A570" s="130"/>
      <c r="B570" s="167"/>
      <c r="C570" s="167"/>
      <c r="D570" s="129"/>
      <c r="E570" s="167"/>
    </row>
    <row r="571" spans="1:5">
      <c r="A571" s="130"/>
      <c r="B571" s="167"/>
      <c r="C571" s="167"/>
      <c r="D571" s="129"/>
      <c r="E571" s="167"/>
    </row>
    <row r="572" spans="1:5">
      <c r="A572" s="130"/>
      <c r="B572" s="167"/>
      <c r="C572" s="167"/>
      <c r="D572" s="129"/>
      <c r="E572" s="167"/>
    </row>
    <row r="573" spans="1:5">
      <c r="A573" s="130"/>
      <c r="B573" s="167"/>
      <c r="C573" s="167"/>
      <c r="D573" s="129"/>
      <c r="E573" s="167"/>
    </row>
    <row r="574" spans="1:5">
      <c r="A574" s="130"/>
      <c r="B574" s="167"/>
      <c r="C574" s="167"/>
      <c r="D574" s="129"/>
      <c r="E574" s="167"/>
    </row>
    <row r="575" spans="1:5">
      <c r="A575" s="130"/>
      <c r="B575" s="167"/>
      <c r="C575" s="167"/>
      <c r="D575" s="129"/>
      <c r="E575" s="167"/>
    </row>
    <row r="576" spans="1:5">
      <c r="A576" s="130"/>
      <c r="B576" s="167"/>
      <c r="C576" s="167"/>
      <c r="D576" s="129"/>
      <c r="E576" s="167"/>
    </row>
    <row r="577" spans="1:5">
      <c r="A577" s="130"/>
      <c r="B577" s="167"/>
      <c r="C577" s="167"/>
      <c r="D577" s="129"/>
      <c r="E577" s="167"/>
    </row>
    <row r="578" spans="1:5">
      <c r="A578" s="130"/>
      <c r="B578" s="167"/>
      <c r="C578" s="167"/>
      <c r="D578" s="129"/>
      <c r="E578" s="167"/>
    </row>
    <row r="579" spans="1:5">
      <c r="A579" s="130"/>
      <c r="B579" s="167"/>
      <c r="C579" s="167"/>
      <c r="D579" s="129"/>
      <c r="E579" s="167"/>
    </row>
    <row r="580" spans="1:5">
      <c r="A580" s="130"/>
      <c r="B580" s="167"/>
      <c r="C580" s="167"/>
      <c r="D580" s="129"/>
      <c r="E580" s="167"/>
    </row>
    <row r="581" spans="1:5">
      <c r="A581" s="130"/>
      <c r="B581" s="167"/>
      <c r="C581" s="167"/>
      <c r="D581" s="129"/>
      <c r="E581" s="167"/>
    </row>
    <row r="582" spans="1:5">
      <c r="A582" s="130"/>
      <c r="B582" s="167"/>
      <c r="C582" s="167"/>
      <c r="D582" s="129"/>
      <c r="E582" s="167"/>
    </row>
    <row r="583" spans="1:5">
      <c r="A583" s="130"/>
      <c r="B583" s="167"/>
      <c r="C583" s="167"/>
      <c r="D583" s="129"/>
      <c r="E583" s="167"/>
    </row>
    <row r="584" spans="1:5">
      <c r="A584" s="130"/>
      <c r="B584" s="167"/>
      <c r="C584" s="167"/>
      <c r="D584" s="129"/>
      <c r="E584" s="167"/>
    </row>
    <row r="585" spans="1:5">
      <c r="A585" s="130"/>
      <c r="B585" s="167"/>
      <c r="C585" s="167"/>
      <c r="D585" s="129"/>
      <c r="E585" s="167"/>
    </row>
    <row r="586" spans="1:5">
      <c r="A586" s="130"/>
      <c r="B586" s="167"/>
      <c r="C586" s="167"/>
      <c r="D586" s="129"/>
      <c r="E586" s="167"/>
    </row>
    <row r="587" spans="1:5">
      <c r="A587" s="130"/>
      <c r="B587" s="167"/>
      <c r="C587" s="167"/>
      <c r="D587" s="129"/>
      <c r="E587" s="167"/>
    </row>
    <row r="588" spans="1:5">
      <c r="A588" s="130"/>
      <c r="B588" s="167"/>
      <c r="C588" s="167"/>
      <c r="D588" s="129"/>
      <c r="E588" s="167"/>
    </row>
    <row r="589" spans="1:5">
      <c r="A589" s="130"/>
      <c r="B589" s="167"/>
      <c r="C589" s="167"/>
      <c r="D589" s="129"/>
      <c r="E589" s="167"/>
    </row>
    <row r="590" spans="1:5">
      <c r="A590" s="130"/>
      <c r="B590" s="167"/>
      <c r="C590" s="167"/>
      <c r="D590" s="129"/>
      <c r="E590" s="167"/>
    </row>
    <row r="591" spans="1:5">
      <c r="A591" s="130"/>
      <c r="B591" s="167"/>
      <c r="C591" s="167"/>
      <c r="D591" s="129"/>
      <c r="E591" s="167"/>
    </row>
    <row r="592" spans="1:5">
      <c r="A592" s="130"/>
      <c r="B592" s="167"/>
      <c r="C592" s="167"/>
      <c r="D592" s="129"/>
      <c r="E592" s="167"/>
    </row>
    <row r="593" spans="1:5">
      <c r="A593" s="130"/>
      <c r="B593" s="167"/>
      <c r="C593" s="167"/>
      <c r="D593" s="129"/>
      <c r="E593" s="167"/>
    </row>
    <row r="594" spans="1:5">
      <c r="A594" s="130"/>
      <c r="B594" s="167"/>
      <c r="C594" s="167"/>
      <c r="D594" s="129"/>
      <c r="E594" s="167"/>
    </row>
    <row r="595" spans="1:5">
      <c r="A595" s="130"/>
      <c r="B595" s="167"/>
      <c r="C595" s="167"/>
      <c r="D595" s="129"/>
      <c r="E595" s="167"/>
    </row>
    <row r="596" spans="1:5">
      <c r="A596" s="130"/>
      <c r="B596" s="167"/>
      <c r="C596" s="167"/>
      <c r="D596" s="129"/>
      <c r="E596" s="167"/>
    </row>
    <row r="597" spans="1:5">
      <c r="A597" s="130"/>
      <c r="B597" s="167"/>
      <c r="C597" s="167"/>
      <c r="D597" s="129"/>
      <c r="E597" s="167"/>
    </row>
    <row r="598" spans="1:5">
      <c r="A598" s="130"/>
      <c r="B598" s="167"/>
      <c r="C598" s="167"/>
      <c r="D598" s="129"/>
      <c r="E598" s="167"/>
    </row>
    <row r="599" spans="1:5">
      <c r="A599" s="130"/>
      <c r="B599" s="167"/>
      <c r="C599" s="167"/>
      <c r="D599" s="129"/>
      <c r="E599" s="167"/>
    </row>
    <row r="600" spans="1:5">
      <c r="A600" s="130"/>
      <c r="B600" s="167"/>
      <c r="C600" s="167"/>
      <c r="D600" s="129"/>
      <c r="E600" s="167"/>
    </row>
    <row r="601" spans="1:5">
      <c r="A601" s="130"/>
      <c r="B601" s="167"/>
      <c r="C601" s="167"/>
      <c r="D601" s="129"/>
      <c r="E601" s="167"/>
    </row>
    <row r="602" spans="1:5">
      <c r="A602" s="130"/>
      <c r="B602" s="167"/>
      <c r="C602" s="167"/>
      <c r="D602" s="129"/>
      <c r="E602" s="167"/>
    </row>
    <row r="603" spans="1:5">
      <c r="A603" s="130"/>
      <c r="B603" s="167"/>
      <c r="C603" s="167"/>
      <c r="D603" s="129"/>
      <c r="E603" s="167"/>
    </row>
    <row r="604" spans="1:5">
      <c r="A604" s="130"/>
      <c r="B604" s="167"/>
      <c r="C604" s="167"/>
      <c r="D604" s="129"/>
      <c r="E604" s="167"/>
    </row>
    <row r="605" spans="1:5">
      <c r="A605" s="130"/>
      <c r="B605" s="167"/>
      <c r="C605" s="167"/>
      <c r="D605" s="129"/>
      <c r="E605" s="167"/>
    </row>
    <row r="606" spans="1:5">
      <c r="A606" s="130"/>
      <c r="B606" s="167"/>
      <c r="C606" s="167"/>
      <c r="D606" s="129"/>
      <c r="E606" s="167"/>
    </row>
    <row r="607" spans="1:5">
      <c r="A607" s="130"/>
      <c r="B607" s="167"/>
      <c r="C607" s="167"/>
      <c r="D607" s="129"/>
      <c r="E607" s="167"/>
    </row>
    <row r="608" spans="1:5">
      <c r="A608" s="130"/>
      <c r="B608" s="167"/>
      <c r="C608" s="167"/>
      <c r="D608" s="129"/>
      <c r="E608" s="167"/>
    </row>
    <row r="609" spans="1:5">
      <c r="A609" s="130"/>
      <c r="B609" s="167"/>
      <c r="C609" s="167"/>
      <c r="D609" s="129"/>
      <c r="E609" s="167"/>
    </row>
    <row r="610" spans="1:5">
      <c r="A610" s="130"/>
      <c r="B610" s="167"/>
      <c r="C610" s="167"/>
      <c r="D610" s="129"/>
      <c r="E610" s="167"/>
    </row>
    <row r="611" spans="1:5">
      <c r="A611" s="130"/>
      <c r="B611" s="167"/>
      <c r="C611" s="167"/>
      <c r="D611" s="129"/>
      <c r="E611" s="167"/>
    </row>
    <row r="612" spans="1:5">
      <c r="A612" s="130"/>
      <c r="B612" s="167"/>
      <c r="C612" s="167"/>
      <c r="D612" s="129"/>
      <c r="E612" s="167"/>
    </row>
    <row r="613" spans="1:5">
      <c r="A613" s="130"/>
      <c r="B613" s="167"/>
      <c r="C613" s="167"/>
      <c r="D613" s="129"/>
      <c r="E613" s="167"/>
    </row>
    <row r="614" spans="1:5">
      <c r="A614" s="130"/>
      <c r="B614" s="167"/>
      <c r="C614" s="167"/>
      <c r="D614" s="129"/>
      <c r="E614" s="167"/>
    </row>
    <row r="615" spans="1:5">
      <c r="A615" s="130"/>
      <c r="B615" s="167"/>
      <c r="C615" s="167"/>
      <c r="D615" s="129"/>
      <c r="E615" s="167"/>
    </row>
    <row r="616" spans="1:5">
      <c r="A616" s="130"/>
      <c r="B616" s="167"/>
      <c r="C616" s="167"/>
      <c r="D616" s="129"/>
      <c r="E616" s="167"/>
    </row>
    <row r="617" spans="1:5">
      <c r="A617" s="130"/>
      <c r="B617" s="167"/>
      <c r="C617" s="167"/>
      <c r="D617" s="129"/>
      <c r="E617" s="167"/>
    </row>
    <row r="618" spans="1:5">
      <c r="A618" s="130"/>
      <c r="B618" s="167"/>
      <c r="C618" s="167"/>
      <c r="D618" s="129"/>
      <c r="E618" s="167"/>
    </row>
    <row r="619" spans="1:5">
      <c r="A619" s="130"/>
      <c r="B619" s="167"/>
      <c r="C619" s="167"/>
      <c r="D619" s="129"/>
      <c r="E619" s="167"/>
    </row>
    <row r="620" spans="1:5">
      <c r="A620" s="130"/>
      <c r="B620" s="167"/>
      <c r="C620" s="167"/>
      <c r="D620" s="129"/>
      <c r="E620" s="167"/>
    </row>
    <row r="621" spans="1:5">
      <c r="A621" s="130"/>
      <c r="B621" s="167"/>
      <c r="C621" s="167"/>
      <c r="D621" s="129"/>
      <c r="E621" s="167"/>
    </row>
    <row r="622" spans="1:5">
      <c r="A622" s="130"/>
      <c r="B622" s="167"/>
      <c r="C622" s="167"/>
      <c r="D622" s="129"/>
      <c r="E622" s="167"/>
    </row>
    <row r="623" spans="1:5">
      <c r="A623" s="130"/>
      <c r="B623" s="167"/>
      <c r="C623" s="167"/>
      <c r="D623" s="129"/>
      <c r="E623" s="167"/>
    </row>
    <row r="624" spans="1:5">
      <c r="A624" s="130"/>
      <c r="B624" s="167"/>
      <c r="C624" s="167"/>
      <c r="D624" s="129"/>
      <c r="E624" s="167"/>
    </row>
    <row r="625" spans="1:5">
      <c r="A625" s="130"/>
      <c r="B625" s="167"/>
      <c r="C625" s="167"/>
      <c r="D625" s="129"/>
      <c r="E625" s="167"/>
    </row>
    <row r="626" spans="1:5">
      <c r="A626" s="130"/>
      <c r="B626" s="167"/>
      <c r="C626" s="167"/>
      <c r="D626" s="129"/>
      <c r="E626" s="167"/>
    </row>
    <row r="627" spans="1:5">
      <c r="A627" s="130"/>
      <c r="B627" s="167"/>
      <c r="C627" s="167"/>
      <c r="D627" s="129"/>
      <c r="E627" s="167"/>
    </row>
    <row r="628" spans="1:5">
      <c r="A628" s="130"/>
      <c r="B628" s="167"/>
      <c r="C628" s="167"/>
      <c r="D628" s="129"/>
      <c r="E628" s="167"/>
    </row>
    <row r="629" spans="1:5">
      <c r="A629" s="130"/>
      <c r="B629" s="167"/>
      <c r="C629" s="167"/>
      <c r="D629" s="129"/>
      <c r="E629" s="167"/>
    </row>
    <row r="630" spans="1:5">
      <c r="A630" s="130"/>
      <c r="B630" s="167"/>
      <c r="C630" s="167"/>
      <c r="D630" s="129"/>
      <c r="E630" s="167"/>
    </row>
    <row r="631" spans="1:5">
      <c r="A631" s="130"/>
      <c r="B631" s="167"/>
      <c r="C631" s="167"/>
      <c r="D631" s="129"/>
      <c r="E631" s="167"/>
    </row>
    <row r="632" spans="1:5">
      <c r="A632" s="130"/>
      <c r="B632" s="167"/>
      <c r="C632" s="167"/>
      <c r="D632" s="129"/>
      <c r="E632" s="167"/>
    </row>
    <row r="633" spans="1:5">
      <c r="A633" s="130"/>
      <c r="B633" s="167"/>
      <c r="C633" s="167"/>
      <c r="D633" s="129"/>
      <c r="E633" s="167"/>
    </row>
    <row r="634" spans="1:5">
      <c r="A634" s="130"/>
      <c r="B634" s="167"/>
      <c r="C634" s="167"/>
      <c r="D634" s="129"/>
      <c r="E634" s="167"/>
    </row>
    <row r="635" spans="1:5">
      <c r="A635" s="130"/>
      <c r="B635" s="167"/>
      <c r="C635" s="167"/>
      <c r="D635" s="129"/>
      <c r="E635" s="167"/>
    </row>
    <row r="636" spans="1:5">
      <c r="A636" s="130"/>
      <c r="B636" s="167"/>
      <c r="C636" s="167"/>
      <c r="D636" s="129"/>
      <c r="E636" s="167"/>
    </row>
    <row r="637" spans="1:5">
      <c r="A637" s="130"/>
      <c r="B637" s="167"/>
      <c r="C637" s="167"/>
      <c r="D637" s="129"/>
      <c r="E637" s="167"/>
    </row>
    <row r="638" spans="1:5">
      <c r="A638" s="130"/>
      <c r="B638" s="167"/>
      <c r="C638" s="167"/>
      <c r="D638" s="129"/>
      <c r="E638" s="167"/>
    </row>
    <row r="639" spans="1:5">
      <c r="A639" s="130"/>
      <c r="B639" s="167"/>
      <c r="C639" s="167"/>
      <c r="D639" s="129"/>
      <c r="E639" s="167"/>
    </row>
    <row r="640" spans="1:5">
      <c r="A640" s="130"/>
      <c r="B640" s="167"/>
      <c r="C640" s="167"/>
      <c r="D640" s="129"/>
      <c r="E640" s="167"/>
    </row>
    <row r="641" spans="1:5">
      <c r="A641" s="130"/>
      <c r="B641" s="167"/>
      <c r="C641" s="167"/>
      <c r="D641" s="129"/>
      <c r="E641" s="167"/>
    </row>
    <row r="642" spans="1:5">
      <c r="A642" s="130"/>
      <c r="B642" s="167"/>
      <c r="C642" s="167"/>
      <c r="D642" s="129"/>
      <c r="E642" s="167"/>
    </row>
    <row r="643" spans="1:5">
      <c r="A643" s="130"/>
      <c r="B643" s="167"/>
      <c r="C643" s="167"/>
      <c r="D643" s="129"/>
      <c r="E643" s="167"/>
    </row>
    <row r="644" spans="1:5">
      <c r="A644" s="130"/>
      <c r="B644" s="167"/>
      <c r="C644" s="167"/>
      <c r="D644" s="129"/>
      <c r="E644" s="167"/>
    </row>
    <row r="645" spans="1:5">
      <c r="A645" s="130"/>
      <c r="B645" s="167"/>
      <c r="C645" s="167"/>
      <c r="D645" s="129"/>
      <c r="E645" s="167"/>
    </row>
    <row r="646" spans="1:5">
      <c r="A646" s="130"/>
      <c r="B646" s="167"/>
      <c r="C646" s="167"/>
      <c r="D646" s="129"/>
      <c r="E646" s="167"/>
    </row>
    <row r="647" spans="1:5">
      <c r="A647" s="130"/>
      <c r="B647" s="167"/>
      <c r="C647" s="167"/>
      <c r="D647" s="129"/>
      <c r="E647" s="167"/>
    </row>
    <row r="648" spans="1:5">
      <c r="A648" s="130"/>
      <c r="B648" s="167"/>
      <c r="C648" s="167"/>
      <c r="D648" s="129"/>
      <c r="E648" s="167"/>
    </row>
    <row r="649" spans="1:5">
      <c r="A649" s="130"/>
      <c r="B649" s="167"/>
      <c r="C649" s="167"/>
      <c r="D649" s="129"/>
      <c r="E649" s="167"/>
    </row>
    <row r="650" spans="1:5">
      <c r="A650" s="130"/>
      <c r="B650" s="167"/>
      <c r="C650" s="167"/>
      <c r="D650" s="129"/>
      <c r="E650" s="167"/>
    </row>
    <row r="651" spans="1:5">
      <c r="A651" s="130"/>
      <c r="B651" s="167"/>
      <c r="C651" s="167"/>
      <c r="D651" s="129"/>
      <c r="E651" s="167"/>
    </row>
    <row r="652" spans="1:5">
      <c r="A652" s="130"/>
      <c r="B652" s="167"/>
      <c r="C652" s="167"/>
      <c r="D652" s="129"/>
      <c r="E652" s="167"/>
    </row>
    <row r="653" spans="1:5">
      <c r="A653" s="130"/>
      <c r="B653" s="167"/>
      <c r="C653" s="167"/>
      <c r="D653" s="129"/>
      <c r="E653" s="167"/>
    </row>
    <row r="654" spans="1:5">
      <c r="A654" s="130"/>
      <c r="B654" s="167"/>
      <c r="C654" s="167"/>
      <c r="D654" s="129"/>
      <c r="E654" s="167"/>
    </row>
    <row r="655" spans="1:5">
      <c r="A655" s="130"/>
      <c r="B655" s="167"/>
      <c r="C655" s="167"/>
      <c r="D655" s="129"/>
      <c r="E655" s="167"/>
    </row>
    <row r="656" spans="1:5">
      <c r="A656" s="130"/>
      <c r="B656" s="167"/>
      <c r="C656" s="167"/>
      <c r="D656" s="129"/>
      <c r="E656" s="167"/>
    </row>
    <row r="657" spans="1:5">
      <c r="A657" s="130"/>
      <c r="B657" s="167"/>
      <c r="C657" s="167"/>
      <c r="D657" s="129"/>
      <c r="E657" s="167"/>
    </row>
    <row r="658" spans="1:5">
      <c r="A658" s="130"/>
      <c r="B658" s="167"/>
      <c r="C658" s="167"/>
      <c r="D658" s="129"/>
      <c r="E658" s="167"/>
    </row>
    <row r="659" spans="1:5">
      <c r="A659" s="130"/>
      <c r="B659" s="167"/>
      <c r="C659" s="167"/>
      <c r="D659" s="129"/>
      <c r="E659" s="167"/>
    </row>
    <row r="660" spans="1:5">
      <c r="A660" s="130"/>
      <c r="B660" s="167"/>
      <c r="C660" s="167"/>
      <c r="D660" s="129"/>
      <c r="E660" s="167"/>
    </row>
    <row r="661" spans="1:5">
      <c r="A661" s="130"/>
      <c r="B661" s="167"/>
      <c r="C661" s="167"/>
      <c r="D661" s="129"/>
      <c r="E661" s="167"/>
    </row>
    <row r="662" spans="1:5">
      <c r="A662" s="130"/>
      <c r="B662" s="167"/>
      <c r="C662" s="167"/>
      <c r="D662" s="129"/>
      <c r="E662" s="167"/>
    </row>
    <row r="663" spans="1:5">
      <c r="A663" s="130"/>
      <c r="B663" s="167"/>
      <c r="C663" s="167"/>
      <c r="D663" s="129"/>
      <c r="E663" s="167"/>
    </row>
    <row r="664" spans="1:5">
      <c r="A664" s="130"/>
      <c r="B664" s="167"/>
      <c r="C664" s="167"/>
      <c r="D664" s="129"/>
      <c r="E664" s="167"/>
    </row>
    <row r="665" spans="1:5">
      <c r="A665" s="130"/>
      <c r="B665" s="167"/>
      <c r="C665" s="167"/>
      <c r="D665" s="129"/>
      <c r="E665" s="167"/>
    </row>
    <row r="666" spans="1:5">
      <c r="A666" s="130"/>
      <c r="B666" s="167"/>
      <c r="C666" s="167"/>
      <c r="D666" s="129"/>
      <c r="E666" s="167"/>
    </row>
    <row r="667" spans="1:5">
      <c r="A667" s="130"/>
      <c r="B667" s="167"/>
      <c r="C667" s="167"/>
      <c r="D667" s="129"/>
      <c r="E667" s="167"/>
    </row>
    <row r="668" spans="1:5">
      <c r="A668" s="130"/>
      <c r="B668" s="167"/>
      <c r="C668" s="167"/>
      <c r="D668" s="129"/>
      <c r="E668" s="167"/>
    </row>
    <row r="669" spans="1:5">
      <c r="A669" s="130"/>
      <c r="B669" s="167"/>
      <c r="C669" s="167"/>
      <c r="D669" s="129"/>
      <c r="E669" s="167"/>
    </row>
    <row r="670" spans="1:5">
      <c r="A670" s="130"/>
      <c r="B670" s="167"/>
      <c r="C670" s="167"/>
      <c r="D670" s="129"/>
      <c r="E670" s="167"/>
    </row>
    <row r="671" spans="1:5">
      <c r="A671" s="130"/>
      <c r="B671" s="167"/>
      <c r="C671" s="167"/>
      <c r="D671" s="129"/>
      <c r="E671" s="167"/>
    </row>
    <row r="672" spans="1:5">
      <c r="A672" s="130"/>
      <c r="B672" s="167"/>
      <c r="C672" s="167"/>
      <c r="D672" s="129"/>
      <c r="E672" s="167"/>
    </row>
    <row r="673" spans="1:5">
      <c r="A673" s="130"/>
      <c r="B673" s="167"/>
      <c r="C673" s="167"/>
      <c r="D673" s="129"/>
      <c r="E673" s="167"/>
    </row>
    <row r="674" spans="1:5">
      <c r="A674" s="130"/>
      <c r="B674" s="167"/>
      <c r="C674" s="167"/>
      <c r="D674" s="129"/>
      <c r="E674" s="167"/>
    </row>
    <row r="675" spans="1:5">
      <c r="A675" s="130"/>
      <c r="B675" s="167"/>
      <c r="C675" s="167"/>
      <c r="D675" s="129"/>
      <c r="E675" s="167"/>
    </row>
    <row r="676" spans="1:5">
      <c r="A676" s="130"/>
      <c r="B676" s="167"/>
      <c r="C676" s="167"/>
      <c r="D676" s="129"/>
      <c r="E676" s="167"/>
    </row>
    <row r="677" spans="1:5">
      <c r="A677" s="130"/>
      <c r="B677" s="167"/>
      <c r="C677" s="167"/>
      <c r="D677" s="129"/>
      <c r="E677" s="167"/>
    </row>
    <row r="678" spans="1:5">
      <c r="A678" s="130"/>
      <c r="B678" s="167"/>
      <c r="C678" s="167"/>
      <c r="D678" s="129"/>
      <c r="E678" s="167"/>
    </row>
    <row r="679" spans="1:5">
      <c r="A679" s="130"/>
      <c r="B679" s="167"/>
      <c r="C679" s="167"/>
      <c r="D679" s="129"/>
      <c r="E679" s="167"/>
    </row>
    <row r="680" spans="1:5">
      <c r="A680" s="130"/>
      <c r="B680" s="167"/>
      <c r="C680" s="167"/>
      <c r="D680" s="129"/>
      <c r="E680" s="167"/>
    </row>
    <row r="681" spans="1:5">
      <c r="A681" s="130"/>
      <c r="B681" s="167"/>
      <c r="C681" s="167"/>
      <c r="D681" s="129"/>
      <c r="E681" s="167"/>
    </row>
    <row r="682" spans="1:5">
      <c r="A682" s="130"/>
      <c r="B682" s="167"/>
      <c r="C682" s="167"/>
      <c r="D682" s="129"/>
      <c r="E682" s="167"/>
    </row>
    <row r="683" spans="1:5">
      <c r="A683" s="130"/>
      <c r="B683" s="167"/>
      <c r="C683" s="167"/>
      <c r="D683" s="129"/>
      <c r="E683" s="167"/>
    </row>
    <row r="684" spans="1:5">
      <c r="A684" s="130"/>
      <c r="B684" s="167"/>
      <c r="C684" s="167"/>
      <c r="D684" s="129"/>
      <c r="E684" s="167"/>
    </row>
    <row r="685" spans="1:5">
      <c r="A685" s="130"/>
      <c r="B685" s="167"/>
      <c r="C685" s="167"/>
      <c r="D685" s="129"/>
      <c r="E685" s="167"/>
    </row>
    <row r="686" spans="1:5">
      <c r="A686" s="130"/>
      <c r="B686" s="167"/>
      <c r="C686" s="167"/>
      <c r="D686" s="129"/>
      <c r="E686" s="167"/>
    </row>
    <row r="687" spans="1:5">
      <c r="A687" s="130"/>
      <c r="B687" s="167"/>
      <c r="C687" s="167"/>
      <c r="D687" s="129"/>
      <c r="E687" s="167"/>
    </row>
    <row r="688" spans="1:5">
      <c r="A688" s="130"/>
      <c r="B688" s="167"/>
      <c r="C688" s="167"/>
      <c r="D688" s="129"/>
      <c r="E688" s="167"/>
    </row>
    <row r="689" spans="1:5">
      <c r="A689" s="130"/>
      <c r="B689" s="167"/>
      <c r="C689" s="167"/>
      <c r="D689" s="129"/>
      <c r="E689" s="167"/>
    </row>
    <row r="690" spans="1:5">
      <c r="A690" s="130"/>
      <c r="B690" s="167"/>
      <c r="C690" s="167"/>
      <c r="D690" s="129"/>
      <c r="E690" s="167"/>
    </row>
    <row r="691" spans="1:5">
      <c r="A691" s="130"/>
      <c r="B691" s="167"/>
      <c r="C691" s="167"/>
      <c r="D691" s="129"/>
      <c r="E691" s="167"/>
    </row>
    <row r="692" spans="1:5">
      <c r="A692" s="130"/>
      <c r="B692" s="167"/>
      <c r="C692" s="167"/>
      <c r="D692" s="129"/>
      <c r="E692" s="167"/>
    </row>
    <row r="693" spans="1:5">
      <c r="A693" s="130"/>
      <c r="B693" s="167"/>
      <c r="C693" s="167"/>
      <c r="D693" s="129"/>
      <c r="E693" s="167"/>
    </row>
    <row r="694" spans="1:5">
      <c r="A694" s="130"/>
      <c r="B694" s="167"/>
      <c r="C694" s="167"/>
      <c r="D694" s="129"/>
      <c r="E694" s="167"/>
    </row>
    <row r="695" spans="1:5">
      <c r="A695" s="130"/>
      <c r="B695" s="167"/>
      <c r="C695" s="167"/>
      <c r="D695" s="129"/>
      <c r="E695" s="167"/>
    </row>
    <row r="696" spans="1:5">
      <c r="A696" s="130"/>
      <c r="B696" s="167"/>
      <c r="C696" s="167"/>
      <c r="D696" s="129"/>
      <c r="E696" s="167"/>
    </row>
    <row r="697" spans="1:5">
      <c r="A697" s="130"/>
      <c r="B697" s="167"/>
      <c r="C697" s="167"/>
      <c r="D697" s="129"/>
      <c r="E697" s="167"/>
    </row>
    <row r="698" spans="1:5">
      <c r="A698" s="130"/>
      <c r="B698" s="167"/>
      <c r="C698" s="167"/>
      <c r="D698" s="129"/>
      <c r="E698" s="167"/>
    </row>
    <row r="699" spans="1:5">
      <c r="A699" s="130"/>
      <c r="B699" s="167"/>
      <c r="C699" s="167"/>
      <c r="D699" s="129"/>
      <c r="E699" s="167"/>
    </row>
    <row r="700" spans="1:5">
      <c r="A700" s="130"/>
      <c r="B700" s="167"/>
      <c r="C700" s="167"/>
      <c r="D700" s="129"/>
      <c r="E700" s="167"/>
    </row>
    <row r="701" spans="1:5">
      <c r="A701" s="130"/>
      <c r="B701" s="167"/>
      <c r="C701" s="167"/>
      <c r="D701" s="129"/>
      <c r="E701" s="167"/>
    </row>
    <row r="702" spans="1:5">
      <c r="A702" s="130"/>
      <c r="B702" s="167"/>
      <c r="C702" s="167"/>
      <c r="D702" s="129"/>
      <c r="E702" s="167"/>
    </row>
    <row r="703" spans="1:5">
      <c r="A703" s="130"/>
      <c r="B703" s="167"/>
      <c r="C703" s="167"/>
      <c r="D703" s="129"/>
      <c r="E703" s="167"/>
    </row>
    <row r="704" spans="1:5">
      <c r="A704" s="130"/>
      <c r="B704" s="167"/>
      <c r="C704" s="167"/>
      <c r="D704" s="129"/>
      <c r="E704" s="167"/>
    </row>
    <row r="705" spans="1:5">
      <c r="A705" s="130"/>
      <c r="B705" s="167"/>
      <c r="C705" s="167"/>
      <c r="D705" s="129"/>
      <c r="E705" s="167"/>
    </row>
    <row r="706" spans="1:5">
      <c r="A706" s="130"/>
      <c r="B706" s="167"/>
      <c r="C706" s="167"/>
      <c r="D706" s="129"/>
      <c r="E706" s="167"/>
    </row>
    <row r="707" spans="1:5">
      <c r="A707" s="130"/>
      <c r="B707" s="167"/>
      <c r="C707" s="167"/>
      <c r="D707" s="129"/>
      <c r="E707" s="167"/>
    </row>
    <row r="708" spans="1:5">
      <c r="A708" s="130"/>
      <c r="B708" s="167"/>
      <c r="C708" s="167"/>
      <c r="D708" s="129"/>
      <c r="E708" s="167"/>
    </row>
    <row r="709" spans="1:5">
      <c r="A709" s="130"/>
      <c r="B709" s="167"/>
      <c r="C709" s="167"/>
      <c r="D709" s="129"/>
      <c r="E709" s="167"/>
    </row>
    <row r="710" spans="1:5">
      <c r="A710" s="130"/>
      <c r="B710" s="167"/>
      <c r="C710" s="167"/>
      <c r="D710" s="129"/>
      <c r="E710" s="167"/>
    </row>
    <row r="711" spans="1:5">
      <c r="A711" s="130"/>
      <c r="B711" s="167"/>
      <c r="C711" s="167"/>
      <c r="D711" s="129"/>
      <c r="E711" s="167"/>
    </row>
    <row r="712" spans="1:5">
      <c r="A712" s="130"/>
      <c r="B712" s="167"/>
      <c r="C712" s="167"/>
      <c r="D712" s="129"/>
      <c r="E712" s="167"/>
    </row>
    <row r="713" spans="1:5">
      <c r="A713" s="130"/>
      <c r="B713" s="167"/>
      <c r="C713" s="167"/>
      <c r="D713" s="129"/>
      <c r="E713" s="167"/>
    </row>
    <row r="714" spans="1:5">
      <c r="A714" s="130"/>
      <c r="B714" s="167"/>
      <c r="C714" s="167"/>
      <c r="D714" s="129"/>
      <c r="E714" s="167"/>
    </row>
    <row r="715" spans="1:5">
      <c r="A715" s="130"/>
      <c r="B715" s="167"/>
      <c r="C715" s="167"/>
      <c r="D715" s="129"/>
      <c r="E715" s="167"/>
    </row>
    <row r="716" spans="1:5">
      <c r="A716" s="130"/>
      <c r="B716" s="167"/>
      <c r="C716" s="167"/>
      <c r="D716" s="129"/>
      <c r="E716" s="167"/>
    </row>
    <row r="717" spans="1:5">
      <c r="A717" s="130"/>
      <c r="B717" s="167"/>
      <c r="C717" s="167"/>
      <c r="D717" s="129"/>
      <c r="E717" s="167"/>
    </row>
    <row r="718" spans="1:5">
      <c r="A718" s="130"/>
      <c r="B718" s="167"/>
      <c r="C718" s="167"/>
      <c r="D718" s="129"/>
      <c r="E718" s="167"/>
    </row>
    <row r="719" spans="1:5">
      <c r="A719" s="130"/>
      <c r="B719" s="167"/>
      <c r="C719" s="167"/>
      <c r="D719" s="129"/>
      <c r="E719" s="167"/>
    </row>
    <row r="720" spans="1:5">
      <c r="A720" s="130"/>
      <c r="B720" s="167"/>
      <c r="C720" s="167"/>
      <c r="D720" s="129"/>
      <c r="E720" s="167"/>
    </row>
    <row r="721" spans="1:5">
      <c r="A721" s="130"/>
      <c r="B721" s="167"/>
      <c r="C721" s="167"/>
      <c r="D721" s="129"/>
      <c r="E721" s="167"/>
    </row>
    <row r="722" spans="1:5">
      <c r="A722" s="130"/>
      <c r="B722" s="167"/>
      <c r="C722" s="167"/>
      <c r="D722" s="129"/>
      <c r="E722" s="167"/>
    </row>
    <row r="723" spans="1:5">
      <c r="A723" s="130"/>
      <c r="B723" s="167"/>
      <c r="C723" s="167"/>
      <c r="D723" s="129"/>
      <c r="E723" s="167"/>
    </row>
    <row r="724" spans="1:5">
      <c r="A724" s="130"/>
      <c r="B724" s="167"/>
      <c r="C724" s="167"/>
      <c r="D724" s="129"/>
      <c r="E724" s="167"/>
    </row>
    <row r="725" spans="1:5">
      <c r="A725" s="130"/>
      <c r="B725" s="167"/>
      <c r="C725" s="167"/>
      <c r="D725" s="129"/>
      <c r="E725" s="167"/>
    </row>
    <row r="726" spans="1:5">
      <c r="A726" s="130"/>
      <c r="B726" s="167"/>
      <c r="C726" s="167"/>
      <c r="D726" s="129"/>
      <c r="E726" s="167"/>
    </row>
    <row r="727" spans="1:5">
      <c r="A727" s="130"/>
      <c r="B727" s="167"/>
      <c r="C727" s="167"/>
      <c r="D727" s="129"/>
      <c r="E727" s="167"/>
    </row>
    <row r="728" spans="1:5">
      <c r="A728" s="130"/>
      <c r="B728" s="167"/>
      <c r="C728" s="167"/>
      <c r="D728" s="129"/>
      <c r="E728" s="167"/>
    </row>
    <row r="729" spans="1:5">
      <c r="A729" s="130"/>
      <c r="B729" s="167"/>
      <c r="C729" s="167"/>
      <c r="D729" s="129"/>
      <c r="E729" s="167"/>
    </row>
    <row r="730" spans="1:5">
      <c r="A730" s="130"/>
      <c r="B730" s="167"/>
      <c r="C730" s="167"/>
      <c r="D730" s="129"/>
      <c r="E730" s="167"/>
    </row>
    <row r="731" spans="1:5">
      <c r="A731" s="130"/>
      <c r="B731" s="167"/>
      <c r="C731" s="167"/>
      <c r="D731" s="129"/>
      <c r="E731" s="167"/>
    </row>
    <row r="732" spans="1:5">
      <c r="A732" s="130"/>
      <c r="B732" s="167"/>
      <c r="C732" s="167"/>
      <c r="D732" s="129"/>
      <c r="E732" s="167"/>
    </row>
    <row r="733" spans="1:5">
      <c r="A733" s="130"/>
      <c r="B733" s="167"/>
      <c r="C733" s="167"/>
      <c r="D733" s="129"/>
      <c r="E733" s="167"/>
    </row>
    <row r="734" spans="1:5">
      <c r="A734" s="130"/>
      <c r="B734" s="167"/>
      <c r="C734" s="167"/>
      <c r="D734" s="129"/>
      <c r="E734" s="167"/>
    </row>
    <row r="735" spans="1:5">
      <c r="A735" s="130"/>
      <c r="B735" s="167"/>
      <c r="C735" s="167"/>
      <c r="D735" s="129"/>
      <c r="E735" s="167"/>
    </row>
    <row r="736" spans="1:5">
      <c r="A736" s="130"/>
      <c r="B736" s="167"/>
      <c r="C736" s="167"/>
      <c r="D736" s="129"/>
      <c r="E736" s="167"/>
    </row>
    <row r="737" spans="1:5">
      <c r="A737" s="130"/>
      <c r="B737" s="167"/>
      <c r="C737" s="167"/>
      <c r="D737" s="129"/>
      <c r="E737" s="167"/>
    </row>
    <row r="738" spans="1:5">
      <c r="A738" s="130"/>
      <c r="B738" s="167"/>
      <c r="C738" s="167"/>
      <c r="D738" s="129"/>
      <c r="E738" s="167"/>
    </row>
    <row r="739" spans="1:5">
      <c r="A739" s="130"/>
      <c r="B739" s="167"/>
      <c r="C739" s="167"/>
      <c r="D739" s="129"/>
      <c r="E739" s="167"/>
    </row>
    <row r="740" spans="1:5">
      <c r="A740" s="130"/>
      <c r="B740" s="167"/>
      <c r="C740" s="167"/>
      <c r="D740" s="129"/>
      <c r="E740" s="167"/>
    </row>
    <row r="741" spans="1:5">
      <c r="A741" s="130"/>
      <c r="B741" s="167"/>
      <c r="C741" s="167"/>
      <c r="D741" s="129"/>
      <c r="E741" s="167"/>
    </row>
    <row r="742" spans="1:5">
      <c r="A742" s="130"/>
      <c r="B742" s="167"/>
      <c r="C742" s="167"/>
      <c r="D742" s="129"/>
      <c r="E742" s="167"/>
    </row>
    <row r="743" spans="1:5">
      <c r="A743" s="130"/>
      <c r="B743" s="167"/>
      <c r="C743" s="167"/>
      <c r="D743" s="129"/>
      <c r="E743" s="167"/>
    </row>
    <row r="744" spans="1:5">
      <c r="A744" s="130"/>
      <c r="B744" s="167"/>
      <c r="C744" s="167"/>
      <c r="D744" s="129"/>
      <c r="E744" s="167"/>
    </row>
    <row r="745" spans="1:5">
      <c r="A745" s="130"/>
      <c r="B745" s="167"/>
      <c r="C745" s="167"/>
      <c r="D745" s="129"/>
      <c r="E745" s="167"/>
    </row>
    <row r="746" spans="1:5">
      <c r="A746" s="130"/>
      <c r="B746" s="167"/>
      <c r="C746" s="167"/>
      <c r="D746" s="129"/>
      <c r="E746" s="167"/>
    </row>
    <row r="747" spans="1:5">
      <c r="A747" s="130"/>
      <c r="B747" s="167"/>
      <c r="C747" s="167"/>
      <c r="D747" s="129"/>
      <c r="E747" s="167"/>
    </row>
    <row r="748" spans="1:5">
      <c r="A748" s="130"/>
      <c r="B748" s="167"/>
      <c r="C748" s="167"/>
      <c r="D748" s="129"/>
      <c r="E748" s="167"/>
    </row>
    <row r="749" spans="1:5">
      <c r="A749" s="130"/>
      <c r="B749" s="167"/>
      <c r="C749" s="167"/>
      <c r="D749" s="129"/>
      <c r="E749" s="167"/>
    </row>
    <row r="750" spans="1:5">
      <c r="A750" s="130"/>
      <c r="B750" s="167"/>
      <c r="C750" s="167"/>
      <c r="D750" s="129"/>
      <c r="E750" s="167"/>
    </row>
    <row r="751" spans="1:5">
      <c r="A751" s="130"/>
      <c r="B751" s="167"/>
      <c r="C751" s="167"/>
      <c r="D751" s="129"/>
      <c r="E751" s="167"/>
    </row>
    <row r="752" spans="1:5">
      <c r="A752" s="130"/>
      <c r="B752" s="167"/>
      <c r="C752" s="167"/>
      <c r="D752" s="129"/>
      <c r="E752" s="167"/>
    </row>
    <row r="753" spans="1:5">
      <c r="A753" s="130"/>
      <c r="B753" s="167"/>
      <c r="C753" s="167"/>
      <c r="D753" s="129"/>
      <c r="E753" s="167"/>
    </row>
    <row r="754" spans="1:5">
      <c r="A754" s="130"/>
      <c r="B754" s="167"/>
      <c r="C754" s="167"/>
      <c r="D754" s="129"/>
      <c r="E754" s="167"/>
    </row>
    <row r="755" spans="1:5">
      <c r="A755" s="130"/>
      <c r="B755" s="167"/>
      <c r="C755" s="167"/>
      <c r="D755" s="129"/>
      <c r="E755" s="167"/>
    </row>
    <row r="756" spans="1:5">
      <c r="A756" s="130"/>
      <c r="B756" s="167"/>
      <c r="C756" s="167"/>
      <c r="D756" s="129"/>
      <c r="E756" s="167"/>
    </row>
    <row r="757" spans="1:5">
      <c r="A757" s="130"/>
      <c r="B757" s="167"/>
      <c r="C757" s="167"/>
      <c r="D757" s="129"/>
      <c r="E757" s="167"/>
    </row>
    <row r="758" spans="1:5">
      <c r="A758" s="130"/>
      <c r="B758" s="167"/>
      <c r="C758" s="167"/>
      <c r="D758" s="129"/>
      <c r="E758" s="167"/>
    </row>
    <row r="759" spans="1:5">
      <c r="A759" s="130"/>
      <c r="B759" s="167"/>
      <c r="C759" s="167"/>
      <c r="D759" s="129"/>
      <c r="E759" s="167"/>
    </row>
    <row r="760" spans="1:5">
      <c r="A760" s="130"/>
      <c r="B760" s="167"/>
      <c r="C760" s="167"/>
      <c r="D760" s="129"/>
      <c r="E760" s="167"/>
    </row>
    <row r="761" spans="1:5">
      <c r="A761" s="130"/>
      <c r="B761" s="167"/>
      <c r="C761" s="167"/>
      <c r="D761" s="129"/>
      <c r="E761" s="167"/>
    </row>
    <row r="762" spans="1:5">
      <c r="A762" s="130"/>
      <c r="B762" s="167"/>
      <c r="C762" s="167"/>
      <c r="D762" s="129"/>
      <c r="E762" s="167"/>
    </row>
    <row r="763" spans="1:5">
      <c r="A763" s="130"/>
      <c r="B763" s="167"/>
      <c r="C763" s="167"/>
      <c r="D763" s="129"/>
      <c r="E763" s="167"/>
    </row>
    <row r="764" spans="1:5">
      <c r="A764" s="130"/>
      <c r="B764" s="167"/>
      <c r="C764" s="167"/>
      <c r="D764" s="129"/>
      <c r="E764" s="167"/>
    </row>
    <row r="765" spans="1:5">
      <c r="A765" s="130"/>
      <c r="B765" s="167"/>
      <c r="C765" s="167"/>
      <c r="D765" s="129"/>
      <c r="E765" s="167"/>
    </row>
    <row r="766" spans="1:5">
      <c r="A766" s="130"/>
      <c r="B766" s="167"/>
      <c r="C766" s="167"/>
      <c r="D766" s="129"/>
      <c r="E766" s="167"/>
    </row>
    <row r="767" spans="1:5">
      <c r="A767" s="130"/>
      <c r="B767" s="167"/>
      <c r="C767" s="167"/>
      <c r="D767" s="129"/>
      <c r="E767" s="167"/>
    </row>
    <row r="768" spans="1:5">
      <c r="A768" s="130"/>
      <c r="B768" s="167"/>
      <c r="C768" s="167"/>
      <c r="D768" s="129"/>
      <c r="E768" s="167"/>
    </row>
    <row r="769" spans="1:5">
      <c r="A769" s="130"/>
      <c r="B769" s="167"/>
      <c r="C769" s="167"/>
      <c r="D769" s="129"/>
      <c r="E769" s="167"/>
    </row>
    <row r="770" spans="1:5">
      <c r="A770" s="130"/>
      <c r="B770" s="167"/>
      <c r="C770" s="167"/>
      <c r="D770" s="129"/>
      <c r="E770" s="167"/>
    </row>
    <row r="771" spans="1:5">
      <c r="A771" s="130"/>
      <c r="B771" s="167"/>
      <c r="C771" s="167"/>
      <c r="D771" s="129"/>
      <c r="E771" s="167"/>
    </row>
    <row r="772" spans="1:5">
      <c r="A772" s="130"/>
      <c r="B772" s="167"/>
      <c r="C772" s="167"/>
      <c r="D772" s="129"/>
      <c r="E772" s="167"/>
    </row>
    <row r="773" spans="1:5">
      <c r="A773" s="130"/>
      <c r="B773" s="167"/>
      <c r="C773" s="167"/>
      <c r="D773" s="129"/>
      <c r="E773" s="167"/>
    </row>
    <row r="774" spans="1:5">
      <c r="A774" s="130"/>
      <c r="B774" s="167"/>
      <c r="C774" s="167"/>
      <c r="D774" s="129"/>
      <c r="E774" s="167"/>
    </row>
    <row r="775" spans="1:5">
      <c r="A775" s="130"/>
      <c r="B775" s="167"/>
      <c r="C775" s="167"/>
      <c r="D775" s="129"/>
      <c r="E775" s="167"/>
    </row>
    <row r="776" spans="1:5">
      <c r="A776" s="130"/>
      <c r="B776" s="167"/>
      <c r="C776" s="167"/>
      <c r="D776" s="129"/>
      <c r="E776" s="167"/>
    </row>
    <row r="777" spans="1:5">
      <c r="A777" s="130"/>
      <c r="B777" s="167"/>
      <c r="C777" s="167"/>
      <c r="D777" s="129"/>
      <c r="E777" s="167"/>
    </row>
    <row r="778" spans="1:5">
      <c r="A778" s="130"/>
      <c r="B778" s="167"/>
      <c r="C778" s="167"/>
      <c r="D778" s="129"/>
      <c r="E778" s="167"/>
    </row>
    <row r="779" spans="1:5">
      <c r="A779" s="130"/>
      <c r="B779" s="167"/>
      <c r="C779" s="167"/>
      <c r="D779" s="129"/>
      <c r="E779" s="167"/>
    </row>
    <row r="780" spans="1:5">
      <c r="A780" s="130"/>
      <c r="B780" s="167"/>
      <c r="C780" s="167"/>
      <c r="D780" s="129"/>
      <c r="E780" s="167"/>
    </row>
    <row r="781" spans="1:5">
      <c r="A781" s="130"/>
      <c r="B781" s="167"/>
      <c r="C781" s="167"/>
      <c r="D781" s="129"/>
      <c r="E781" s="167"/>
    </row>
    <row r="782" spans="1:5">
      <c r="A782" s="130"/>
      <c r="B782" s="167"/>
      <c r="C782" s="167"/>
      <c r="D782" s="129"/>
      <c r="E782" s="167"/>
    </row>
    <row r="783" spans="1:5">
      <c r="A783" s="130"/>
      <c r="B783" s="167"/>
      <c r="C783" s="167"/>
      <c r="D783" s="129"/>
      <c r="E783" s="167"/>
    </row>
    <row r="784" spans="1:5">
      <c r="A784" s="130"/>
      <c r="B784" s="167"/>
      <c r="C784" s="167"/>
      <c r="D784" s="129"/>
      <c r="E784" s="167"/>
    </row>
    <row r="785" spans="1:5">
      <c r="A785" s="130"/>
      <c r="B785" s="167"/>
      <c r="C785" s="167"/>
      <c r="D785" s="129"/>
      <c r="E785" s="167"/>
    </row>
    <row r="786" spans="1:5">
      <c r="A786" s="130"/>
      <c r="B786" s="167"/>
      <c r="C786" s="167"/>
      <c r="D786" s="129"/>
      <c r="E786" s="167"/>
    </row>
    <row r="787" spans="1:5">
      <c r="A787" s="130"/>
      <c r="B787" s="167"/>
      <c r="C787" s="167"/>
      <c r="D787" s="129"/>
      <c r="E787" s="167"/>
    </row>
    <row r="788" spans="1:5">
      <c r="A788" s="130"/>
      <c r="B788" s="167"/>
      <c r="C788" s="167"/>
      <c r="D788" s="129"/>
      <c r="E788" s="167"/>
    </row>
    <row r="789" spans="1:5">
      <c r="A789" s="130"/>
      <c r="B789" s="167"/>
      <c r="C789" s="167"/>
      <c r="D789" s="129"/>
      <c r="E789" s="167"/>
    </row>
    <row r="790" spans="1:5">
      <c r="A790" s="130"/>
      <c r="B790" s="167"/>
      <c r="C790" s="167"/>
      <c r="D790" s="129"/>
      <c r="E790" s="167"/>
    </row>
    <row r="791" spans="1:5">
      <c r="A791" s="130"/>
      <c r="B791" s="167"/>
      <c r="C791" s="167"/>
      <c r="D791" s="129"/>
      <c r="E791" s="167"/>
    </row>
    <row r="792" spans="1:5">
      <c r="A792" s="130"/>
      <c r="B792" s="167"/>
      <c r="C792" s="167"/>
      <c r="D792" s="129"/>
      <c r="E792" s="167"/>
    </row>
    <row r="793" spans="1:5">
      <c r="A793" s="130"/>
      <c r="B793" s="167"/>
      <c r="C793" s="167"/>
      <c r="D793" s="129"/>
      <c r="E793" s="167"/>
    </row>
    <row r="794" spans="1:5">
      <c r="A794" s="130"/>
      <c r="B794" s="167"/>
      <c r="C794" s="167"/>
      <c r="D794" s="129"/>
      <c r="E794" s="167"/>
    </row>
    <row r="795" spans="1:5">
      <c r="A795" s="130"/>
      <c r="B795" s="167"/>
      <c r="C795" s="167"/>
      <c r="D795" s="129"/>
      <c r="E795" s="167"/>
    </row>
    <row r="796" spans="1:5">
      <c r="A796" s="130"/>
      <c r="B796" s="167"/>
      <c r="C796" s="167"/>
      <c r="D796" s="129"/>
      <c r="E796" s="167"/>
    </row>
    <row r="797" spans="1:5">
      <c r="A797" s="130"/>
      <c r="B797" s="167"/>
      <c r="C797" s="167"/>
      <c r="D797" s="129"/>
      <c r="E797" s="167"/>
    </row>
    <row r="798" spans="1:5">
      <c r="A798" s="130"/>
      <c r="B798" s="167"/>
      <c r="C798" s="167"/>
      <c r="D798" s="129"/>
      <c r="E798" s="167"/>
    </row>
    <row r="799" spans="1:5">
      <c r="A799" s="130"/>
      <c r="B799" s="167"/>
      <c r="C799" s="167"/>
      <c r="D799" s="129"/>
      <c r="E799" s="167"/>
    </row>
    <row r="800" spans="1:5">
      <c r="A800" s="130"/>
      <c r="B800" s="167"/>
      <c r="C800" s="167"/>
      <c r="D800" s="129"/>
      <c r="E800" s="167"/>
    </row>
    <row r="801" spans="1:5">
      <c r="A801" s="130"/>
      <c r="B801" s="167"/>
      <c r="C801" s="167"/>
      <c r="D801" s="129"/>
      <c r="E801" s="167"/>
    </row>
    <row r="802" spans="1:5">
      <c r="A802" s="130"/>
      <c r="B802" s="167"/>
      <c r="C802" s="167"/>
      <c r="D802" s="129"/>
      <c r="E802" s="167"/>
    </row>
    <row r="803" spans="1:5">
      <c r="A803" s="130"/>
      <c r="B803" s="167"/>
      <c r="C803" s="167"/>
      <c r="D803" s="129"/>
      <c r="E803" s="167"/>
    </row>
    <row r="804" spans="1:5">
      <c r="A804" s="130"/>
      <c r="B804" s="167"/>
      <c r="C804" s="167"/>
      <c r="D804" s="129"/>
      <c r="E804" s="167"/>
    </row>
    <row r="805" spans="1:5">
      <c r="A805" s="130"/>
      <c r="B805" s="167"/>
      <c r="C805" s="167"/>
      <c r="D805" s="129"/>
      <c r="E805" s="167"/>
    </row>
    <row r="806" spans="1:5">
      <c r="A806" s="130"/>
      <c r="B806" s="167"/>
      <c r="C806" s="167"/>
      <c r="D806" s="129"/>
      <c r="E806" s="167"/>
    </row>
    <row r="807" spans="1:5">
      <c r="A807" s="130"/>
      <c r="B807" s="167"/>
      <c r="C807" s="167"/>
      <c r="D807" s="129"/>
      <c r="E807" s="167"/>
    </row>
    <row r="808" spans="1:5">
      <c r="A808" s="130"/>
      <c r="B808" s="167"/>
      <c r="C808" s="167"/>
      <c r="D808" s="129"/>
      <c r="E808" s="167"/>
    </row>
    <row r="809" spans="1:5">
      <c r="A809" s="130"/>
      <c r="B809" s="167"/>
      <c r="C809" s="167"/>
      <c r="D809" s="129"/>
      <c r="E809" s="167"/>
    </row>
    <row r="810" spans="1:5">
      <c r="A810" s="130"/>
      <c r="B810" s="167"/>
      <c r="C810" s="167"/>
      <c r="D810" s="129"/>
      <c r="E810" s="167"/>
    </row>
    <row r="811" spans="1:5">
      <c r="A811" s="130"/>
      <c r="B811" s="167"/>
      <c r="C811" s="167"/>
      <c r="D811" s="129"/>
      <c r="E811" s="167"/>
    </row>
    <row r="812" spans="1:5">
      <c r="A812" s="130"/>
      <c r="B812" s="167"/>
      <c r="C812" s="167"/>
      <c r="D812" s="129"/>
      <c r="E812" s="167"/>
    </row>
    <row r="813" spans="1:5">
      <c r="A813" s="130"/>
      <c r="B813" s="167"/>
      <c r="C813" s="167"/>
      <c r="D813" s="129"/>
      <c r="E813" s="167"/>
    </row>
    <row r="814" spans="1:5">
      <c r="A814" s="130"/>
      <c r="B814" s="167"/>
      <c r="C814" s="167"/>
      <c r="D814" s="129"/>
      <c r="E814" s="167"/>
    </row>
    <row r="815" spans="1:5">
      <c r="A815" s="130"/>
      <c r="B815" s="167"/>
      <c r="C815" s="167"/>
      <c r="D815" s="129"/>
      <c r="E815" s="167"/>
    </row>
    <row r="816" spans="1:5">
      <c r="A816" s="130"/>
      <c r="B816" s="167"/>
      <c r="C816" s="167"/>
      <c r="D816" s="129"/>
      <c r="E816" s="167"/>
    </row>
    <row r="817" spans="1:5">
      <c r="A817" s="130"/>
      <c r="B817" s="167"/>
      <c r="C817" s="167"/>
      <c r="D817" s="129"/>
      <c r="E817" s="167"/>
    </row>
    <row r="818" spans="1:5">
      <c r="A818" s="130"/>
      <c r="B818" s="167"/>
      <c r="C818" s="167"/>
      <c r="D818" s="129"/>
      <c r="E818" s="167"/>
    </row>
    <row r="819" spans="1:5">
      <c r="A819" s="130"/>
      <c r="B819" s="167"/>
      <c r="C819" s="167"/>
      <c r="D819" s="129"/>
      <c r="E819" s="167"/>
    </row>
    <row r="820" spans="1:5">
      <c r="A820" s="130"/>
      <c r="B820" s="167"/>
      <c r="C820" s="167"/>
      <c r="D820" s="129"/>
      <c r="E820" s="167"/>
    </row>
    <row r="821" spans="1:5">
      <c r="A821" s="130"/>
      <c r="B821" s="167"/>
      <c r="C821" s="167"/>
      <c r="D821" s="129"/>
      <c r="E821" s="167"/>
    </row>
    <row r="822" spans="1:5">
      <c r="A822" s="130"/>
      <c r="B822" s="167"/>
      <c r="C822" s="167"/>
      <c r="D822" s="129"/>
      <c r="E822" s="167"/>
    </row>
    <row r="823" spans="1:5">
      <c r="A823" s="130"/>
      <c r="B823" s="167"/>
      <c r="C823" s="167"/>
      <c r="D823" s="129"/>
      <c r="E823" s="167"/>
    </row>
    <row r="824" spans="1:5">
      <c r="A824" s="130"/>
      <c r="B824" s="167"/>
      <c r="C824" s="167"/>
      <c r="D824" s="129"/>
      <c r="E824" s="167"/>
    </row>
    <row r="825" spans="1:5">
      <c r="A825" s="130"/>
      <c r="B825" s="167"/>
      <c r="C825" s="167"/>
      <c r="D825" s="129"/>
      <c r="E825" s="167"/>
    </row>
    <row r="826" spans="1:5">
      <c r="A826" s="130"/>
      <c r="B826" s="167"/>
      <c r="C826" s="167"/>
      <c r="D826" s="129"/>
      <c r="E826" s="167"/>
    </row>
    <row r="827" spans="1:5">
      <c r="A827" s="130"/>
      <c r="B827" s="167"/>
      <c r="C827" s="167"/>
      <c r="D827" s="129"/>
      <c r="E827" s="167"/>
    </row>
    <row r="828" spans="1:5">
      <c r="A828" s="130"/>
      <c r="B828" s="167"/>
      <c r="C828" s="167"/>
      <c r="D828" s="129"/>
      <c r="E828" s="167"/>
    </row>
    <row r="829" spans="1:5">
      <c r="A829" s="130"/>
      <c r="B829" s="167"/>
      <c r="C829" s="167"/>
      <c r="D829" s="129"/>
      <c r="E829" s="167"/>
    </row>
    <row r="830" spans="1:5">
      <c r="A830" s="130"/>
      <c r="B830" s="167"/>
      <c r="C830" s="167"/>
      <c r="D830" s="129"/>
      <c r="E830" s="167"/>
    </row>
    <row r="831" spans="1:5">
      <c r="A831" s="130"/>
      <c r="B831" s="167"/>
      <c r="C831" s="167"/>
      <c r="D831" s="129"/>
      <c r="E831" s="167"/>
    </row>
    <row r="832" spans="1:5">
      <c r="A832" s="130"/>
      <c r="B832" s="167"/>
      <c r="C832" s="167"/>
      <c r="D832" s="129"/>
      <c r="E832" s="167"/>
    </row>
    <row r="833" spans="1:5">
      <c r="A833" s="130"/>
      <c r="B833" s="167"/>
      <c r="C833" s="167"/>
      <c r="D833" s="129"/>
      <c r="E833" s="167"/>
    </row>
    <row r="834" spans="1:5">
      <c r="A834" s="130"/>
      <c r="B834" s="167"/>
      <c r="C834" s="167"/>
      <c r="D834" s="129"/>
      <c r="E834" s="167"/>
    </row>
    <row r="835" spans="1:5">
      <c r="A835" s="130"/>
      <c r="B835" s="167"/>
      <c r="C835" s="167"/>
      <c r="D835" s="129"/>
      <c r="E835" s="167"/>
    </row>
    <row r="836" spans="1:5">
      <c r="A836" s="130"/>
      <c r="B836" s="167"/>
      <c r="C836" s="167"/>
      <c r="D836" s="129"/>
      <c r="E836" s="167"/>
    </row>
    <row r="837" spans="1:5">
      <c r="A837" s="130"/>
      <c r="B837" s="167"/>
      <c r="C837" s="167"/>
      <c r="D837" s="129"/>
      <c r="E837" s="167"/>
    </row>
    <row r="838" spans="1:5">
      <c r="A838" s="130"/>
      <c r="B838" s="167"/>
      <c r="C838" s="167"/>
      <c r="D838" s="129"/>
      <c r="E838" s="167"/>
    </row>
    <row r="839" spans="1:5">
      <c r="A839" s="130"/>
      <c r="B839" s="167"/>
      <c r="C839" s="167"/>
      <c r="D839" s="129"/>
      <c r="E839" s="167"/>
    </row>
    <row r="840" spans="1:5">
      <c r="A840" s="130"/>
      <c r="B840" s="167"/>
      <c r="C840" s="167"/>
      <c r="D840" s="129"/>
      <c r="E840" s="167"/>
    </row>
    <row r="841" spans="1:5">
      <c r="A841" s="130"/>
      <c r="B841" s="167"/>
      <c r="C841" s="167"/>
      <c r="D841" s="129"/>
      <c r="E841" s="167"/>
    </row>
    <row r="842" spans="1:5">
      <c r="A842" s="130"/>
      <c r="B842" s="167"/>
      <c r="C842" s="167"/>
      <c r="D842" s="129"/>
      <c r="E842" s="167"/>
    </row>
    <row r="843" spans="1:5">
      <c r="A843" s="130"/>
      <c r="B843" s="167"/>
      <c r="C843" s="167"/>
      <c r="D843" s="129"/>
      <c r="E843" s="167"/>
    </row>
    <row r="844" spans="1:5">
      <c r="A844" s="130"/>
      <c r="B844" s="167"/>
      <c r="C844" s="167"/>
      <c r="D844" s="129"/>
      <c r="E844" s="167"/>
    </row>
    <row r="845" spans="1:5">
      <c r="A845" s="130"/>
      <c r="B845" s="167"/>
      <c r="C845" s="167"/>
      <c r="D845" s="129"/>
      <c r="E845" s="167"/>
    </row>
    <row r="846" spans="1:5">
      <c r="A846" s="130"/>
      <c r="B846" s="167"/>
      <c r="C846" s="167"/>
      <c r="D846" s="129"/>
      <c r="E846" s="167"/>
    </row>
    <row r="847" spans="1:5">
      <c r="A847" s="130"/>
      <c r="B847" s="167"/>
      <c r="C847" s="167"/>
      <c r="D847" s="129"/>
      <c r="E847" s="167"/>
    </row>
    <row r="848" spans="1:5">
      <c r="A848" s="130"/>
      <c r="B848" s="167"/>
      <c r="C848" s="167"/>
      <c r="D848" s="129"/>
      <c r="E848" s="167"/>
    </row>
    <row r="849" spans="1:5">
      <c r="A849" s="130"/>
      <c r="B849" s="167"/>
      <c r="C849" s="167"/>
      <c r="D849" s="129"/>
      <c r="E849" s="167"/>
    </row>
    <row r="850" spans="1:5">
      <c r="A850" s="130"/>
      <c r="B850" s="167"/>
      <c r="C850" s="167"/>
      <c r="D850" s="129"/>
      <c r="E850" s="167"/>
    </row>
    <row r="851" spans="1:5">
      <c r="A851" s="130"/>
      <c r="B851" s="167"/>
      <c r="C851" s="167"/>
      <c r="D851" s="129"/>
      <c r="E851" s="167"/>
    </row>
    <row r="852" spans="1:5">
      <c r="A852" s="130"/>
      <c r="B852" s="167"/>
      <c r="C852" s="167"/>
      <c r="D852" s="129"/>
      <c r="E852" s="167"/>
    </row>
    <row r="853" spans="1:5">
      <c r="A853" s="130"/>
      <c r="B853" s="167"/>
      <c r="C853" s="167"/>
      <c r="D853" s="129"/>
      <c r="E853" s="167"/>
    </row>
    <row r="854" spans="1:5">
      <c r="A854" s="130"/>
      <c r="B854" s="167"/>
      <c r="C854" s="167"/>
      <c r="D854" s="129"/>
      <c r="E854" s="167"/>
    </row>
    <row r="855" spans="1:5">
      <c r="A855" s="130"/>
      <c r="B855" s="167"/>
      <c r="C855" s="167"/>
      <c r="D855" s="129"/>
      <c r="E855" s="167"/>
    </row>
    <row r="856" spans="1:5">
      <c r="A856" s="130"/>
      <c r="B856" s="167"/>
      <c r="C856" s="167"/>
      <c r="D856" s="129"/>
      <c r="E856" s="167"/>
    </row>
    <row r="857" spans="1:5">
      <c r="A857" s="130"/>
      <c r="B857" s="167"/>
      <c r="C857" s="167"/>
      <c r="D857" s="129"/>
      <c r="E857" s="167"/>
    </row>
    <row r="858" spans="1:5">
      <c r="A858" s="130"/>
      <c r="B858" s="167"/>
      <c r="C858" s="167"/>
      <c r="D858" s="129"/>
      <c r="E858" s="167"/>
    </row>
    <row r="859" spans="1:5">
      <c r="A859" s="130"/>
      <c r="B859" s="167"/>
      <c r="C859" s="167"/>
      <c r="D859" s="129"/>
      <c r="E859" s="167"/>
    </row>
    <row r="860" spans="1:5">
      <c r="A860" s="130"/>
      <c r="B860" s="167"/>
      <c r="C860" s="167"/>
      <c r="D860" s="129"/>
      <c r="E860" s="167"/>
    </row>
    <row r="861" spans="1:5">
      <c r="A861" s="130"/>
      <c r="B861" s="167"/>
      <c r="C861" s="167"/>
      <c r="D861" s="129"/>
      <c r="E861" s="167"/>
    </row>
    <row r="862" spans="1:5">
      <c r="A862" s="130"/>
      <c r="B862" s="167"/>
      <c r="C862" s="167"/>
      <c r="D862" s="129"/>
      <c r="E862" s="167"/>
    </row>
    <row r="863" spans="1:5">
      <c r="A863" s="130"/>
      <c r="B863" s="167"/>
      <c r="C863" s="167"/>
      <c r="D863" s="129"/>
      <c r="E863" s="167"/>
    </row>
    <row r="864" spans="1:5">
      <c r="A864" s="130"/>
      <c r="B864" s="167"/>
      <c r="C864" s="167"/>
      <c r="D864" s="129"/>
      <c r="E864" s="167"/>
    </row>
    <row r="865" spans="1:5">
      <c r="A865" s="130"/>
      <c r="B865" s="167"/>
      <c r="C865" s="167"/>
      <c r="D865" s="129"/>
      <c r="E865" s="167"/>
    </row>
    <row r="866" spans="1:5">
      <c r="A866" s="130"/>
      <c r="B866" s="167"/>
      <c r="C866" s="167"/>
      <c r="D866" s="129"/>
      <c r="E866" s="167"/>
    </row>
    <row r="867" spans="1:5">
      <c r="A867" s="130"/>
      <c r="B867" s="167"/>
      <c r="C867" s="167"/>
      <c r="D867" s="129"/>
      <c r="E867" s="167"/>
    </row>
    <row r="868" spans="1:5">
      <c r="A868" s="130"/>
      <c r="B868" s="167"/>
      <c r="C868" s="167"/>
      <c r="D868" s="129"/>
      <c r="E868" s="167"/>
    </row>
    <row r="869" spans="1:5">
      <c r="A869" s="130"/>
      <c r="B869" s="167"/>
      <c r="C869" s="167"/>
      <c r="D869" s="129"/>
      <c r="E869" s="167"/>
    </row>
    <row r="870" spans="1:5">
      <c r="A870" s="130"/>
      <c r="B870" s="167"/>
      <c r="C870" s="167"/>
      <c r="D870" s="129"/>
      <c r="E870" s="167"/>
    </row>
    <row r="871" spans="1:5">
      <c r="A871" s="130"/>
      <c r="B871" s="167"/>
      <c r="C871" s="167"/>
      <c r="D871" s="129"/>
      <c r="E871" s="167"/>
    </row>
    <row r="872" spans="1:5">
      <c r="A872" s="130"/>
      <c r="B872" s="167"/>
      <c r="C872" s="167"/>
      <c r="D872" s="129"/>
      <c r="E872" s="167"/>
    </row>
    <row r="873" spans="1:5">
      <c r="A873" s="130"/>
      <c r="B873" s="167"/>
      <c r="C873" s="167"/>
      <c r="D873" s="129"/>
      <c r="E873" s="167"/>
    </row>
    <row r="874" spans="1:5">
      <c r="A874" s="130"/>
      <c r="B874" s="167"/>
      <c r="C874" s="167"/>
      <c r="D874" s="129"/>
      <c r="E874" s="167"/>
    </row>
    <row r="875" spans="1:5">
      <c r="A875" s="130"/>
      <c r="B875" s="167"/>
      <c r="C875" s="167"/>
      <c r="D875" s="129"/>
      <c r="E875" s="167"/>
    </row>
    <row r="876" spans="1:5">
      <c r="A876" s="130"/>
      <c r="B876" s="167"/>
      <c r="C876" s="167"/>
      <c r="D876" s="129"/>
      <c r="E876" s="167"/>
    </row>
    <row r="877" spans="1:5">
      <c r="A877" s="130"/>
      <c r="B877" s="167"/>
      <c r="C877" s="167"/>
      <c r="D877" s="129"/>
      <c r="E877" s="167"/>
    </row>
    <row r="878" spans="1:5">
      <c r="A878" s="130"/>
      <c r="B878" s="167"/>
      <c r="C878" s="167"/>
      <c r="D878" s="129"/>
      <c r="E878" s="167"/>
    </row>
    <row r="879" spans="1:5">
      <c r="A879" s="130"/>
      <c r="B879" s="167"/>
      <c r="C879" s="167"/>
      <c r="D879" s="129"/>
      <c r="E879" s="167"/>
    </row>
    <row r="880" spans="1:5">
      <c r="A880" s="130"/>
      <c r="B880" s="167"/>
      <c r="C880" s="167"/>
      <c r="D880" s="129"/>
      <c r="E880" s="167"/>
    </row>
    <row r="881" spans="1:5">
      <c r="A881" s="130"/>
      <c r="B881" s="167"/>
      <c r="C881" s="167"/>
      <c r="D881" s="129"/>
      <c r="E881" s="167"/>
    </row>
    <row r="882" spans="1:5">
      <c r="A882" s="130"/>
      <c r="B882" s="167"/>
      <c r="C882" s="167"/>
      <c r="D882" s="129"/>
      <c r="E882" s="167"/>
    </row>
    <row r="883" spans="1:5">
      <c r="A883" s="130"/>
      <c r="B883" s="167"/>
      <c r="C883" s="167"/>
      <c r="D883" s="129"/>
      <c r="E883" s="167"/>
    </row>
    <row r="884" spans="1:5">
      <c r="A884" s="130"/>
      <c r="B884" s="167"/>
      <c r="C884" s="167"/>
      <c r="D884" s="129"/>
      <c r="E884" s="167"/>
    </row>
    <row r="885" spans="1:5">
      <c r="A885" s="130"/>
      <c r="B885" s="167"/>
      <c r="C885" s="167"/>
      <c r="D885" s="129"/>
      <c r="E885" s="167"/>
    </row>
    <row r="886" spans="1:5">
      <c r="A886" s="130"/>
      <c r="B886" s="167"/>
      <c r="C886" s="167"/>
      <c r="D886" s="129"/>
      <c r="E886" s="167"/>
    </row>
    <row r="887" spans="1:5">
      <c r="A887" s="130"/>
      <c r="B887" s="167"/>
      <c r="C887" s="167"/>
      <c r="D887" s="129"/>
      <c r="E887" s="167"/>
    </row>
    <row r="888" spans="1:5">
      <c r="A888" s="130"/>
      <c r="B888" s="167"/>
      <c r="C888" s="167"/>
      <c r="D888" s="129"/>
      <c r="E888" s="167"/>
    </row>
    <row r="889" spans="1:5">
      <c r="A889" s="130"/>
      <c r="B889" s="167"/>
      <c r="C889" s="167"/>
      <c r="D889" s="129"/>
      <c r="E889" s="167"/>
    </row>
    <row r="890" spans="1:5">
      <c r="A890" s="130"/>
      <c r="B890" s="167"/>
      <c r="C890" s="167"/>
      <c r="D890" s="129"/>
      <c r="E890" s="167"/>
    </row>
    <row r="891" spans="1:5">
      <c r="A891" s="130"/>
      <c r="B891" s="167"/>
      <c r="C891" s="167"/>
      <c r="D891" s="129"/>
      <c r="E891" s="167"/>
    </row>
    <row r="892" spans="1:5">
      <c r="A892" s="130"/>
      <c r="B892" s="167"/>
      <c r="C892" s="167"/>
      <c r="D892" s="129"/>
      <c r="E892" s="167"/>
    </row>
    <row r="893" spans="1:5">
      <c r="A893" s="130"/>
      <c r="B893" s="167"/>
      <c r="C893" s="167"/>
      <c r="D893" s="129"/>
      <c r="E893" s="167"/>
    </row>
    <row r="894" spans="1:5">
      <c r="A894" s="130"/>
      <c r="B894" s="167"/>
      <c r="C894" s="167"/>
      <c r="D894" s="129"/>
      <c r="E894" s="167"/>
    </row>
    <row r="895" spans="1:5">
      <c r="A895" s="130"/>
      <c r="B895" s="167"/>
      <c r="C895" s="167"/>
      <c r="D895" s="129"/>
      <c r="E895" s="167"/>
    </row>
    <row r="896" spans="1:5">
      <c r="A896" s="130"/>
      <c r="B896" s="167"/>
      <c r="C896" s="167"/>
      <c r="D896" s="129"/>
      <c r="E896" s="167"/>
    </row>
    <row r="897" spans="1:5">
      <c r="A897" s="130"/>
      <c r="B897" s="167"/>
      <c r="C897" s="167"/>
      <c r="D897" s="129"/>
      <c r="E897" s="167"/>
    </row>
    <row r="898" spans="1:5">
      <c r="A898" s="130"/>
      <c r="B898" s="167"/>
      <c r="C898" s="167"/>
      <c r="D898" s="129"/>
      <c r="E898" s="167"/>
    </row>
    <row r="899" spans="1:5">
      <c r="A899" s="130"/>
      <c r="B899" s="167"/>
      <c r="C899" s="167"/>
      <c r="D899" s="129"/>
      <c r="E899" s="167"/>
    </row>
    <row r="900" spans="1:5">
      <c r="A900" s="130"/>
      <c r="B900" s="167"/>
      <c r="C900" s="167"/>
      <c r="D900" s="129"/>
      <c r="E900" s="167"/>
    </row>
    <row r="901" spans="1:5">
      <c r="A901" s="130"/>
      <c r="B901" s="167"/>
      <c r="C901" s="167"/>
      <c r="D901" s="129"/>
      <c r="E901" s="167"/>
    </row>
    <row r="902" spans="1:5">
      <c r="A902" s="130"/>
      <c r="B902" s="167"/>
      <c r="C902" s="167"/>
      <c r="D902" s="129"/>
      <c r="E902" s="167"/>
    </row>
    <row r="903" spans="1:5">
      <c r="A903" s="130"/>
      <c r="B903" s="167"/>
      <c r="C903" s="167"/>
      <c r="D903" s="129"/>
      <c r="E903" s="167"/>
    </row>
    <row r="904" spans="1:5">
      <c r="A904" s="130"/>
      <c r="B904" s="167"/>
      <c r="C904" s="167"/>
      <c r="D904" s="129"/>
      <c r="E904" s="167"/>
    </row>
    <row r="905" spans="1:5">
      <c r="A905" s="130"/>
      <c r="B905" s="167"/>
      <c r="C905" s="167"/>
      <c r="D905" s="129"/>
      <c r="E905" s="167"/>
    </row>
    <row r="906" spans="1:5">
      <c r="A906" s="130"/>
      <c r="B906" s="167"/>
      <c r="C906" s="167"/>
      <c r="D906" s="129"/>
      <c r="E906" s="167"/>
    </row>
    <row r="907" spans="1:5">
      <c r="A907" s="130"/>
      <c r="B907" s="167"/>
      <c r="C907" s="167"/>
      <c r="D907" s="129"/>
      <c r="E907" s="167"/>
    </row>
    <row r="908" spans="1:5">
      <c r="A908" s="130"/>
      <c r="B908" s="167"/>
      <c r="C908" s="167"/>
      <c r="D908" s="129"/>
      <c r="E908" s="167"/>
    </row>
    <row r="909" spans="1:5">
      <c r="A909" s="130"/>
      <c r="B909" s="167"/>
      <c r="C909" s="167"/>
      <c r="D909" s="129"/>
      <c r="E909" s="167"/>
    </row>
    <row r="910" spans="1:5">
      <c r="A910" s="130"/>
      <c r="B910" s="167"/>
      <c r="C910" s="167"/>
      <c r="D910" s="129"/>
      <c r="E910" s="167"/>
    </row>
    <row r="911" spans="1:5">
      <c r="A911" s="130"/>
      <c r="B911" s="167"/>
      <c r="C911" s="167"/>
      <c r="D911" s="129"/>
      <c r="E911" s="167"/>
    </row>
    <row r="912" spans="1:5">
      <c r="A912" s="130"/>
      <c r="B912" s="167"/>
      <c r="C912" s="167"/>
      <c r="D912" s="129"/>
      <c r="E912" s="167"/>
    </row>
    <row r="913" spans="1:5">
      <c r="A913" s="130"/>
      <c r="B913" s="167"/>
      <c r="C913" s="167"/>
      <c r="D913" s="129"/>
      <c r="E913" s="167"/>
    </row>
    <row r="914" spans="1:5">
      <c r="A914" s="130"/>
      <c r="B914" s="167"/>
      <c r="C914" s="167"/>
      <c r="D914" s="129"/>
      <c r="E914" s="167"/>
    </row>
    <row r="915" spans="1:5">
      <c r="A915" s="130"/>
      <c r="B915" s="167"/>
      <c r="C915" s="167"/>
      <c r="D915" s="129"/>
      <c r="E915" s="167"/>
    </row>
    <row r="916" spans="1:5">
      <c r="A916" s="130"/>
      <c r="B916" s="167"/>
      <c r="C916" s="167"/>
      <c r="D916" s="129"/>
      <c r="E916" s="167"/>
    </row>
    <row r="917" spans="1:5">
      <c r="A917" s="130"/>
      <c r="B917" s="167"/>
      <c r="C917" s="167"/>
      <c r="D917" s="129"/>
      <c r="E917" s="167"/>
    </row>
    <row r="918" spans="1:5">
      <c r="A918" s="130"/>
      <c r="B918" s="167"/>
      <c r="C918" s="167"/>
      <c r="D918" s="129"/>
      <c r="E918" s="167"/>
    </row>
    <row r="919" spans="1:5">
      <c r="A919" s="130"/>
      <c r="B919" s="167"/>
      <c r="C919" s="167"/>
      <c r="D919" s="129"/>
      <c r="E919" s="167"/>
    </row>
    <row r="920" spans="1:5">
      <c r="A920" s="130"/>
      <c r="B920" s="167"/>
      <c r="C920" s="167"/>
      <c r="D920" s="129"/>
      <c r="E920" s="167"/>
    </row>
    <row r="921" spans="1:5">
      <c r="A921" s="130"/>
      <c r="B921" s="167"/>
      <c r="C921" s="167"/>
      <c r="D921" s="129"/>
      <c r="E921" s="167"/>
    </row>
    <row r="922" spans="1:5">
      <c r="A922" s="130"/>
      <c r="B922" s="167"/>
      <c r="C922" s="167"/>
      <c r="D922" s="129"/>
      <c r="E922" s="167"/>
    </row>
    <row r="923" spans="1:5">
      <c r="A923" s="130"/>
      <c r="B923" s="167"/>
      <c r="C923" s="167"/>
      <c r="D923" s="129"/>
      <c r="E923" s="167"/>
    </row>
    <row r="924" spans="1:5">
      <c r="A924" s="130"/>
      <c r="B924" s="167"/>
      <c r="C924" s="167"/>
      <c r="D924" s="129"/>
      <c r="E924" s="167"/>
    </row>
    <row r="925" spans="1:5">
      <c r="A925" s="130"/>
      <c r="B925" s="167"/>
      <c r="C925" s="167"/>
      <c r="D925" s="129"/>
      <c r="E925" s="167"/>
    </row>
    <row r="926" spans="1:5">
      <c r="A926" s="130"/>
      <c r="B926" s="167"/>
      <c r="C926" s="167"/>
      <c r="D926" s="129"/>
      <c r="E926" s="167"/>
    </row>
    <row r="927" spans="1:5">
      <c r="A927" s="130"/>
      <c r="B927" s="167"/>
      <c r="C927" s="167"/>
      <c r="D927" s="129"/>
      <c r="E927" s="167"/>
    </row>
    <row r="928" spans="1:5">
      <c r="A928" s="130"/>
      <c r="B928" s="167"/>
      <c r="C928" s="167"/>
      <c r="D928" s="129"/>
      <c r="E928" s="167"/>
    </row>
    <row r="929" spans="1:5">
      <c r="A929" s="130"/>
      <c r="B929" s="167"/>
      <c r="C929" s="167"/>
      <c r="D929" s="129"/>
      <c r="E929" s="167"/>
    </row>
    <row r="930" spans="1:5">
      <c r="A930" s="130"/>
      <c r="B930" s="167"/>
      <c r="C930" s="167"/>
      <c r="D930" s="129"/>
      <c r="E930" s="167"/>
    </row>
    <row r="931" spans="1:5">
      <c r="A931" s="130"/>
      <c r="B931" s="167"/>
      <c r="C931" s="167"/>
      <c r="D931" s="129"/>
      <c r="E931" s="167"/>
    </row>
    <row r="932" spans="1:5">
      <c r="A932" s="130"/>
      <c r="B932" s="167"/>
      <c r="C932" s="167"/>
      <c r="D932" s="129"/>
      <c r="E932" s="167"/>
    </row>
    <row r="933" spans="1:5">
      <c r="A933" s="130"/>
      <c r="B933" s="167"/>
      <c r="C933" s="167"/>
      <c r="D933" s="129"/>
      <c r="E933" s="167"/>
    </row>
    <row r="934" spans="1:5">
      <c r="A934" s="130"/>
      <c r="B934" s="167"/>
      <c r="C934" s="167"/>
      <c r="D934" s="129"/>
      <c r="E934" s="167"/>
    </row>
    <row r="935" spans="1:5">
      <c r="A935" s="130"/>
      <c r="B935" s="167"/>
      <c r="C935" s="167"/>
      <c r="D935" s="129"/>
      <c r="E935" s="167"/>
    </row>
    <row r="936" spans="1:5">
      <c r="A936" s="130"/>
      <c r="B936" s="167"/>
      <c r="C936" s="167"/>
      <c r="D936" s="129"/>
      <c r="E936" s="167"/>
    </row>
    <row r="937" spans="1:5">
      <c r="A937" s="130"/>
      <c r="B937" s="167"/>
      <c r="C937" s="167"/>
      <c r="D937" s="129"/>
      <c r="E937" s="167"/>
    </row>
    <row r="938" spans="1:5">
      <c r="A938" s="130"/>
      <c r="B938" s="167"/>
      <c r="C938" s="167"/>
      <c r="D938" s="129"/>
      <c r="E938" s="167"/>
    </row>
    <row r="939" spans="1:5">
      <c r="A939" s="130"/>
      <c r="B939" s="167"/>
      <c r="C939" s="167"/>
      <c r="D939" s="129"/>
      <c r="E939" s="167"/>
    </row>
    <row r="940" spans="1:5">
      <c r="A940" s="130"/>
      <c r="B940" s="167"/>
      <c r="C940" s="167"/>
      <c r="D940" s="129"/>
      <c r="E940" s="167"/>
    </row>
    <row r="941" spans="1:5">
      <c r="A941" s="130"/>
      <c r="B941" s="167"/>
      <c r="C941" s="167"/>
      <c r="D941" s="129"/>
      <c r="E941" s="167"/>
    </row>
    <row r="942" spans="1:5">
      <c r="A942" s="130"/>
      <c r="B942" s="167"/>
      <c r="C942" s="167"/>
      <c r="D942" s="129"/>
      <c r="E942" s="167"/>
    </row>
    <row r="943" spans="1:5">
      <c r="A943" s="130"/>
      <c r="B943" s="167"/>
      <c r="C943" s="167"/>
      <c r="D943" s="129"/>
      <c r="E943" s="167"/>
    </row>
    <row r="944" spans="1:5">
      <c r="A944" s="130"/>
      <c r="B944" s="167"/>
      <c r="C944" s="167"/>
      <c r="D944" s="129"/>
      <c r="E944" s="167"/>
    </row>
    <row r="945" spans="1:5">
      <c r="A945" s="130"/>
      <c r="B945" s="167"/>
      <c r="C945" s="167"/>
      <c r="D945" s="129"/>
      <c r="E945" s="167"/>
    </row>
    <row r="946" spans="1:5">
      <c r="A946" s="130"/>
      <c r="B946" s="167"/>
      <c r="C946" s="167"/>
      <c r="D946" s="129"/>
      <c r="E946" s="167"/>
    </row>
    <row r="947" spans="1:5">
      <c r="A947" s="130"/>
      <c r="B947" s="167"/>
      <c r="C947" s="167"/>
      <c r="D947" s="129"/>
      <c r="E947" s="167"/>
    </row>
    <row r="948" spans="1:5">
      <c r="A948" s="130"/>
      <c r="B948" s="167"/>
      <c r="C948" s="167"/>
      <c r="D948" s="129"/>
      <c r="E948" s="167"/>
    </row>
    <row r="949" spans="1:5">
      <c r="A949" s="130"/>
      <c r="B949" s="167"/>
      <c r="C949" s="167"/>
      <c r="D949" s="129"/>
      <c r="E949" s="167"/>
    </row>
    <row r="950" spans="1:5">
      <c r="A950" s="130"/>
      <c r="B950" s="167"/>
      <c r="C950" s="167"/>
      <c r="D950" s="129"/>
      <c r="E950" s="167"/>
    </row>
    <row r="951" spans="1:5">
      <c r="A951" s="130"/>
      <c r="B951" s="167"/>
      <c r="C951" s="167"/>
      <c r="D951" s="129"/>
      <c r="E951" s="167"/>
    </row>
    <row r="952" spans="1:5">
      <c r="A952" s="130"/>
      <c r="B952" s="167"/>
      <c r="C952" s="167"/>
      <c r="D952" s="129"/>
      <c r="E952" s="167"/>
    </row>
    <row r="953" spans="1:5">
      <c r="A953" s="130"/>
      <c r="B953" s="167"/>
      <c r="C953" s="167"/>
      <c r="D953" s="129"/>
      <c r="E953" s="167"/>
    </row>
    <row r="954" spans="1:5">
      <c r="A954" s="130"/>
      <c r="B954" s="167"/>
      <c r="C954" s="167"/>
      <c r="D954" s="129"/>
      <c r="E954" s="167"/>
    </row>
    <row r="955" spans="1:5">
      <c r="A955" s="130"/>
      <c r="B955" s="167"/>
      <c r="C955" s="167"/>
      <c r="D955" s="129"/>
      <c r="E955" s="167"/>
    </row>
    <row r="956" spans="1:5">
      <c r="A956" s="130"/>
      <c r="B956" s="167"/>
      <c r="C956" s="167"/>
      <c r="D956" s="129"/>
      <c r="E956" s="167"/>
    </row>
    <row r="957" spans="1:5">
      <c r="A957" s="130"/>
      <c r="B957" s="167"/>
      <c r="C957" s="167"/>
      <c r="D957" s="129"/>
      <c r="E957" s="167"/>
    </row>
    <row r="958" spans="1:5">
      <c r="A958" s="130"/>
      <c r="B958" s="167"/>
      <c r="C958" s="167"/>
      <c r="D958" s="129"/>
      <c r="E958" s="167"/>
    </row>
    <row r="959" spans="1:5">
      <c r="A959" s="130"/>
      <c r="B959" s="167"/>
      <c r="C959" s="167"/>
      <c r="D959" s="129"/>
      <c r="E959" s="167"/>
    </row>
    <row r="960" spans="1:5">
      <c r="A960" s="130"/>
      <c r="B960" s="167"/>
      <c r="C960" s="167"/>
      <c r="D960" s="129"/>
      <c r="E960" s="167"/>
    </row>
    <row r="961" spans="1:5">
      <c r="A961" s="130"/>
      <c r="B961" s="167"/>
      <c r="C961" s="167"/>
      <c r="D961" s="129"/>
      <c r="E961" s="167"/>
    </row>
    <row r="962" spans="1:5">
      <c r="A962" s="130"/>
      <c r="B962" s="167"/>
      <c r="C962" s="167"/>
      <c r="D962" s="129"/>
      <c r="E962" s="167"/>
    </row>
    <row r="963" spans="1:5">
      <c r="A963" s="130"/>
      <c r="B963" s="167"/>
      <c r="C963" s="167"/>
      <c r="D963" s="129"/>
      <c r="E963" s="167"/>
    </row>
    <row r="964" spans="1:5">
      <c r="A964" s="130"/>
      <c r="B964" s="167"/>
      <c r="C964" s="167"/>
      <c r="D964" s="129"/>
      <c r="E964" s="167"/>
    </row>
    <row r="965" spans="1:5">
      <c r="A965" s="130"/>
      <c r="B965" s="167"/>
      <c r="C965" s="167"/>
      <c r="D965" s="129"/>
      <c r="E965" s="167"/>
    </row>
    <row r="966" spans="1:5">
      <c r="A966" s="130"/>
      <c r="B966" s="167"/>
      <c r="C966" s="167"/>
      <c r="D966" s="129"/>
      <c r="E966" s="167"/>
    </row>
    <row r="967" spans="1:5">
      <c r="A967" s="130"/>
      <c r="B967" s="167"/>
      <c r="C967" s="167"/>
      <c r="D967" s="129"/>
      <c r="E967" s="167"/>
    </row>
    <row r="968" spans="1:5">
      <c r="A968" s="130"/>
      <c r="B968" s="167"/>
      <c r="C968" s="167"/>
      <c r="D968" s="129"/>
      <c r="E968" s="167"/>
    </row>
    <row r="969" spans="1:5">
      <c r="A969" s="130"/>
      <c r="B969" s="167"/>
      <c r="C969" s="167"/>
      <c r="D969" s="129"/>
      <c r="E969" s="167"/>
    </row>
    <row r="970" spans="1:5">
      <c r="A970" s="130"/>
      <c r="B970" s="167"/>
      <c r="C970" s="167"/>
      <c r="D970" s="129"/>
      <c r="E970" s="167"/>
    </row>
    <row r="971" spans="1:5">
      <c r="A971" s="130"/>
      <c r="B971" s="167"/>
      <c r="C971" s="167"/>
      <c r="D971" s="129"/>
      <c r="E971" s="167"/>
    </row>
    <row r="972" spans="1:5">
      <c r="A972" s="130"/>
      <c r="B972" s="167"/>
      <c r="C972" s="167"/>
      <c r="D972" s="129"/>
      <c r="E972" s="167"/>
    </row>
    <row r="973" spans="1:5">
      <c r="A973" s="130"/>
      <c r="B973" s="167"/>
      <c r="C973" s="167"/>
      <c r="D973" s="129"/>
      <c r="E973" s="167"/>
    </row>
    <row r="974" spans="1:5">
      <c r="A974" s="130"/>
      <c r="B974" s="167"/>
      <c r="C974" s="167"/>
      <c r="D974" s="129"/>
      <c r="E974" s="167"/>
    </row>
    <row r="975" spans="1:5">
      <c r="A975" s="130"/>
      <c r="B975" s="167"/>
      <c r="C975" s="167"/>
      <c r="D975" s="129"/>
      <c r="E975" s="167"/>
    </row>
    <row r="976" spans="1:5">
      <c r="A976" s="130"/>
      <c r="B976" s="167"/>
      <c r="C976" s="167"/>
      <c r="D976" s="129"/>
      <c r="E976" s="167"/>
    </row>
    <row r="977" spans="1:5">
      <c r="A977" s="130"/>
      <c r="B977" s="167"/>
      <c r="C977" s="167"/>
      <c r="D977" s="129"/>
      <c r="E977" s="167"/>
    </row>
    <row r="978" spans="1:5">
      <c r="A978" s="130"/>
      <c r="B978" s="167"/>
      <c r="C978" s="167"/>
      <c r="D978" s="129"/>
      <c r="E978" s="167"/>
    </row>
    <row r="979" spans="1:5">
      <c r="A979" s="130"/>
      <c r="B979" s="167"/>
      <c r="C979" s="167"/>
      <c r="D979" s="129"/>
      <c r="E979" s="167"/>
    </row>
    <row r="980" spans="1:5">
      <c r="A980" s="130"/>
      <c r="B980" s="167"/>
      <c r="C980" s="167"/>
      <c r="D980" s="129"/>
      <c r="E980" s="167"/>
    </row>
    <row r="981" spans="1:5">
      <c r="A981" s="130"/>
      <c r="B981" s="167"/>
      <c r="C981" s="167"/>
      <c r="D981" s="129"/>
      <c r="E981" s="167"/>
    </row>
    <row r="982" spans="1:5">
      <c r="A982" s="130"/>
      <c r="B982" s="167"/>
      <c r="C982" s="167"/>
      <c r="D982" s="129"/>
      <c r="E982" s="167"/>
    </row>
    <row r="983" spans="1:5">
      <c r="A983" s="130"/>
      <c r="B983" s="167"/>
      <c r="C983" s="167"/>
      <c r="D983" s="129"/>
      <c r="E983" s="167"/>
    </row>
    <row r="984" spans="1:5">
      <c r="A984" s="130"/>
      <c r="B984" s="167"/>
      <c r="C984" s="167"/>
      <c r="D984" s="129"/>
      <c r="E984" s="167"/>
    </row>
    <row r="985" spans="1:5">
      <c r="A985" s="130"/>
      <c r="B985" s="167"/>
      <c r="C985" s="167"/>
      <c r="D985" s="129"/>
      <c r="E985" s="167"/>
    </row>
    <row r="986" spans="1:5">
      <c r="A986" s="130"/>
      <c r="B986" s="167"/>
      <c r="C986" s="167"/>
      <c r="D986" s="129"/>
      <c r="E986" s="167"/>
    </row>
    <row r="987" spans="1:5">
      <c r="A987" s="130"/>
      <c r="B987" s="167"/>
      <c r="C987" s="167"/>
      <c r="D987" s="129"/>
      <c r="E987" s="167"/>
    </row>
    <row r="988" spans="1:5">
      <c r="A988" s="130"/>
      <c r="B988" s="167"/>
      <c r="C988" s="167"/>
      <c r="D988" s="129"/>
      <c r="E988" s="167"/>
    </row>
    <row r="989" spans="1:5">
      <c r="A989" s="130"/>
      <c r="B989" s="167"/>
      <c r="C989" s="167"/>
      <c r="D989" s="129"/>
      <c r="E989" s="167"/>
    </row>
    <row r="990" spans="1:5">
      <c r="A990" s="130"/>
      <c r="B990" s="167"/>
      <c r="C990" s="167"/>
      <c r="D990" s="129"/>
      <c r="E990" s="167"/>
    </row>
    <row r="991" spans="1:5">
      <c r="A991" s="130"/>
      <c r="B991" s="167"/>
      <c r="C991" s="167"/>
      <c r="D991" s="129"/>
      <c r="E991" s="167"/>
    </row>
    <row r="992" spans="1:5">
      <c r="A992" s="130"/>
      <c r="B992" s="167"/>
      <c r="C992" s="167"/>
      <c r="D992" s="129"/>
      <c r="E992" s="167"/>
    </row>
    <row r="993" spans="1:5">
      <c r="A993" s="130"/>
      <c r="B993" s="167"/>
      <c r="C993" s="167"/>
      <c r="D993" s="129"/>
      <c r="E993" s="167"/>
    </row>
    <row r="994" spans="1:5">
      <c r="A994" s="130"/>
      <c r="B994" s="167"/>
      <c r="C994" s="167"/>
      <c r="D994" s="129"/>
      <c r="E994" s="167"/>
    </row>
    <row r="995" spans="1:5">
      <c r="A995" s="130"/>
      <c r="B995" s="167"/>
      <c r="C995" s="167"/>
      <c r="D995" s="129"/>
      <c r="E995" s="167"/>
    </row>
    <row r="996" spans="1:5">
      <c r="A996" s="130"/>
      <c r="B996" s="167"/>
      <c r="C996" s="167"/>
      <c r="D996" s="129"/>
      <c r="E996" s="167"/>
    </row>
    <row r="997" spans="1:5">
      <c r="A997" s="130"/>
      <c r="B997" s="167"/>
      <c r="C997" s="167"/>
      <c r="D997" s="129"/>
      <c r="E997" s="167"/>
    </row>
    <row r="998" spans="1:5">
      <c r="A998" s="130"/>
      <c r="B998" s="167"/>
      <c r="C998" s="167"/>
      <c r="D998" s="129"/>
      <c r="E998" s="167"/>
    </row>
    <row r="999" spans="1:5">
      <c r="A999" s="130"/>
      <c r="B999" s="167"/>
      <c r="C999" s="167"/>
      <c r="D999" s="129"/>
      <c r="E999" s="167"/>
    </row>
    <row r="1000" spans="1:5">
      <c r="A1000" s="130"/>
      <c r="B1000" s="167"/>
      <c r="C1000" s="167"/>
      <c r="D1000" s="129"/>
      <c r="E1000" s="167"/>
    </row>
    <row r="1001" spans="1:5">
      <c r="A1001" s="130"/>
      <c r="B1001" s="167"/>
      <c r="C1001" s="167"/>
      <c r="D1001" s="129"/>
      <c r="E1001" s="167"/>
    </row>
    <row r="1002" spans="1:5">
      <c r="A1002" s="130"/>
      <c r="B1002" s="167"/>
      <c r="C1002" s="167"/>
      <c r="D1002" s="129"/>
      <c r="E1002" s="167"/>
    </row>
    <row r="1003" spans="1:5">
      <c r="A1003" s="130"/>
      <c r="B1003" s="167"/>
      <c r="C1003" s="167"/>
      <c r="D1003" s="129"/>
      <c r="E1003" s="167"/>
    </row>
    <row r="1004" spans="1:5">
      <c r="A1004" s="130"/>
      <c r="B1004" s="167"/>
      <c r="C1004" s="167"/>
      <c r="D1004" s="129"/>
      <c r="E1004" s="167"/>
    </row>
    <row r="1005" spans="1:5">
      <c r="A1005" s="130"/>
      <c r="B1005" s="167"/>
      <c r="C1005" s="167"/>
      <c r="D1005" s="129"/>
      <c r="E1005" s="167"/>
    </row>
    <row r="1006" spans="1:5">
      <c r="A1006" s="130"/>
      <c r="B1006" s="167"/>
      <c r="C1006" s="167"/>
      <c r="D1006" s="129"/>
      <c r="E1006" s="167"/>
    </row>
    <row r="1007" spans="1:5">
      <c r="A1007" s="130"/>
      <c r="B1007" s="167"/>
      <c r="C1007" s="167"/>
      <c r="D1007" s="129"/>
      <c r="E1007" s="167"/>
    </row>
    <row r="1008" spans="1:5">
      <c r="A1008" s="130"/>
      <c r="B1008" s="167"/>
      <c r="C1008" s="167"/>
      <c r="D1008" s="129"/>
      <c r="E1008" s="167"/>
    </row>
    <row r="1009" spans="1:5">
      <c r="A1009" s="130"/>
      <c r="B1009" s="167"/>
      <c r="C1009" s="167"/>
      <c r="D1009" s="129"/>
      <c r="E1009" s="167"/>
    </row>
    <row r="1010" spans="1:5">
      <c r="A1010" s="130"/>
      <c r="B1010" s="167"/>
      <c r="C1010" s="167"/>
      <c r="D1010" s="129"/>
      <c r="E1010" s="167"/>
    </row>
    <row r="1011" spans="1:5">
      <c r="A1011" s="130"/>
      <c r="B1011" s="167"/>
      <c r="C1011" s="167"/>
      <c r="D1011" s="129"/>
      <c r="E1011" s="167"/>
    </row>
    <row r="1012" spans="1:5">
      <c r="A1012" s="130"/>
      <c r="B1012" s="167"/>
      <c r="C1012" s="167"/>
      <c r="D1012" s="129"/>
      <c r="E1012" s="167"/>
    </row>
    <row r="1013" spans="1:5">
      <c r="A1013" s="130"/>
      <c r="B1013" s="167"/>
      <c r="C1013" s="167"/>
      <c r="D1013" s="129"/>
      <c r="E1013" s="167"/>
    </row>
    <row r="1014" spans="1:5">
      <c r="A1014" s="130"/>
      <c r="B1014" s="167"/>
      <c r="C1014" s="167"/>
      <c r="D1014" s="129"/>
      <c r="E1014" s="167"/>
    </row>
    <row r="1015" spans="1:5">
      <c r="A1015" s="130"/>
      <c r="B1015" s="167"/>
      <c r="C1015" s="167"/>
      <c r="D1015" s="129"/>
      <c r="E1015" s="167"/>
    </row>
    <row r="1016" spans="1:5">
      <c r="A1016" s="130"/>
      <c r="B1016" s="167"/>
      <c r="C1016" s="167"/>
      <c r="D1016" s="129"/>
      <c r="E1016" s="167"/>
    </row>
    <row r="1017" spans="1:5">
      <c r="A1017" s="130"/>
      <c r="B1017" s="167"/>
      <c r="C1017" s="167"/>
      <c r="D1017" s="129"/>
      <c r="E1017" s="167"/>
    </row>
    <row r="1018" spans="1:5">
      <c r="A1018" s="130"/>
      <c r="B1018" s="167"/>
      <c r="C1018" s="167"/>
      <c r="D1018" s="129"/>
      <c r="E1018" s="167"/>
    </row>
    <row r="1019" spans="1:5">
      <c r="A1019" s="130"/>
      <c r="B1019" s="167"/>
      <c r="C1019" s="167"/>
      <c r="D1019" s="129"/>
      <c r="E1019" s="167"/>
    </row>
    <row r="1020" spans="1:5">
      <c r="A1020" s="130"/>
      <c r="B1020" s="167"/>
      <c r="C1020" s="167"/>
      <c r="D1020" s="129"/>
      <c r="E1020" s="167"/>
    </row>
    <row r="1021" spans="1:5">
      <c r="A1021" s="130"/>
      <c r="B1021" s="167"/>
      <c r="C1021" s="167"/>
      <c r="D1021" s="129"/>
      <c r="E1021" s="167"/>
    </row>
    <row r="1022" spans="1:5">
      <c r="A1022" s="130"/>
      <c r="B1022" s="167"/>
      <c r="C1022" s="167"/>
      <c r="D1022" s="129"/>
      <c r="E1022" s="167"/>
    </row>
    <row r="1023" spans="1:5">
      <c r="A1023" s="130"/>
      <c r="B1023" s="167"/>
      <c r="C1023" s="167"/>
      <c r="D1023" s="129"/>
      <c r="E1023" s="167"/>
    </row>
    <row r="1024" spans="1:5">
      <c r="A1024" s="130"/>
      <c r="B1024" s="167"/>
      <c r="C1024" s="167"/>
      <c r="D1024" s="129"/>
      <c r="E1024" s="167"/>
    </row>
    <row r="1025" spans="1:5">
      <c r="A1025" s="130"/>
      <c r="B1025" s="167"/>
      <c r="C1025" s="167"/>
      <c r="D1025" s="129"/>
      <c r="E1025" s="167"/>
    </row>
    <row r="1026" spans="1:5">
      <c r="A1026" s="130"/>
      <c r="B1026" s="167"/>
      <c r="C1026" s="167"/>
      <c r="D1026" s="129"/>
      <c r="E1026" s="167"/>
    </row>
    <row r="1027" spans="1:5">
      <c r="A1027" s="130"/>
      <c r="B1027" s="167"/>
      <c r="C1027" s="167"/>
      <c r="D1027" s="129"/>
      <c r="E1027" s="167"/>
    </row>
    <row r="1028" spans="1:5">
      <c r="A1028" s="130"/>
      <c r="B1028" s="167"/>
      <c r="C1028" s="167"/>
      <c r="D1028" s="129"/>
      <c r="E1028" s="167"/>
    </row>
    <row r="1029" spans="1:5">
      <c r="A1029" s="130"/>
      <c r="B1029" s="167"/>
      <c r="C1029" s="167"/>
      <c r="D1029" s="129"/>
      <c r="E1029" s="167"/>
    </row>
    <row r="1030" spans="1:5">
      <c r="A1030" s="130"/>
      <c r="B1030" s="167"/>
      <c r="C1030" s="167"/>
      <c r="D1030" s="129"/>
      <c r="E1030" s="167"/>
    </row>
    <row r="1031" spans="1:5">
      <c r="A1031" s="130"/>
      <c r="B1031" s="167"/>
      <c r="C1031" s="167"/>
      <c r="D1031" s="129"/>
      <c r="E1031" s="167"/>
    </row>
    <row r="1032" spans="1:5">
      <c r="A1032" s="130"/>
      <c r="B1032" s="167"/>
      <c r="C1032" s="167"/>
      <c r="D1032" s="129"/>
      <c r="E1032" s="167"/>
    </row>
    <row r="1033" spans="1:5">
      <c r="A1033" s="130"/>
      <c r="B1033" s="167"/>
      <c r="C1033" s="167"/>
      <c r="D1033" s="129"/>
      <c r="E1033" s="167"/>
    </row>
    <row r="1034" spans="1:5">
      <c r="A1034" s="130"/>
      <c r="B1034" s="167"/>
      <c r="C1034" s="167"/>
      <c r="D1034" s="129"/>
      <c r="E1034" s="167"/>
    </row>
    <row r="1035" spans="1:5">
      <c r="A1035" s="130"/>
      <c r="B1035" s="167"/>
      <c r="C1035" s="167"/>
      <c r="D1035" s="129"/>
      <c r="E1035" s="167"/>
    </row>
    <row r="1036" spans="1:5">
      <c r="A1036" s="130"/>
      <c r="B1036" s="167"/>
      <c r="C1036" s="167"/>
      <c r="D1036" s="129"/>
      <c r="E1036" s="167"/>
    </row>
    <row r="1037" spans="1:5">
      <c r="A1037" s="130"/>
      <c r="B1037" s="167"/>
      <c r="C1037" s="167"/>
      <c r="D1037" s="129"/>
      <c r="E1037" s="167"/>
    </row>
    <row r="1038" spans="1:5">
      <c r="A1038" s="130"/>
      <c r="B1038" s="167"/>
      <c r="C1038" s="167"/>
      <c r="D1038" s="129"/>
      <c r="E1038" s="167"/>
    </row>
    <row r="1039" spans="1:5">
      <c r="A1039" s="130"/>
      <c r="B1039" s="167"/>
      <c r="C1039" s="167"/>
      <c r="D1039" s="129"/>
      <c r="E1039" s="167"/>
    </row>
    <row r="1040" spans="1:5">
      <c r="A1040" s="130"/>
      <c r="B1040" s="167"/>
      <c r="C1040" s="167"/>
      <c r="D1040" s="129"/>
      <c r="E1040" s="167"/>
    </row>
    <row r="1041" spans="1:5">
      <c r="A1041" s="130"/>
      <c r="B1041" s="167"/>
      <c r="C1041" s="167"/>
      <c r="D1041" s="129"/>
      <c r="E1041" s="167"/>
    </row>
    <row r="1042" spans="1:5">
      <c r="A1042" s="130"/>
      <c r="B1042" s="167"/>
      <c r="C1042" s="167"/>
      <c r="D1042" s="129"/>
      <c r="E1042" s="167"/>
    </row>
    <row r="1043" spans="1:5">
      <c r="A1043" s="130"/>
      <c r="B1043" s="167"/>
      <c r="C1043" s="167"/>
      <c r="D1043" s="129"/>
      <c r="E1043" s="167"/>
    </row>
    <row r="1044" spans="1:5">
      <c r="A1044" s="130"/>
      <c r="B1044" s="167"/>
      <c r="C1044" s="167"/>
      <c r="D1044" s="129"/>
      <c r="E1044" s="167"/>
    </row>
    <row r="1045" spans="1:5">
      <c r="A1045" s="130"/>
      <c r="B1045" s="167"/>
      <c r="C1045" s="167"/>
      <c r="D1045" s="129"/>
      <c r="E1045" s="167"/>
    </row>
    <row r="1046" spans="1:5">
      <c r="A1046" s="130"/>
      <c r="B1046" s="167"/>
      <c r="C1046" s="167"/>
      <c r="D1046" s="129"/>
      <c r="E1046" s="167"/>
    </row>
    <row r="1047" spans="1:5">
      <c r="A1047" s="130"/>
      <c r="B1047" s="167"/>
      <c r="C1047" s="167"/>
      <c r="D1047" s="129"/>
      <c r="E1047" s="167"/>
    </row>
    <row r="1048" spans="1:5">
      <c r="A1048" s="130"/>
      <c r="B1048" s="167"/>
      <c r="C1048" s="167"/>
      <c r="D1048" s="129"/>
      <c r="E1048" s="167"/>
    </row>
    <row r="1049" spans="1:5">
      <c r="A1049" s="130"/>
      <c r="B1049" s="167"/>
      <c r="C1049" s="167"/>
      <c r="D1049" s="129"/>
      <c r="E1049" s="167"/>
    </row>
    <row r="1050" spans="1:5">
      <c r="A1050" s="130"/>
      <c r="B1050" s="167"/>
      <c r="C1050" s="167"/>
      <c r="D1050" s="129"/>
      <c r="E1050" s="167"/>
    </row>
    <row r="1051" spans="1:5">
      <c r="A1051" s="130"/>
      <c r="B1051" s="167"/>
      <c r="C1051" s="167"/>
      <c r="D1051" s="129"/>
      <c r="E1051" s="167"/>
    </row>
    <row r="1052" spans="1:5">
      <c r="A1052" s="130"/>
      <c r="B1052" s="167"/>
      <c r="C1052" s="167"/>
      <c r="D1052" s="129"/>
      <c r="E1052" s="167"/>
    </row>
    <row r="1053" spans="1:5">
      <c r="A1053" s="130"/>
      <c r="B1053" s="167"/>
      <c r="C1053" s="167"/>
      <c r="D1053" s="129"/>
      <c r="E1053" s="167"/>
    </row>
    <row r="1054" spans="1:5">
      <c r="A1054" s="130"/>
      <c r="B1054" s="167"/>
      <c r="C1054" s="167"/>
      <c r="D1054" s="129"/>
      <c r="E1054" s="167"/>
    </row>
    <row r="1055" spans="1:5">
      <c r="A1055" s="130"/>
      <c r="B1055" s="167"/>
      <c r="C1055" s="167"/>
      <c r="D1055" s="129"/>
      <c r="E1055" s="167"/>
    </row>
    <row r="1056" spans="1:5">
      <c r="A1056" s="130"/>
      <c r="B1056" s="167"/>
      <c r="C1056" s="167"/>
      <c r="D1056" s="129"/>
      <c r="E1056" s="167"/>
    </row>
    <row r="1057" spans="1:5">
      <c r="A1057" s="130"/>
      <c r="B1057" s="167"/>
      <c r="C1057" s="167"/>
      <c r="D1057" s="129"/>
      <c r="E1057" s="167"/>
    </row>
    <row r="1058" spans="1:5">
      <c r="A1058" s="130"/>
      <c r="B1058" s="167"/>
      <c r="C1058" s="167"/>
      <c r="D1058" s="129"/>
      <c r="E1058" s="167"/>
    </row>
    <row r="1059" spans="1:5">
      <c r="A1059" s="130"/>
      <c r="B1059" s="167"/>
      <c r="C1059" s="167"/>
      <c r="D1059" s="129"/>
      <c r="E1059" s="167"/>
    </row>
    <row r="1060" spans="1:5">
      <c r="A1060" s="130"/>
      <c r="B1060" s="167"/>
      <c r="C1060" s="167"/>
      <c r="D1060" s="129"/>
      <c r="E1060" s="167"/>
    </row>
    <row r="1061" spans="1:5">
      <c r="A1061" s="130"/>
      <c r="B1061" s="167"/>
      <c r="C1061" s="167"/>
      <c r="D1061" s="129"/>
      <c r="E1061" s="167"/>
    </row>
    <row r="1062" spans="1:5">
      <c r="A1062" s="130"/>
      <c r="B1062" s="167"/>
      <c r="C1062" s="167"/>
      <c r="D1062" s="129"/>
      <c r="E1062" s="167"/>
    </row>
    <row r="1063" spans="1:5">
      <c r="A1063" s="130"/>
      <c r="B1063" s="167"/>
      <c r="C1063" s="167"/>
      <c r="D1063" s="129"/>
      <c r="E1063" s="167"/>
    </row>
    <row r="1064" spans="1:5">
      <c r="A1064" s="130"/>
      <c r="B1064" s="167"/>
      <c r="C1064" s="167"/>
      <c r="D1064" s="129"/>
      <c r="E1064" s="167"/>
    </row>
    <row r="1065" spans="1:5">
      <c r="A1065" s="130"/>
      <c r="B1065" s="167"/>
      <c r="C1065" s="167"/>
      <c r="D1065" s="129"/>
      <c r="E1065" s="167"/>
    </row>
    <row r="1066" spans="1:5">
      <c r="A1066" s="130"/>
      <c r="B1066" s="167"/>
      <c r="C1066" s="167"/>
      <c r="D1066" s="129"/>
      <c r="E1066" s="167"/>
    </row>
    <row r="1067" spans="1:5">
      <c r="A1067" s="130"/>
      <c r="B1067" s="167"/>
      <c r="C1067" s="167"/>
      <c r="D1067" s="129"/>
      <c r="E1067" s="167"/>
    </row>
    <row r="1068" spans="1:5">
      <c r="A1068" s="130"/>
      <c r="B1068" s="167"/>
      <c r="C1068" s="167"/>
      <c r="D1068" s="129"/>
      <c r="E1068" s="167"/>
    </row>
    <row r="1069" spans="1:5">
      <c r="A1069" s="130"/>
      <c r="B1069" s="167"/>
      <c r="C1069" s="167"/>
      <c r="D1069" s="129"/>
      <c r="E1069" s="167"/>
    </row>
    <row r="1070" spans="1:5">
      <c r="A1070" s="130"/>
      <c r="B1070" s="167"/>
      <c r="C1070" s="167"/>
      <c r="D1070" s="129"/>
      <c r="E1070" s="167"/>
    </row>
    <row r="1071" spans="1:5">
      <c r="A1071" s="130"/>
      <c r="B1071" s="167"/>
      <c r="C1071" s="167"/>
      <c r="D1071" s="129"/>
      <c r="E1071" s="167"/>
    </row>
    <row r="1072" spans="1:5">
      <c r="A1072" s="130"/>
      <c r="B1072" s="167"/>
      <c r="C1072" s="167"/>
      <c r="D1072" s="129"/>
      <c r="E1072" s="167"/>
    </row>
    <row r="1073" spans="1:5">
      <c r="A1073" s="130"/>
      <c r="B1073" s="167"/>
      <c r="C1073" s="167"/>
      <c r="D1073" s="129"/>
      <c r="E1073" s="167"/>
    </row>
    <row r="1074" spans="1:5">
      <c r="A1074" s="130"/>
      <c r="B1074" s="167"/>
      <c r="C1074" s="167"/>
      <c r="D1074" s="129"/>
      <c r="E1074" s="167"/>
    </row>
    <row r="1075" spans="1:5">
      <c r="A1075" s="130"/>
      <c r="B1075" s="167"/>
      <c r="C1075" s="167"/>
      <c r="D1075" s="129"/>
      <c r="E1075" s="167"/>
    </row>
    <row r="1076" spans="1:5">
      <c r="A1076" s="130"/>
      <c r="B1076" s="167"/>
      <c r="C1076" s="167"/>
      <c r="D1076" s="129"/>
      <c r="E1076" s="167"/>
    </row>
    <row r="1077" spans="1:5">
      <c r="A1077" s="130"/>
      <c r="B1077" s="167"/>
      <c r="C1077" s="167"/>
      <c r="D1077" s="129"/>
      <c r="E1077" s="167"/>
    </row>
    <row r="1078" spans="1:5">
      <c r="A1078" s="130"/>
      <c r="B1078" s="167"/>
      <c r="C1078" s="167"/>
      <c r="D1078" s="129"/>
      <c r="E1078" s="167"/>
    </row>
    <row r="1079" spans="1:5">
      <c r="A1079" s="130"/>
      <c r="B1079" s="167"/>
      <c r="C1079" s="167"/>
      <c r="D1079" s="129"/>
      <c r="E1079" s="167"/>
    </row>
    <row r="1080" spans="1:5">
      <c r="A1080" s="130"/>
      <c r="B1080" s="167"/>
      <c r="C1080" s="167"/>
      <c r="D1080" s="129"/>
      <c r="E1080" s="167"/>
    </row>
    <row r="1081" spans="1:5">
      <c r="A1081" s="130"/>
      <c r="B1081" s="167"/>
      <c r="C1081" s="167"/>
      <c r="D1081" s="129"/>
      <c r="E1081" s="167"/>
    </row>
    <row r="1082" spans="1:5">
      <c r="A1082" s="130"/>
      <c r="B1082" s="167"/>
      <c r="C1082" s="167"/>
      <c r="D1082" s="129"/>
      <c r="E1082" s="167"/>
    </row>
    <row r="1083" spans="1:5">
      <c r="A1083" s="130"/>
      <c r="B1083" s="167"/>
      <c r="C1083" s="167"/>
      <c r="D1083" s="129"/>
      <c r="E1083" s="167"/>
    </row>
    <row r="1084" spans="1:5">
      <c r="A1084" s="130"/>
      <c r="B1084" s="167"/>
      <c r="C1084" s="167"/>
      <c r="D1084" s="129"/>
      <c r="E1084" s="167"/>
    </row>
    <row r="1085" spans="1:5">
      <c r="A1085" s="130"/>
      <c r="B1085" s="167"/>
      <c r="C1085" s="167"/>
      <c r="D1085" s="129"/>
      <c r="E1085" s="167"/>
    </row>
    <row r="1086" spans="1:5">
      <c r="A1086" s="130"/>
      <c r="B1086" s="167"/>
      <c r="C1086" s="167"/>
      <c r="D1086" s="129"/>
      <c r="E1086" s="167"/>
    </row>
    <row r="1087" spans="1:5">
      <c r="A1087" s="130"/>
      <c r="B1087" s="167"/>
      <c r="C1087" s="167"/>
      <c r="D1087" s="129"/>
      <c r="E1087" s="167"/>
    </row>
    <row r="1088" spans="1:5">
      <c r="A1088" s="130"/>
      <c r="B1088" s="167"/>
      <c r="C1088" s="167"/>
      <c r="D1088" s="129"/>
      <c r="E1088" s="167"/>
    </row>
    <row r="1089" spans="1:5">
      <c r="A1089" s="130"/>
      <c r="B1089" s="167"/>
      <c r="C1089" s="167"/>
      <c r="D1089" s="129"/>
      <c r="E1089" s="167"/>
    </row>
    <row r="1090" spans="1:5">
      <c r="A1090" s="130"/>
      <c r="B1090" s="167"/>
      <c r="C1090" s="167"/>
      <c r="D1090" s="129"/>
      <c r="E1090" s="167"/>
    </row>
    <row r="1091" spans="1:5">
      <c r="A1091" s="130"/>
      <c r="B1091" s="167"/>
      <c r="C1091" s="167"/>
      <c r="D1091" s="129"/>
      <c r="E1091" s="167"/>
    </row>
    <row r="1092" spans="1:5">
      <c r="A1092" s="130"/>
      <c r="B1092" s="167"/>
      <c r="C1092" s="167"/>
      <c r="D1092" s="129"/>
      <c r="E1092" s="167"/>
    </row>
    <row r="1093" spans="1:5">
      <c r="A1093" s="130"/>
      <c r="B1093" s="167"/>
      <c r="C1093" s="167"/>
      <c r="D1093" s="129"/>
      <c r="E1093" s="167"/>
    </row>
    <row r="1094" spans="1:5">
      <c r="A1094" s="130"/>
      <c r="B1094" s="167"/>
      <c r="C1094" s="167"/>
      <c r="D1094" s="129"/>
      <c r="E1094" s="167"/>
    </row>
    <row r="1095" spans="1:5">
      <c r="A1095" s="130"/>
      <c r="B1095" s="167"/>
      <c r="C1095" s="167"/>
      <c r="D1095" s="129"/>
      <c r="E1095" s="167"/>
    </row>
    <row r="1096" spans="1:5">
      <c r="A1096" s="130"/>
      <c r="B1096" s="167"/>
      <c r="C1096" s="167"/>
      <c r="D1096" s="129"/>
      <c r="E1096" s="167"/>
    </row>
    <row r="1097" spans="1:5">
      <c r="A1097" s="130"/>
      <c r="B1097" s="167"/>
      <c r="C1097" s="167"/>
      <c r="D1097" s="129"/>
      <c r="E1097" s="167"/>
    </row>
    <row r="1098" spans="1:5">
      <c r="A1098" s="130"/>
      <c r="B1098" s="167"/>
      <c r="C1098" s="167"/>
      <c r="D1098" s="129"/>
      <c r="E1098" s="167"/>
    </row>
    <row r="1099" spans="1:5">
      <c r="A1099" s="130"/>
      <c r="B1099" s="167"/>
      <c r="C1099" s="167"/>
      <c r="D1099" s="129"/>
      <c r="E1099" s="167"/>
    </row>
    <row r="1100" spans="1:5">
      <c r="A1100" s="130"/>
      <c r="B1100" s="167"/>
      <c r="C1100" s="167"/>
      <c r="D1100" s="129"/>
      <c r="E1100" s="167"/>
    </row>
    <row r="1101" spans="1:5">
      <c r="A1101" s="130"/>
      <c r="B1101" s="167"/>
      <c r="C1101" s="167"/>
      <c r="D1101" s="129"/>
      <c r="E1101" s="167"/>
    </row>
    <row r="1102" spans="1:5">
      <c r="A1102" s="130"/>
      <c r="B1102" s="167"/>
      <c r="C1102" s="167"/>
      <c r="D1102" s="129"/>
      <c r="E1102" s="167"/>
    </row>
    <row r="1103" spans="1:5">
      <c r="A1103" s="130"/>
      <c r="B1103" s="167"/>
      <c r="C1103" s="167"/>
      <c r="D1103" s="129"/>
      <c r="E1103" s="167"/>
    </row>
    <row r="1104" spans="1:5">
      <c r="A1104" s="130"/>
      <c r="B1104" s="167"/>
      <c r="C1104" s="167"/>
      <c r="D1104" s="129"/>
      <c r="E1104" s="167"/>
    </row>
    <row r="1105" spans="1:5">
      <c r="A1105" s="130"/>
      <c r="B1105" s="167"/>
      <c r="C1105" s="167"/>
      <c r="D1105" s="129"/>
      <c r="E1105" s="167"/>
    </row>
    <row r="1106" spans="1:5">
      <c r="A1106" s="130"/>
      <c r="B1106" s="167"/>
      <c r="C1106" s="167"/>
      <c r="D1106" s="129"/>
      <c r="E1106" s="167"/>
    </row>
    <row r="1107" spans="1:5">
      <c r="A1107" s="130"/>
      <c r="B1107" s="167"/>
      <c r="C1107" s="167"/>
      <c r="D1107" s="129"/>
      <c r="E1107" s="167"/>
    </row>
    <row r="1108" spans="1:5">
      <c r="A1108" s="130"/>
      <c r="B1108" s="167"/>
      <c r="C1108" s="167"/>
      <c r="D1108" s="129"/>
      <c r="E1108" s="167"/>
    </row>
    <row r="1109" spans="1:5">
      <c r="A1109" s="130"/>
      <c r="B1109" s="167"/>
      <c r="C1109" s="167"/>
      <c r="D1109" s="129"/>
      <c r="E1109" s="167"/>
    </row>
    <row r="1110" spans="1:5">
      <c r="A1110" s="130"/>
      <c r="B1110" s="167"/>
      <c r="C1110" s="167"/>
      <c r="D1110" s="129"/>
      <c r="E1110" s="167"/>
    </row>
    <row r="1111" spans="1:5">
      <c r="A1111" s="130"/>
      <c r="B1111" s="167"/>
      <c r="C1111" s="167"/>
      <c r="D1111" s="129"/>
      <c r="E1111" s="167"/>
    </row>
    <row r="1112" spans="1:5">
      <c r="A1112" s="130"/>
      <c r="B1112" s="167"/>
      <c r="C1112" s="167"/>
      <c r="D1112" s="129"/>
      <c r="E1112" s="167"/>
    </row>
    <row r="1113" spans="1:5">
      <c r="A1113" s="130"/>
      <c r="B1113" s="167"/>
      <c r="C1113" s="167"/>
      <c r="D1113" s="129"/>
      <c r="E1113" s="167"/>
    </row>
    <row r="1114" spans="1:5">
      <c r="A1114" s="130"/>
      <c r="B1114" s="167"/>
      <c r="C1114" s="167"/>
      <c r="D1114" s="129"/>
      <c r="E1114" s="167"/>
    </row>
    <row r="1115" spans="1:5">
      <c r="A1115" s="130"/>
      <c r="B1115" s="167"/>
      <c r="C1115" s="167"/>
      <c r="D1115" s="129"/>
      <c r="E1115" s="167"/>
    </row>
    <row r="1116" spans="1:5">
      <c r="A1116" s="130"/>
      <c r="B1116" s="167"/>
      <c r="C1116" s="167"/>
      <c r="D1116" s="129"/>
      <c r="E1116" s="167"/>
    </row>
    <row r="1117" spans="1:5">
      <c r="A1117" s="130"/>
      <c r="B1117" s="167"/>
      <c r="C1117" s="167"/>
      <c r="D1117" s="129"/>
      <c r="E1117" s="167"/>
    </row>
    <row r="1118" spans="1:5">
      <c r="A1118" s="130"/>
      <c r="B1118" s="167"/>
      <c r="C1118" s="167"/>
      <c r="D1118" s="129"/>
      <c r="E1118" s="167"/>
    </row>
    <row r="1119" spans="1:5">
      <c r="A1119" s="130"/>
      <c r="B1119" s="167"/>
      <c r="C1119" s="167"/>
      <c r="D1119" s="129"/>
      <c r="E1119" s="167"/>
    </row>
    <row r="1120" spans="1:5">
      <c r="A1120" s="130"/>
      <c r="B1120" s="167"/>
      <c r="C1120" s="167"/>
      <c r="D1120" s="129"/>
      <c r="E1120" s="167"/>
    </row>
    <row r="1121" spans="1:5">
      <c r="A1121" s="130"/>
      <c r="B1121" s="167"/>
      <c r="C1121" s="167"/>
      <c r="D1121" s="129"/>
      <c r="E1121" s="167"/>
    </row>
    <row r="1122" spans="1:5">
      <c r="A1122" s="130"/>
      <c r="B1122" s="167"/>
      <c r="C1122" s="167"/>
      <c r="D1122" s="129"/>
      <c r="E1122" s="167"/>
    </row>
    <row r="1123" spans="1:5">
      <c r="A1123" s="130"/>
      <c r="B1123" s="167"/>
      <c r="C1123" s="167"/>
      <c r="D1123" s="129"/>
      <c r="E1123" s="167"/>
    </row>
    <row r="1124" spans="1:5">
      <c r="A1124" s="130"/>
      <c r="B1124" s="167"/>
      <c r="C1124" s="167"/>
      <c r="D1124" s="129"/>
      <c r="E1124" s="167"/>
    </row>
    <row r="1125" spans="1:5">
      <c r="A1125" s="130"/>
      <c r="B1125" s="167"/>
      <c r="C1125" s="167"/>
      <c r="D1125" s="129"/>
      <c r="E1125" s="167"/>
    </row>
    <row r="1126" spans="1:5">
      <c r="A1126" s="130"/>
      <c r="B1126" s="167"/>
      <c r="C1126" s="167"/>
      <c r="D1126" s="129"/>
      <c r="E1126" s="167"/>
    </row>
    <row r="1127" spans="1:5">
      <c r="A1127" s="130"/>
      <c r="B1127" s="167"/>
      <c r="C1127" s="167"/>
      <c r="D1127" s="129"/>
      <c r="E1127" s="167"/>
    </row>
    <row r="1128" spans="1:5">
      <c r="A1128" s="130"/>
      <c r="B1128" s="167"/>
      <c r="C1128" s="167"/>
      <c r="D1128" s="129"/>
      <c r="E1128" s="167"/>
    </row>
    <row r="1129" spans="1:5">
      <c r="A1129" s="130"/>
      <c r="B1129" s="167"/>
      <c r="C1129" s="167"/>
      <c r="D1129" s="129"/>
      <c r="E1129" s="167"/>
    </row>
    <row r="1130" spans="1:5">
      <c r="A1130" s="130"/>
      <c r="B1130" s="167"/>
      <c r="C1130" s="167"/>
      <c r="D1130" s="129"/>
      <c r="E1130" s="167"/>
    </row>
    <row r="1131" spans="1:5">
      <c r="A1131" s="130"/>
      <c r="B1131" s="167"/>
      <c r="C1131" s="167"/>
      <c r="D1131" s="129"/>
      <c r="E1131" s="167"/>
    </row>
    <row r="1132" spans="1:5">
      <c r="A1132" s="130"/>
      <c r="B1132" s="167"/>
      <c r="C1132" s="167"/>
      <c r="D1132" s="129"/>
      <c r="E1132" s="167"/>
    </row>
    <row r="1133" spans="1:5">
      <c r="A1133" s="130"/>
      <c r="B1133" s="167"/>
      <c r="C1133" s="167"/>
      <c r="D1133" s="129"/>
      <c r="E1133" s="167"/>
    </row>
    <row r="1134" spans="1:5">
      <c r="A1134" s="130"/>
      <c r="B1134" s="167"/>
      <c r="C1134" s="167"/>
      <c r="D1134" s="129"/>
      <c r="E1134" s="167"/>
    </row>
    <row r="1135" spans="1:5">
      <c r="A1135" s="130"/>
      <c r="B1135" s="167"/>
      <c r="C1135" s="167"/>
      <c r="D1135" s="129"/>
      <c r="E1135" s="167"/>
    </row>
    <row r="1136" spans="1:5">
      <c r="A1136" s="130"/>
      <c r="B1136" s="167"/>
      <c r="C1136" s="167"/>
      <c r="D1136" s="129"/>
      <c r="E1136" s="167"/>
    </row>
    <row r="1137" spans="1:5">
      <c r="A1137" s="130"/>
      <c r="B1137" s="167"/>
      <c r="C1137" s="167"/>
      <c r="D1137" s="129"/>
      <c r="E1137" s="167"/>
    </row>
    <row r="1138" spans="1:5">
      <c r="A1138" s="130"/>
      <c r="B1138" s="167"/>
      <c r="C1138" s="167"/>
      <c r="D1138" s="129"/>
      <c r="E1138" s="167"/>
    </row>
    <row r="1139" spans="1:5">
      <c r="A1139" s="130"/>
      <c r="B1139" s="167"/>
      <c r="C1139" s="167"/>
      <c r="D1139" s="129"/>
      <c r="E1139" s="167"/>
    </row>
    <row r="1140" spans="1:5">
      <c r="A1140" s="130"/>
      <c r="B1140" s="167"/>
      <c r="C1140" s="167"/>
      <c r="D1140" s="129"/>
      <c r="E1140" s="167"/>
    </row>
    <row r="1141" spans="1:5">
      <c r="A1141" s="130"/>
      <c r="B1141" s="167"/>
      <c r="C1141" s="167"/>
      <c r="D1141" s="129"/>
      <c r="E1141" s="167"/>
    </row>
    <row r="1142" spans="1:5">
      <c r="A1142" s="130"/>
      <c r="B1142" s="167"/>
      <c r="C1142" s="167"/>
      <c r="D1142" s="129"/>
      <c r="E1142" s="167"/>
    </row>
    <row r="1143" spans="1:5">
      <c r="A1143" s="130"/>
      <c r="B1143" s="167"/>
      <c r="C1143" s="167"/>
      <c r="D1143" s="129"/>
      <c r="E1143" s="167"/>
    </row>
    <row r="1144" spans="1:5">
      <c r="A1144" s="130"/>
      <c r="B1144" s="167"/>
      <c r="C1144" s="167"/>
      <c r="D1144" s="129"/>
      <c r="E1144" s="167"/>
    </row>
    <row r="1145" spans="1:5">
      <c r="A1145" s="130"/>
      <c r="B1145" s="167"/>
      <c r="C1145" s="167"/>
      <c r="D1145" s="129"/>
      <c r="E1145" s="167"/>
    </row>
    <row r="1146" spans="1:5">
      <c r="A1146" s="130"/>
      <c r="B1146" s="167"/>
      <c r="C1146" s="167"/>
      <c r="D1146" s="129"/>
      <c r="E1146" s="167"/>
    </row>
    <row r="1147" spans="1:5">
      <c r="A1147" s="130"/>
      <c r="B1147" s="167"/>
      <c r="C1147" s="167"/>
      <c r="D1147" s="129"/>
      <c r="E1147" s="167"/>
    </row>
    <row r="1148" spans="1:5">
      <c r="A1148" s="130"/>
      <c r="B1148" s="167"/>
      <c r="C1148" s="167"/>
      <c r="D1148" s="129"/>
      <c r="E1148" s="167"/>
    </row>
    <row r="1149" spans="1:5">
      <c r="A1149" s="130"/>
      <c r="B1149" s="167"/>
      <c r="C1149" s="167"/>
      <c r="D1149" s="129"/>
      <c r="E1149" s="167"/>
    </row>
    <row r="1150" spans="1:5">
      <c r="A1150" s="130"/>
      <c r="B1150" s="167"/>
      <c r="C1150" s="167"/>
      <c r="D1150" s="129"/>
      <c r="E1150" s="167"/>
    </row>
    <row r="1151" spans="1:5">
      <c r="A1151" s="130"/>
      <c r="B1151" s="167"/>
      <c r="C1151" s="167"/>
      <c r="D1151" s="129"/>
      <c r="E1151" s="167"/>
    </row>
    <row r="1152" spans="1:5">
      <c r="A1152" s="130"/>
      <c r="B1152" s="167"/>
      <c r="C1152" s="167"/>
      <c r="D1152" s="129"/>
      <c r="E1152" s="167"/>
    </row>
    <row r="1153" spans="1:5">
      <c r="A1153" s="130"/>
      <c r="B1153" s="167"/>
      <c r="C1153" s="167"/>
      <c r="D1153" s="129"/>
      <c r="E1153" s="167"/>
    </row>
    <row r="1154" spans="1:5">
      <c r="A1154" s="130"/>
      <c r="B1154" s="167"/>
      <c r="C1154" s="167"/>
      <c r="D1154" s="129"/>
      <c r="E1154" s="167"/>
    </row>
    <row r="1155" spans="1:5">
      <c r="A1155" s="130"/>
      <c r="B1155" s="167"/>
      <c r="C1155" s="167"/>
      <c r="D1155" s="129"/>
      <c r="E1155" s="167"/>
    </row>
    <row r="1156" spans="1:5">
      <c r="A1156" s="130"/>
      <c r="B1156" s="167"/>
      <c r="C1156" s="167"/>
      <c r="D1156" s="129"/>
      <c r="E1156" s="167"/>
    </row>
    <row r="1157" spans="1:5">
      <c r="A1157" s="130"/>
      <c r="B1157" s="167"/>
      <c r="C1157" s="167"/>
      <c r="D1157" s="129"/>
      <c r="E1157" s="167"/>
    </row>
    <row r="1158" spans="1:5">
      <c r="A1158" s="130"/>
      <c r="B1158" s="167"/>
      <c r="C1158" s="167"/>
      <c r="D1158" s="129"/>
      <c r="E1158" s="167"/>
    </row>
    <row r="1159" spans="1:5">
      <c r="A1159" s="130"/>
      <c r="B1159" s="167"/>
      <c r="C1159" s="167"/>
      <c r="D1159" s="129"/>
      <c r="E1159" s="167"/>
    </row>
    <row r="1160" spans="1:5">
      <c r="A1160" s="130"/>
      <c r="B1160" s="167"/>
      <c r="C1160" s="167"/>
      <c r="D1160" s="129"/>
      <c r="E1160" s="167"/>
    </row>
    <row r="1161" spans="1:5">
      <c r="A1161" s="130"/>
      <c r="B1161" s="167"/>
      <c r="C1161" s="167"/>
      <c r="D1161" s="129"/>
      <c r="E1161" s="167"/>
    </row>
    <row r="1162" spans="1:5">
      <c r="A1162" s="130"/>
      <c r="B1162" s="167"/>
      <c r="C1162" s="167"/>
      <c r="D1162" s="129"/>
      <c r="E1162" s="167"/>
    </row>
    <row r="1163" spans="1:5">
      <c r="A1163" s="130"/>
      <c r="B1163" s="167"/>
      <c r="C1163" s="167"/>
      <c r="D1163" s="129"/>
      <c r="E1163" s="167"/>
    </row>
    <row r="1164" spans="1:5">
      <c r="A1164" s="130"/>
      <c r="B1164" s="167"/>
      <c r="C1164" s="167"/>
      <c r="D1164" s="129"/>
      <c r="E1164" s="167"/>
    </row>
    <row r="1165" spans="1:5">
      <c r="A1165" s="130"/>
      <c r="B1165" s="167"/>
      <c r="C1165" s="167"/>
      <c r="D1165" s="129"/>
      <c r="E1165" s="167"/>
    </row>
    <row r="1166" spans="1:5">
      <c r="A1166" s="130"/>
      <c r="B1166" s="167"/>
      <c r="C1166" s="167"/>
      <c r="D1166" s="129"/>
      <c r="E1166" s="167"/>
    </row>
    <row r="1167" spans="1:5">
      <c r="A1167" s="130"/>
      <c r="B1167" s="167"/>
      <c r="C1167" s="167"/>
      <c r="D1167" s="129"/>
      <c r="E1167" s="167"/>
    </row>
    <row r="1168" spans="1:5">
      <c r="A1168" s="130"/>
      <c r="B1168" s="167"/>
      <c r="C1168" s="167"/>
      <c r="D1168" s="129"/>
      <c r="E1168" s="167"/>
    </row>
    <row r="1169" spans="1:5">
      <c r="A1169" s="130"/>
      <c r="B1169" s="167"/>
      <c r="C1169" s="167"/>
      <c r="D1169" s="129"/>
      <c r="E1169" s="167"/>
    </row>
    <row r="1170" spans="1:5">
      <c r="A1170" s="130"/>
      <c r="B1170" s="167"/>
      <c r="C1170" s="167"/>
      <c r="D1170" s="129"/>
      <c r="E1170" s="167"/>
    </row>
    <row r="1171" spans="1:5">
      <c r="A1171" s="130"/>
      <c r="B1171" s="167"/>
      <c r="C1171" s="167"/>
      <c r="D1171" s="129"/>
      <c r="E1171" s="167"/>
    </row>
    <row r="1172" spans="1:5">
      <c r="A1172" s="130"/>
      <c r="B1172" s="167"/>
      <c r="C1172" s="167"/>
      <c r="D1172" s="129"/>
      <c r="E1172" s="167"/>
    </row>
    <row r="1173" spans="1:5">
      <c r="A1173" s="130"/>
      <c r="B1173" s="167"/>
      <c r="C1173" s="167"/>
      <c r="D1173" s="129"/>
      <c r="E1173" s="167"/>
    </row>
    <row r="1174" spans="1:5">
      <c r="A1174" s="130"/>
      <c r="B1174" s="167"/>
      <c r="C1174" s="167"/>
      <c r="D1174" s="129"/>
      <c r="E1174" s="167"/>
    </row>
    <row r="1175" spans="1:5">
      <c r="A1175" s="130"/>
      <c r="B1175" s="167"/>
      <c r="C1175" s="167"/>
      <c r="D1175" s="129"/>
      <c r="E1175" s="167"/>
    </row>
    <row r="1176" spans="1:5">
      <c r="A1176" s="130"/>
      <c r="B1176" s="167"/>
      <c r="C1176" s="167"/>
      <c r="D1176" s="129"/>
      <c r="E1176" s="167"/>
    </row>
    <row r="1177" spans="1:5">
      <c r="A1177" s="130"/>
      <c r="B1177" s="167"/>
      <c r="C1177" s="167"/>
      <c r="D1177" s="129"/>
      <c r="E1177" s="167"/>
    </row>
    <row r="1178" spans="1:5">
      <c r="A1178" s="130"/>
      <c r="B1178" s="167"/>
      <c r="C1178" s="167"/>
      <c r="D1178" s="129"/>
      <c r="E1178" s="167"/>
    </row>
    <row r="1179" spans="1:5">
      <c r="A1179" s="130"/>
      <c r="B1179" s="167"/>
      <c r="C1179" s="167"/>
      <c r="D1179" s="129"/>
      <c r="E1179" s="167"/>
    </row>
    <row r="1180" spans="1:5">
      <c r="A1180" s="130"/>
      <c r="B1180" s="167"/>
      <c r="C1180" s="167"/>
      <c r="D1180" s="129"/>
      <c r="E1180" s="167"/>
    </row>
    <row r="1181" spans="1:5">
      <c r="A1181" s="130"/>
      <c r="B1181" s="167"/>
      <c r="C1181" s="167"/>
      <c r="D1181" s="129"/>
      <c r="E1181" s="167"/>
    </row>
    <row r="1182" spans="1:5">
      <c r="A1182" s="130"/>
      <c r="B1182" s="167"/>
      <c r="C1182" s="167"/>
      <c r="D1182" s="129"/>
      <c r="E1182" s="167"/>
    </row>
    <row r="1183" spans="1:5">
      <c r="A1183" s="130"/>
      <c r="B1183" s="167"/>
      <c r="C1183" s="167"/>
      <c r="D1183" s="129"/>
      <c r="E1183" s="167"/>
    </row>
    <row r="1184" spans="1:5">
      <c r="A1184" s="130"/>
      <c r="B1184" s="167"/>
      <c r="C1184" s="167"/>
      <c r="D1184" s="129"/>
      <c r="E1184" s="167"/>
    </row>
    <row r="1185" spans="1:5">
      <c r="A1185" s="130"/>
      <c r="B1185" s="167"/>
      <c r="C1185" s="167"/>
      <c r="D1185" s="129"/>
      <c r="E1185" s="167"/>
    </row>
    <row r="1186" spans="1:5">
      <c r="A1186" s="130"/>
      <c r="B1186" s="167"/>
      <c r="C1186" s="167"/>
      <c r="D1186" s="129"/>
      <c r="E1186" s="167"/>
    </row>
    <row r="1187" spans="1:5">
      <c r="A1187" s="130"/>
      <c r="B1187" s="167"/>
      <c r="C1187" s="167"/>
      <c r="D1187" s="129"/>
      <c r="E1187" s="167"/>
    </row>
    <row r="1188" spans="1:5">
      <c r="A1188" s="130"/>
      <c r="B1188" s="167"/>
      <c r="C1188" s="167"/>
      <c r="D1188" s="129"/>
      <c r="E1188" s="167"/>
    </row>
    <row r="1189" spans="1:5">
      <c r="A1189" s="130"/>
      <c r="B1189" s="167"/>
      <c r="C1189" s="167"/>
      <c r="D1189" s="129"/>
      <c r="E1189" s="167"/>
    </row>
    <row r="1190" spans="1:5">
      <c r="A1190" s="130"/>
      <c r="B1190" s="167"/>
      <c r="C1190" s="167"/>
      <c r="D1190" s="129"/>
      <c r="E1190" s="167"/>
    </row>
    <row r="1191" spans="1:5">
      <c r="A1191" s="130"/>
      <c r="B1191" s="167"/>
      <c r="C1191" s="167"/>
      <c r="D1191" s="129"/>
      <c r="E1191" s="167"/>
    </row>
    <row r="1192" spans="1:5">
      <c r="A1192" s="130"/>
      <c r="B1192" s="167"/>
      <c r="C1192" s="167"/>
      <c r="D1192" s="129"/>
      <c r="E1192" s="167"/>
    </row>
    <row r="1193" spans="1:5">
      <c r="A1193" s="130"/>
      <c r="B1193" s="167"/>
      <c r="C1193" s="167"/>
      <c r="D1193" s="129"/>
      <c r="E1193" s="167"/>
    </row>
    <row r="1194" spans="1:5">
      <c r="A1194" s="130"/>
      <c r="B1194" s="167"/>
      <c r="C1194" s="167"/>
      <c r="D1194" s="129"/>
      <c r="E1194" s="167"/>
    </row>
    <row r="1195" spans="1:5">
      <c r="A1195" s="130"/>
      <c r="B1195" s="167"/>
      <c r="C1195" s="167"/>
      <c r="D1195" s="129"/>
      <c r="E1195" s="167"/>
    </row>
    <row r="1196" spans="1:5">
      <c r="A1196" s="130"/>
      <c r="B1196" s="167"/>
      <c r="C1196" s="167"/>
      <c r="D1196" s="129"/>
      <c r="E1196" s="167"/>
    </row>
    <row r="1197" spans="1:5">
      <c r="A1197" s="130"/>
      <c r="B1197" s="167"/>
      <c r="C1197" s="167"/>
      <c r="D1197" s="129"/>
      <c r="E1197" s="167"/>
    </row>
    <row r="1198" spans="1:5">
      <c r="A1198" s="130"/>
      <c r="B1198" s="167"/>
      <c r="C1198" s="167"/>
      <c r="D1198" s="129"/>
      <c r="E1198" s="167"/>
    </row>
    <row r="1199" spans="1:5">
      <c r="A1199" s="130"/>
      <c r="B1199" s="167"/>
      <c r="C1199" s="167"/>
      <c r="D1199" s="129"/>
      <c r="E1199" s="167"/>
    </row>
    <row r="1200" spans="1:5">
      <c r="A1200" s="130"/>
      <c r="B1200" s="167"/>
      <c r="C1200" s="167"/>
      <c r="D1200" s="129"/>
      <c r="E1200" s="167"/>
    </row>
    <row r="1201" spans="1:5">
      <c r="A1201" s="130"/>
      <c r="B1201" s="167"/>
      <c r="C1201" s="167"/>
      <c r="D1201" s="129"/>
      <c r="E1201" s="167"/>
    </row>
    <row r="1202" spans="1:5">
      <c r="A1202" s="130"/>
      <c r="B1202" s="167"/>
      <c r="C1202" s="167"/>
      <c r="D1202" s="129"/>
      <c r="E1202" s="167"/>
    </row>
    <row r="1203" spans="1:5">
      <c r="A1203" s="130"/>
      <c r="B1203" s="167"/>
      <c r="C1203" s="167"/>
      <c r="D1203" s="129"/>
      <c r="E1203" s="167"/>
    </row>
    <row r="1204" spans="1:5">
      <c r="A1204" s="130"/>
      <c r="B1204" s="167"/>
      <c r="C1204" s="167"/>
      <c r="D1204" s="129"/>
      <c r="E1204" s="167"/>
    </row>
    <row r="1205" spans="1:5">
      <c r="A1205" s="130"/>
      <c r="B1205" s="167"/>
      <c r="C1205" s="167"/>
      <c r="D1205" s="129"/>
      <c r="E1205" s="167"/>
    </row>
    <row r="1206" spans="1:5">
      <c r="A1206" s="130"/>
      <c r="B1206" s="167"/>
      <c r="C1206" s="167"/>
      <c r="D1206" s="129"/>
      <c r="E1206" s="167"/>
    </row>
    <row r="1207" spans="1:5">
      <c r="A1207" s="130"/>
      <c r="B1207" s="167"/>
      <c r="C1207" s="167"/>
      <c r="D1207" s="129"/>
      <c r="E1207" s="167"/>
    </row>
    <row r="1208" spans="1:5">
      <c r="A1208" s="130"/>
      <c r="B1208" s="167"/>
      <c r="C1208" s="167"/>
      <c r="D1208" s="129"/>
      <c r="E1208" s="167"/>
    </row>
    <row r="1209" spans="1:5">
      <c r="A1209" s="130"/>
      <c r="B1209" s="167"/>
      <c r="C1209" s="167"/>
      <c r="D1209" s="129"/>
      <c r="E1209" s="167"/>
    </row>
    <row r="1210" spans="1:5">
      <c r="A1210" s="130"/>
      <c r="B1210" s="167"/>
      <c r="C1210" s="167"/>
      <c r="D1210" s="129"/>
      <c r="E1210" s="167"/>
    </row>
    <row r="1211" spans="1:5">
      <c r="A1211" s="130"/>
      <c r="B1211" s="167"/>
      <c r="C1211" s="167"/>
      <c r="D1211" s="129"/>
      <c r="E1211" s="167"/>
    </row>
    <row r="1212" spans="1:5">
      <c r="A1212" s="130"/>
      <c r="B1212" s="167"/>
      <c r="C1212" s="167"/>
      <c r="D1212" s="129"/>
      <c r="E1212" s="167"/>
    </row>
    <row r="1213" spans="1:5">
      <c r="A1213" s="130"/>
      <c r="B1213" s="167"/>
      <c r="C1213" s="167"/>
      <c r="D1213" s="129"/>
      <c r="E1213" s="167"/>
    </row>
    <row r="1214" spans="1:5">
      <c r="A1214" s="130"/>
      <c r="B1214" s="167"/>
      <c r="C1214" s="167"/>
      <c r="D1214" s="129"/>
      <c r="E1214" s="167"/>
    </row>
    <row r="1215" spans="1:5">
      <c r="A1215" s="130"/>
      <c r="B1215" s="167"/>
      <c r="C1215" s="167"/>
      <c r="D1215" s="129"/>
      <c r="E1215" s="167"/>
    </row>
    <row r="1216" spans="1:5">
      <c r="A1216" s="130"/>
      <c r="B1216" s="167"/>
      <c r="C1216" s="167"/>
      <c r="D1216" s="129"/>
      <c r="E1216" s="167"/>
    </row>
    <row r="1217" spans="1:5">
      <c r="A1217" s="130"/>
      <c r="B1217" s="167"/>
      <c r="C1217" s="167"/>
      <c r="D1217" s="129"/>
      <c r="E1217" s="167"/>
    </row>
    <row r="1218" spans="1:5">
      <c r="A1218" s="130"/>
      <c r="B1218" s="167"/>
      <c r="C1218" s="167"/>
      <c r="D1218" s="129"/>
      <c r="E1218" s="167"/>
    </row>
    <row r="1219" spans="1:5">
      <c r="A1219" s="130"/>
      <c r="B1219" s="167"/>
      <c r="C1219" s="167"/>
      <c r="D1219" s="129"/>
      <c r="E1219" s="167"/>
    </row>
    <row r="1220" spans="1:5">
      <c r="A1220" s="130"/>
      <c r="B1220" s="167"/>
      <c r="C1220" s="167"/>
      <c r="D1220" s="129"/>
      <c r="E1220" s="167"/>
    </row>
    <row r="1221" spans="1:5">
      <c r="A1221" s="130"/>
      <c r="B1221" s="167"/>
      <c r="C1221" s="167"/>
      <c r="D1221" s="129"/>
      <c r="E1221" s="167"/>
    </row>
    <row r="1222" spans="1:5">
      <c r="A1222" s="130"/>
      <c r="B1222" s="167"/>
      <c r="C1222" s="167"/>
      <c r="D1222" s="129"/>
      <c r="E1222" s="167"/>
    </row>
    <row r="1223" spans="1:5">
      <c r="A1223" s="130"/>
      <c r="B1223" s="167"/>
      <c r="C1223" s="167"/>
      <c r="D1223" s="129"/>
      <c r="E1223" s="167"/>
    </row>
    <row r="1224" spans="1:5">
      <c r="A1224" s="130"/>
      <c r="B1224" s="167"/>
      <c r="C1224" s="167"/>
      <c r="D1224" s="129"/>
      <c r="E1224" s="167"/>
    </row>
    <row r="1225" spans="1:5">
      <c r="A1225" s="130"/>
      <c r="B1225" s="167"/>
      <c r="C1225" s="167"/>
      <c r="D1225" s="129"/>
      <c r="E1225" s="167"/>
    </row>
    <row r="1226" spans="1:5">
      <c r="A1226" s="130"/>
      <c r="B1226" s="167"/>
      <c r="C1226" s="167"/>
      <c r="D1226" s="129"/>
      <c r="E1226" s="167"/>
    </row>
    <row r="1227" spans="1:5">
      <c r="A1227" s="130"/>
      <c r="B1227" s="167"/>
      <c r="C1227" s="167"/>
      <c r="D1227" s="129"/>
      <c r="E1227" s="167"/>
    </row>
    <row r="1228" spans="1:5">
      <c r="A1228" s="130"/>
      <c r="B1228" s="167"/>
      <c r="C1228" s="167"/>
      <c r="D1228" s="129"/>
      <c r="E1228" s="167"/>
    </row>
    <row r="1229" spans="1:5">
      <c r="A1229" s="130"/>
      <c r="B1229" s="167"/>
      <c r="C1229" s="167"/>
      <c r="D1229" s="129"/>
      <c r="E1229" s="167"/>
    </row>
    <row r="1230" spans="1:5">
      <c r="A1230" s="130"/>
      <c r="B1230" s="167"/>
      <c r="C1230" s="167"/>
      <c r="D1230" s="129"/>
      <c r="E1230" s="167"/>
    </row>
    <row r="1231" spans="1:5">
      <c r="A1231" s="130"/>
      <c r="B1231" s="167"/>
      <c r="C1231" s="167"/>
      <c r="D1231" s="129"/>
      <c r="E1231" s="167"/>
    </row>
    <row r="1232" spans="1:5">
      <c r="A1232" s="130"/>
      <c r="B1232" s="167"/>
      <c r="C1232" s="167"/>
      <c r="D1232" s="129"/>
      <c r="E1232" s="167"/>
    </row>
    <row r="1233" spans="1:5">
      <c r="A1233" s="130"/>
      <c r="B1233" s="167"/>
      <c r="C1233" s="167"/>
      <c r="D1233" s="129"/>
      <c r="E1233" s="167"/>
    </row>
    <row r="1234" spans="1:5">
      <c r="A1234" s="130"/>
      <c r="B1234" s="167"/>
      <c r="C1234" s="167"/>
      <c r="D1234" s="129"/>
      <c r="E1234" s="167"/>
    </row>
    <row r="1235" spans="1:5">
      <c r="A1235" s="130"/>
      <c r="B1235" s="167"/>
      <c r="C1235" s="167"/>
      <c r="D1235" s="129"/>
      <c r="E1235" s="167"/>
    </row>
    <row r="1236" spans="1:5">
      <c r="A1236" s="130"/>
      <c r="B1236" s="167"/>
      <c r="C1236" s="167"/>
      <c r="D1236" s="129"/>
      <c r="E1236" s="167"/>
    </row>
    <row r="1237" spans="1:5">
      <c r="A1237" s="130"/>
      <c r="B1237" s="167"/>
      <c r="C1237" s="167"/>
      <c r="D1237" s="129"/>
      <c r="E1237" s="167"/>
    </row>
    <row r="1238" spans="1:5">
      <c r="A1238" s="130"/>
      <c r="B1238" s="167"/>
      <c r="C1238" s="167"/>
      <c r="D1238" s="129"/>
      <c r="E1238" s="167"/>
    </row>
    <row r="1239" spans="1:5">
      <c r="A1239" s="130"/>
      <c r="B1239" s="167"/>
      <c r="C1239" s="167"/>
      <c r="D1239" s="129"/>
      <c r="E1239" s="167"/>
    </row>
    <row r="1240" spans="1:5">
      <c r="A1240" s="130"/>
      <c r="B1240" s="167"/>
      <c r="C1240" s="167"/>
      <c r="D1240" s="129"/>
      <c r="E1240" s="167"/>
    </row>
    <row r="1241" spans="1:5">
      <c r="A1241" s="130"/>
      <c r="B1241" s="167"/>
      <c r="C1241" s="167"/>
      <c r="D1241" s="129"/>
      <c r="E1241" s="167"/>
    </row>
    <row r="1242" spans="1:5">
      <c r="A1242" s="130"/>
      <c r="B1242" s="167"/>
      <c r="C1242" s="167"/>
      <c r="D1242" s="129"/>
      <c r="E1242" s="167"/>
    </row>
    <row r="1243" spans="1:5">
      <c r="A1243" s="130"/>
      <c r="B1243" s="167"/>
      <c r="C1243" s="167"/>
      <c r="D1243" s="129"/>
      <c r="E1243" s="167"/>
    </row>
    <row r="1244" spans="1:5">
      <c r="A1244" s="130"/>
      <c r="B1244" s="167"/>
      <c r="C1244" s="167"/>
      <c r="D1244" s="129"/>
      <c r="E1244" s="167"/>
    </row>
    <row r="1245" spans="1:5">
      <c r="A1245" s="130"/>
      <c r="B1245" s="167"/>
      <c r="C1245" s="167"/>
      <c r="D1245" s="129"/>
      <c r="E1245" s="167"/>
    </row>
    <row r="1246" spans="1:5">
      <c r="A1246" s="130"/>
      <c r="B1246" s="167"/>
      <c r="C1246" s="167"/>
      <c r="D1246" s="129"/>
      <c r="E1246" s="167"/>
    </row>
    <row r="1247" spans="1:5">
      <c r="A1247" s="130"/>
      <c r="B1247" s="167"/>
      <c r="C1247" s="167"/>
      <c r="D1247" s="129"/>
      <c r="E1247" s="167"/>
    </row>
    <row r="1248" spans="1:5">
      <c r="A1248" s="130"/>
      <c r="B1248" s="167"/>
      <c r="C1248" s="167"/>
      <c r="D1248" s="129"/>
      <c r="E1248" s="167"/>
    </row>
    <row r="1249" spans="1:5">
      <c r="A1249" s="130"/>
      <c r="B1249" s="167"/>
      <c r="C1249" s="167"/>
      <c r="D1249" s="129"/>
      <c r="E1249" s="167"/>
    </row>
    <row r="1250" spans="1:5">
      <c r="A1250" s="130"/>
      <c r="B1250" s="167"/>
      <c r="C1250" s="167"/>
      <c r="D1250" s="129"/>
      <c r="E1250" s="167"/>
    </row>
    <row r="1251" spans="1:5">
      <c r="A1251" s="130"/>
      <c r="B1251" s="167"/>
      <c r="C1251" s="167"/>
      <c r="D1251" s="129"/>
      <c r="E1251" s="167"/>
    </row>
    <row r="1252" spans="1:5">
      <c r="A1252" s="130"/>
      <c r="B1252" s="167"/>
      <c r="C1252" s="167"/>
      <c r="D1252" s="129"/>
      <c r="E1252" s="167"/>
    </row>
    <row r="1253" spans="1:5">
      <c r="A1253" s="130"/>
      <c r="B1253" s="167"/>
      <c r="C1253" s="167"/>
      <c r="D1253" s="129"/>
      <c r="E1253" s="167"/>
    </row>
    <row r="1254" spans="1:5">
      <c r="A1254" s="130"/>
      <c r="B1254" s="167"/>
      <c r="C1254" s="167"/>
      <c r="D1254" s="129"/>
      <c r="E1254" s="167"/>
    </row>
    <row r="1255" spans="1:5">
      <c r="A1255" s="130"/>
      <c r="B1255" s="167"/>
      <c r="C1255" s="167"/>
      <c r="D1255" s="129"/>
      <c r="E1255" s="167"/>
    </row>
    <row r="1256" spans="1:5">
      <c r="A1256" s="130"/>
      <c r="B1256" s="167"/>
      <c r="C1256" s="167"/>
      <c r="D1256" s="129"/>
      <c r="E1256" s="167"/>
    </row>
    <row r="1257" spans="1:5">
      <c r="A1257" s="130"/>
      <c r="B1257" s="167"/>
      <c r="C1257" s="167"/>
      <c r="D1257" s="129"/>
      <c r="E1257" s="167"/>
    </row>
    <row r="1258" spans="1:5">
      <c r="A1258" s="130"/>
      <c r="B1258" s="167"/>
      <c r="C1258" s="167"/>
      <c r="D1258" s="129"/>
      <c r="E1258" s="167"/>
    </row>
    <row r="1259" spans="1:5">
      <c r="A1259" s="130"/>
      <c r="B1259" s="167"/>
      <c r="C1259" s="167"/>
      <c r="D1259" s="129"/>
      <c r="E1259" s="167"/>
    </row>
    <row r="1260" spans="1:5">
      <c r="A1260" s="130"/>
      <c r="B1260" s="167"/>
      <c r="C1260" s="167"/>
      <c r="D1260" s="129"/>
      <c r="E1260" s="167"/>
    </row>
    <row r="1261" spans="1:5">
      <c r="A1261" s="130"/>
      <c r="B1261" s="167"/>
      <c r="C1261" s="167"/>
      <c r="D1261" s="129"/>
      <c r="E1261" s="167"/>
    </row>
    <row r="1262" spans="1:5">
      <c r="A1262" s="130"/>
      <c r="B1262" s="167"/>
      <c r="C1262" s="167"/>
      <c r="D1262" s="129"/>
      <c r="E1262" s="167"/>
    </row>
    <row r="1263" spans="1:5">
      <c r="A1263" s="130"/>
      <c r="B1263" s="167"/>
      <c r="C1263" s="167"/>
      <c r="D1263" s="129"/>
      <c r="E1263" s="167"/>
    </row>
    <row r="1264" spans="1:5">
      <c r="A1264" s="130"/>
      <c r="B1264" s="167"/>
      <c r="C1264" s="167"/>
      <c r="D1264" s="129"/>
      <c r="E1264" s="167"/>
    </row>
    <row r="1265" spans="1:5">
      <c r="A1265" s="130"/>
      <c r="B1265" s="167"/>
      <c r="C1265" s="167"/>
      <c r="D1265" s="129"/>
      <c r="E1265" s="167"/>
    </row>
    <row r="1266" spans="1:5">
      <c r="A1266" s="130"/>
      <c r="B1266" s="167"/>
      <c r="C1266" s="167"/>
      <c r="D1266" s="129"/>
      <c r="E1266" s="167"/>
    </row>
    <row r="1267" spans="1:5">
      <c r="A1267" s="130"/>
      <c r="B1267" s="167"/>
      <c r="C1267" s="167"/>
      <c r="D1267" s="129"/>
      <c r="E1267" s="167"/>
    </row>
    <row r="1268" spans="1:5">
      <c r="A1268" s="130"/>
      <c r="B1268" s="167"/>
      <c r="C1268" s="167"/>
      <c r="D1268" s="129"/>
      <c r="E1268" s="167"/>
    </row>
    <row r="1269" spans="1:5">
      <c r="A1269" s="130"/>
      <c r="B1269" s="167"/>
      <c r="C1269" s="167"/>
      <c r="D1269" s="129"/>
      <c r="E1269" s="167"/>
    </row>
    <row r="1270" spans="1:5">
      <c r="A1270" s="130"/>
      <c r="B1270" s="167"/>
      <c r="C1270" s="167"/>
      <c r="D1270" s="129"/>
      <c r="E1270" s="167"/>
    </row>
    <row r="1271" spans="1:5">
      <c r="A1271" s="130"/>
      <c r="B1271" s="167"/>
      <c r="C1271" s="167"/>
      <c r="D1271" s="129"/>
      <c r="E1271" s="167"/>
    </row>
    <row r="1272" spans="1:5">
      <c r="A1272" s="130"/>
      <c r="B1272" s="167"/>
      <c r="C1272" s="167"/>
      <c r="D1272" s="129"/>
      <c r="E1272" s="167"/>
    </row>
    <row r="1273" spans="1:5">
      <c r="A1273" s="130"/>
      <c r="B1273" s="167"/>
      <c r="C1273" s="167"/>
      <c r="D1273" s="129"/>
      <c r="E1273" s="167"/>
    </row>
    <row r="1274" spans="1:5">
      <c r="A1274" s="130"/>
      <c r="B1274" s="167"/>
      <c r="C1274" s="167"/>
      <c r="D1274" s="129"/>
      <c r="E1274" s="167"/>
    </row>
    <row r="1275" spans="1:5">
      <c r="A1275" s="130"/>
      <c r="B1275" s="167"/>
      <c r="C1275" s="167"/>
      <c r="D1275" s="129"/>
      <c r="E1275" s="167"/>
    </row>
    <row r="1276" spans="1:5">
      <c r="A1276" s="130"/>
      <c r="B1276" s="167"/>
      <c r="C1276" s="167"/>
      <c r="D1276" s="129"/>
      <c r="E1276" s="167"/>
    </row>
    <row r="1277" spans="1:5">
      <c r="A1277" s="130"/>
      <c r="B1277" s="167"/>
      <c r="C1277" s="167"/>
      <c r="D1277" s="129"/>
      <c r="E1277" s="167"/>
    </row>
    <row r="1278" spans="1:5">
      <c r="A1278" s="130"/>
      <c r="B1278" s="167"/>
      <c r="C1278" s="167"/>
      <c r="D1278" s="129"/>
      <c r="E1278" s="167"/>
    </row>
    <row r="1279" spans="1:5">
      <c r="A1279" s="130"/>
      <c r="B1279" s="167"/>
      <c r="C1279" s="167"/>
      <c r="D1279" s="129"/>
      <c r="E1279" s="167"/>
    </row>
    <row r="1280" spans="1:5">
      <c r="A1280" s="130"/>
      <c r="B1280" s="167"/>
      <c r="C1280" s="167"/>
      <c r="D1280" s="129"/>
      <c r="E1280" s="167"/>
    </row>
    <row r="1281" spans="1:5">
      <c r="A1281" s="130"/>
      <c r="B1281" s="167"/>
      <c r="C1281" s="167"/>
      <c r="D1281" s="129"/>
      <c r="E1281" s="167"/>
    </row>
    <row r="1282" spans="1:5">
      <c r="A1282" s="130"/>
      <c r="B1282" s="167"/>
      <c r="C1282" s="167"/>
      <c r="D1282" s="129"/>
      <c r="E1282" s="167"/>
    </row>
    <row r="1283" spans="1:5">
      <c r="A1283" s="130"/>
      <c r="B1283" s="167"/>
      <c r="C1283" s="167"/>
      <c r="D1283" s="129"/>
      <c r="E1283" s="167"/>
    </row>
    <row r="1284" spans="1:5">
      <c r="A1284" s="130"/>
      <c r="B1284" s="167"/>
      <c r="C1284" s="167"/>
      <c r="D1284" s="129"/>
      <c r="E1284" s="167"/>
    </row>
    <row r="1285" spans="1:5">
      <c r="A1285" s="130"/>
      <c r="B1285" s="167"/>
      <c r="C1285" s="167"/>
      <c r="D1285" s="129"/>
      <c r="E1285" s="167"/>
    </row>
    <row r="1286" spans="1:5">
      <c r="A1286" s="130"/>
      <c r="B1286" s="167"/>
      <c r="C1286" s="167"/>
      <c r="D1286" s="129"/>
      <c r="E1286" s="167"/>
    </row>
    <row r="1287" spans="1:5">
      <c r="A1287" s="130"/>
      <c r="B1287" s="167"/>
      <c r="C1287" s="167"/>
      <c r="D1287" s="129"/>
      <c r="E1287" s="167"/>
    </row>
    <row r="1288" spans="1:5">
      <c r="A1288" s="130"/>
      <c r="B1288" s="167"/>
      <c r="C1288" s="167"/>
      <c r="D1288" s="129"/>
      <c r="E1288" s="167"/>
    </row>
    <row r="1289" spans="1:5">
      <c r="A1289" s="130"/>
      <c r="B1289" s="167"/>
      <c r="C1289" s="167"/>
      <c r="D1289" s="129"/>
      <c r="E1289" s="167"/>
    </row>
    <row r="1290" spans="1:5">
      <c r="A1290" s="130"/>
      <c r="B1290" s="167"/>
      <c r="C1290" s="167"/>
      <c r="D1290" s="129"/>
      <c r="E1290" s="167"/>
    </row>
    <row r="1291" spans="1:5">
      <c r="A1291" s="130"/>
      <c r="B1291" s="167"/>
      <c r="C1291" s="167"/>
      <c r="D1291" s="129"/>
      <c r="E1291" s="167"/>
    </row>
    <row r="1292" spans="1:5">
      <c r="A1292" s="130"/>
      <c r="B1292" s="167"/>
      <c r="C1292" s="167"/>
      <c r="D1292" s="129"/>
      <c r="E1292" s="167"/>
    </row>
    <row r="1293" spans="1:5">
      <c r="A1293" s="130"/>
      <c r="B1293" s="167"/>
      <c r="C1293" s="167"/>
      <c r="D1293" s="129"/>
      <c r="E1293" s="167"/>
    </row>
    <row r="1294" spans="1:5">
      <c r="A1294" s="130"/>
      <c r="B1294" s="167"/>
      <c r="C1294" s="167"/>
      <c r="D1294" s="129"/>
      <c r="E1294" s="167"/>
    </row>
    <row r="1295" spans="1:5">
      <c r="A1295" s="130"/>
      <c r="B1295" s="167"/>
      <c r="C1295" s="167"/>
      <c r="D1295" s="129"/>
      <c r="E1295" s="167"/>
    </row>
    <row r="1296" spans="1:5">
      <c r="A1296" s="130"/>
      <c r="B1296" s="167"/>
      <c r="C1296" s="167"/>
      <c r="D1296" s="129"/>
      <c r="E1296" s="167"/>
    </row>
    <row r="1297" spans="1:5">
      <c r="A1297" s="130"/>
      <c r="B1297" s="167"/>
      <c r="C1297" s="167"/>
      <c r="D1297" s="129"/>
      <c r="E1297" s="167"/>
    </row>
    <row r="1298" spans="1:5">
      <c r="A1298" s="130"/>
      <c r="B1298" s="167"/>
      <c r="C1298" s="167"/>
      <c r="D1298" s="129"/>
      <c r="E1298" s="167"/>
    </row>
    <row r="1299" spans="1:5">
      <c r="A1299" s="130"/>
      <c r="B1299" s="167"/>
      <c r="C1299" s="167"/>
      <c r="D1299" s="129"/>
      <c r="E1299" s="167"/>
    </row>
    <row r="1300" spans="1:5">
      <c r="A1300" s="130"/>
      <c r="B1300" s="167"/>
      <c r="C1300" s="167"/>
      <c r="D1300" s="129"/>
      <c r="E1300" s="167"/>
    </row>
    <row r="1301" spans="1:5">
      <c r="A1301" s="130"/>
      <c r="B1301" s="167"/>
      <c r="C1301" s="167"/>
      <c r="D1301" s="129"/>
      <c r="E1301" s="167"/>
    </row>
    <row r="1302" spans="1:5">
      <c r="A1302" s="130"/>
      <c r="B1302" s="167"/>
      <c r="C1302" s="167"/>
      <c r="D1302" s="129"/>
      <c r="E1302" s="167"/>
    </row>
    <row r="1303" spans="1:5">
      <c r="A1303" s="130"/>
      <c r="B1303" s="167"/>
      <c r="C1303" s="167"/>
      <c r="D1303" s="129"/>
      <c r="E1303" s="167"/>
    </row>
    <row r="1304" spans="1:5">
      <c r="A1304" s="130"/>
      <c r="B1304" s="167"/>
      <c r="C1304" s="167"/>
      <c r="D1304" s="129"/>
      <c r="E1304" s="167"/>
    </row>
    <row r="1305" spans="1:5">
      <c r="A1305" s="130"/>
      <c r="B1305" s="167"/>
      <c r="C1305" s="167"/>
      <c r="D1305" s="129"/>
      <c r="E1305" s="167"/>
    </row>
    <row r="1306" spans="1:5">
      <c r="A1306" s="130"/>
      <c r="B1306" s="167"/>
      <c r="C1306" s="167"/>
      <c r="D1306" s="129"/>
      <c r="E1306" s="167"/>
    </row>
    <row r="1307" spans="1:5">
      <c r="A1307" s="130"/>
      <c r="B1307" s="167"/>
      <c r="C1307" s="167"/>
      <c r="D1307" s="129"/>
      <c r="E1307" s="167"/>
    </row>
    <row r="1308" spans="1:5">
      <c r="A1308" s="130"/>
      <c r="B1308" s="167"/>
      <c r="C1308" s="167"/>
      <c r="D1308" s="129"/>
      <c r="E1308" s="167"/>
    </row>
    <row r="1309" spans="1:5">
      <c r="A1309" s="130"/>
      <c r="B1309" s="167"/>
      <c r="C1309" s="167"/>
      <c r="D1309" s="129"/>
      <c r="E1309" s="167"/>
    </row>
    <row r="1310" spans="1:5">
      <c r="A1310" s="130"/>
      <c r="B1310" s="167"/>
      <c r="C1310" s="167"/>
      <c r="D1310" s="129"/>
      <c r="E1310" s="167"/>
    </row>
    <row r="1311" spans="1:5">
      <c r="A1311" s="130"/>
      <c r="B1311" s="167"/>
      <c r="C1311" s="167"/>
      <c r="D1311" s="129"/>
      <c r="E1311" s="167"/>
    </row>
    <row r="1312" spans="1:5">
      <c r="A1312" s="130"/>
      <c r="B1312" s="167"/>
      <c r="C1312" s="167"/>
      <c r="D1312" s="129"/>
      <c r="E1312" s="167"/>
    </row>
    <row r="1313" spans="1:5">
      <c r="A1313" s="130"/>
      <c r="B1313" s="167"/>
      <c r="C1313" s="167"/>
      <c r="D1313" s="129"/>
      <c r="E1313" s="167"/>
    </row>
    <row r="1314" spans="1:5">
      <c r="A1314" s="130"/>
      <c r="B1314" s="167"/>
      <c r="C1314" s="167"/>
      <c r="D1314" s="129"/>
      <c r="E1314" s="167"/>
    </row>
    <row r="1315" spans="1:5">
      <c r="A1315" s="130"/>
      <c r="B1315" s="167"/>
      <c r="C1315" s="167"/>
      <c r="D1315" s="129"/>
      <c r="E1315" s="167"/>
    </row>
    <row r="1316" spans="1:5">
      <c r="A1316" s="130"/>
      <c r="B1316" s="167"/>
      <c r="C1316" s="167"/>
      <c r="D1316" s="129"/>
      <c r="E1316" s="167"/>
    </row>
    <row r="1317" spans="1:5">
      <c r="A1317" s="130"/>
      <c r="B1317" s="167"/>
      <c r="C1317" s="167"/>
      <c r="D1317" s="129"/>
      <c r="E1317" s="167"/>
    </row>
    <row r="1318" spans="1:5">
      <c r="A1318" s="130"/>
      <c r="B1318" s="167"/>
      <c r="C1318" s="167"/>
      <c r="D1318" s="129"/>
      <c r="E1318" s="167"/>
    </row>
    <row r="1319" spans="1:5">
      <c r="A1319" s="130"/>
      <c r="B1319" s="167"/>
      <c r="C1319" s="167"/>
      <c r="D1319" s="129"/>
      <c r="E1319" s="167"/>
    </row>
    <row r="1320" spans="1:5">
      <c r="A1320" s="130"/>
      <c r="B1320" s="167"/>
      <c r="C1320" s="167"/>
      <c r="D1320" s="129"/>
      <c r="E1320" s="167"/>
    </row>
    <row r="1321" spans="1:5">
      <c r="A1321" s="130"/>
      <c r="B1321" s="167"/>
      <c r="C1321" s="167"/>
      <c r="D1321" s="129"/>
      <c r="E1321" s="167"/>
    </row>
    <row r="1322" spans="1:5">
      <c r="A1322" s="130"/>
      <c r="B1322" s="167"/>
      <c r="C1322" s="167"/>
      <c r="D1322" s="129"/>
      <c r="E1322" s="167"/>
    </row>
    <row r="1323" spans="1:5">
      <c r="A1323" s="130"/>
      <c r="B1323" s="167"/>
      <c r="C1323" s="167"/>
      <c r="D1323" s="129"/>
      <c r="E1323" s="167"/>
    </row>
    <row r="1324" spans="1:5">
      <c r="A1324" s="130"/>
      <c r="B1324" s="167"/>
      <c r="C1324" s="167"/>
      <c r="D1324" s="129"/>
      <c r="E1324" s="167"/>
    </row>
    <row r="1325" spans="1:5">
      <c r="A1325" s="130"/>
      <c r="B1325" s="167"/>
      <c r="C1325" s="167"/>
      <c r="D1325" s="129"/>
      <c r="E1325" s="167"/>
    </row>
    <row r="1326" spans="1:5">
      <c r="A1326" s="130"/>
      <c r="B1326" s="167"/>
      <c r="C1326" s="167"/>
      <c r="D1326" s="129"/>
      <c r="E1326" s="167"/>
    </row>
    <row r="1327" spans="1:5">
      <c r="A1327" s="130"/>
      <c r="B1327" s="167"/>
      <c r="C1327" s="167"/>
      <c r="D1327" s="129"/>
      <c r="E1327" s="167"/>
    </row>
    <row r="1328" spans="1:5">
      <c r="A1328" s="130"/>
      <c r="B1328" s="167"/>
      <c r="C1328" s="167"/>
      <c r="D1328" s="129"/>
      <c r="E1328" s="167"/>
    </row>
    <row r="1329" spans="1:5">
      <c r="A1329" s="130"/>
      <c r="B1329" s="167"/>
      <c r="C1329" s="167"/>
      <c r="D1329" s="129"/>
      <c r="E1329" s="167"/>
    </row>
    <row r="1330" spans="1:5">
      <c r="A1330" s="130"/>
      <c r="B1330" s="167"/>
      <c r="C1330" s="167"/>
      <c r="D1330" s="129"/>
      <c r="E1330" s="167"/>
    </row>
    <row r="1331" spans="1:5">
      <c r="A1331" s="130"/>
      <c r="B1331" s="167"/>
      <c r="C1331" s="167"/>
      <c r="D1331" s="129"/>
      <c r="E1331" s="167"/>
    </row>
    <row r="1332" spans="1:5">
      <c r="A1332" s="130"/>
      <c r="B1332" s="167"/>
      <c r="C1332" s="167"/>
      <c r="D1332" s="129"/>
      <c r="E1332" s="167"/>
    </row>
    <row r="1333" spans="1:5">
      <c r="A1333" s="130"/>
      <c r="B1333" s="167"/>
      <c r="C1333" s="167"/>
      <c r="D1333" s="129"/>
      <c r="E1333" s="167"/>
    </row>
    <row r="1334" spans="1:5">
      <c r="A1334" s="130"/>
      <c r="B1334" s="167"/>
      <c r="C1334" s="167"/>
      <c r="D1334" s="129"/>
      <c r="E1334" s="167"/>
    </row>
    <row r="1335" spans="1:5">
      <c r="A1335" s="130"/>
      <c r="B1335" s="167"/>
      <c r="C1335" s="167"/>
      <c r="D1335" s="129"/>
      <c r="E1335" s="167"/>
    </row>
    <row r="1336" spans="1:5">
      <c r="A1336" s="130"/>
      <c r="B1336" s="167"/>
      <c r="C1336" s="167"/>
      <c r="D1336" s="129"/>
      <c r="E1336" s="167"/>
    </row>
    <row r="1337" spans="1:5">
      <c r="A1337" s="130"/>
      <c r="B1337" s="167"/>
      <c r="C1337" s="167"/>
      <c r="D1337" s="129"/>
      <c r="E1337" s="167"/>
    </row>
    <row r="1338" spans="1:5">
      <c r="A1338" s="130"/>
      <c r="B1338" s="167"/>
      <c r="C1338" s="167"/>
      <c r="D1338" s="129"/>
      <c r="E1338" s="167"/>
    </row>
    <row r="1339" spans="1:5">
      <c r="A1339" s="130"/>
      <c r="B1339" s="167"/>
      <c r="C1339" s="167"/>
      <c r="D1339" s="129"/>
      <c r="E1339" s="167"/>
    </row>
    <row r="1340" spans="1:5">
      <c r="A1340" s="130"/>
      <c r="B1340" s="167"/>
      <c r="C1340" s="167"/>
      <c r="D1340" s="129"/>
      <c r="E1340" s="167"/>
    </row>
    <row r="1341" spans="1:5">
      <c r="A1341" s="130"/>
      <c r="B1341" s="167"/>
      <c r="C1341" s="167"/>
      <c r="D1341" s="129"/>
      <c r="E1341" s="167"/>
    </row>
    <row r="1342" spans="1:5">
      <c r="A1342" s="130"/>
      <c r="B1342" s="167"/>
      <c r="C1342" s="167"/>
      <c r="D1342" s="129"/>
      <c r="E1342" s="167"/>
    </row>
    <row r="1343" spans="1:5">
      <c r="A1343" s="130"/>
      <c r="B1343" s="167"/>
      <c r="C1343" s="167"/>
      <c r="D1343" s="129"/>
      <c r="E1343" s="167"/>
    </row>
    <row r="1344" spans="1:5">
      <c r="A1344" s="130"/>
      <c r="B1344" s="167"/>
      <c r="C1344" s="167"/>
      <c r="D1344" s="129"/>
      <c r="E1344" s="167"/>
    </row>
    <row r="1345" spans="1:5">
      <c r="A1345" s="130"/>
      <c r="B1345" s="167"/>
      <c r="C1345" s="167"/>
      <c r="D1345" s="129"/>
      <c r="E1345" s="167"/>
    </row>
    <row r="1346" spans="1:5">
      <c r="A1346" s="130"/>
      <c r="B1346" s="167"/>
      <c r="C1346" s="167"/>
      <c r="D1346" s="129"/>
      <c r="E1346" s="167"/>
    </row>
    <row r="1347" spans="1:5">
      <c r="A1347" s="130"/>
      <c r="B1347" s="167"/>
      <c r="C1347" s="167"/>
      <c r="D1347" s="129"/>
      <c r="E1347" s="167"/>
    </row>
    <row r="1348" spans="1:5">
      <c r="A1348" s="130"/>
      <c r="B1348" s="167"/>
      <c r="C1348" s="167"/>
      <c r="D1348" s="129"/>
      <c r="E1348" s="167"/>
    </row>
    <row r="1349" spans="1:5">
      <c r="A1349" s="130"/>
      <c r="B1349" s="167"/>
      <c r="C1349" s="167"/>
      <c r="D1349" s="129"/>
      <c r="E1349" s="167"/>
    </row>
    <row r="1350" spans="1:5">
      <c r="A1350" s="130"/>
      <c r="B1350" s="167"/>
      <c r="C1350" s="167"/>
      <c r="D1350" s="129"/>
      <c r="E1350" s="167"/>
    </row>
    <row r="1351" spans="1:5">
      <c r="A1351" s="130"/>
      <c r="B1351" s="167"/>
      <c r="C1351" s="167"/>
      <c r="D1351" s="129"/>
      <c r="E1351" s="167"/>
    </row>
    <row r="1352" spans="1:5">
      <c r="A1352" s="130"/>
      <c r="B1352" s="167"/>
      <c r="C1352" s="167"/>
      <c r="D1352" s="129"/>
      <c r="E1352" s="167"/>
    </row>
    <row r="1353" spans="1:5">
      <c r="A1353" s="130"/>
      <c r="B1353" s="167"/>
      <c r="C1353" s="167"/>
      <c r="D1353" s="129"/>
      <c r="E1353" s="167"/>
    </row>
    <row r="1354" spans="1:5">
      <c r="A1354" s="130"/>
      <c r="B1354" s="167"/>
      <c r="C1354" s="167"/>
      <c r="D1354" s="129"/>
      <c r="E1354" s="167"/>
    </row>
    <row r="1355" spans="1:5">
      <c r="A1355" s="130"/>
      <c r="B1355" s="167"/>
      <c r="C1355" s="167"/>
      <c r="D1355" s="129"/>
      <c r="E1355" s="167"/>
    </row>
    <row r="1356" spans="1:5">
      <c r="A1356" s="130"/>
      <c r="B1356" s="167"/>
      <c r="C1356" s="167"/>
      <c r="D1356" s="129"/>
      <c r="E1356" s="167"/>
    </row>
    <row r="1357" spans="1:5">
      <c r="A1357" s="130"/>
      <c r="B1357" s="167"/>
      <c r="C1357" s="167"/>
      <c r="D1357" s="129"/>
      <c r="E1357" s="167"/>
    </row>
    <row r="1358" spans="1:5">
      <c r="A1358" s="130"/>
      <c r="B1358" s="167"/>
      <c r="C1358" s="167"/>
      <c r="D1358" s="129"/>
      <c r="E1358" s="167"/>
    </row>
    <row r="1359" spans="1:5">
      <c r="A1359" s="130"/>
      <c r="B1359" s="167"/>
      <c r="C1359" s="167"/>
      <c r="D1359" s="129"/>
      <c r="E1359" s="167"/>
    </row>
    <row r="1360" spans="1:5">
      <c r="A1360" s="130"/>
      <c r="B1360" s="167"/>
      <c r="C1360" s="167"/>
      <c r="D1360" s="129"/>
      <c r="E1360" s="167"/>
    </row>
    <row r="1361" spans="1:5">
      <c r="A1361" s="130"/>
      <c r="B1361" s="167"/>
      <c r="C1361" s="167"/>
      <c r="D1361" s="129"/>
      <c r="E1361" s="167"/>
    </row>
    <row r="1362" spans="1:5">
      <c r="A1362" s="130"/>
      <c r="B1362" s="167"/>
      <c r="C1362" s="167"/>
      <c r="D1362" s="129"/>
      <c r="E1362" s="167"/>
    </row>
    <row r="1363" spans="1:5">
      <c r="A1363" s="130"/>
      <c r="B1363" s="167"/>
      <c r="C1363" s="167"/>
      <c r="D1363" s="129"/>
      <c r="E1363" s="167"/>
    </row>
    <row r="1364" spans="1:5">
      <c r="A1364" s="130"/>
      <c r="B1364" s="167"/>
      <c r="C1364" s="167"/>
      <c r="D1364" s="129"/>
      <c r="E1364" s="167"/>
    </row>
    <row r="1365" spans="1:5">
      <c r="A1365" s="130"/>
      <c r="B1365" s="167"/>
      <c r="C1365" s="167"/>
      <c r="D1365" s="129"/>
      <c r="E1365" s="167"/>
    </row>
    <row r="1366" spans="1:5">
      <c r="A1366" s="130"/>
      <c r="B1366" s="167"/>
      <c r="C1366" s="167"/>
      <c r="D1366" s="129"/>
      <c r="E1366" s="167"/>
    </row>
    <row r="1367" spans="1:5">
      <c r="A1367" s="130"/>
      <c r="B1367" s="167"/>
      <c r="C1367" s="167"/>
      <c r="D1367" s="129"/>
      <c r="E1367" s="167"/>
    </row>
    <row r="1368" spans="1:5">
      <c r="A1368" s="130"/>
      <c r="B1368" s="167"/>
      <c r="C1368" s="167"/>
      <c r="D1368" s="129"/>
      <c r="E1368" s="167"/>
    </row>
    <row r="1369" spans="1:5">
      <c r="A1369" s="130"/>
      <c r="B1369" s="167"/>
      <c r="C1369" s="167"/>
      <c r="D1369" s="129"/>
      <c r="E1369" s="167"/>
    </row>
    <row r="1370" spans="1:5">
      <c r="A1370" s="130"/>
      <c r="B1370" s="167"/>
      <c r="C1370" s="167"/>
      <c r="D1370" s="129"/>
      <c r="E1370" s="167"/>
    </row>
    <row r="1371" spans="1:5">
      <c r="A1371" s="130"/>
      <c r="B1371" s="167"/>
      <c r="C1371" s="167"/>
      <c r="D1371" s="129"/>
      <c r="E1371" s="167"/>
    </row>
    <row r="1372" spans="1:5">
      <c r="A1372" s="130"/>
      <c r="B1372" s="167"/>
      <c r="C1372" s="167"/>
      <c r="D1372" s="129"/>
      <c r="E1372" s="167"/>
    </row>
    <row r="1373" spans="1:5">
      <c r="A1373" s="130"/>
      <c r="B1373" s="167"/>
      <c r="C1373" s="167"/>
      <c r="D1373" s="129"/>
      <c r="E1373" s="167"/>
    </row>
    <row r="1374" spans="1:5">
      <c r="A1374" s="130"/>
      <c r="B1374" s="167"/>
      <c r="C1374" s="167"/>
      <c r="D1374" s="129"/>
      <c r="E1374" s="167"/>
    </row>
    <row r="1375" spans="1:5">
      <c r="A1375" s="130"/>
      <c r="B1375" s="167"/>
      <c r="C1375" s="167"/>
      <c r="D1375" s="129"/>
      <c r="E1375" s="167"/>
    </row>
    <row r="1376" spans="1:5">
      <c r="A1376" s="130"/>
      <c r="B1376" s="167"/>
      <c r="C1376" s="167"/>
      <c r="D1376" s="129"/>
      <c r="E1376" s="167"/>
    </row>
    <row r="1377" spans="1:5">
      <c r="A1377" s="130"/>
      <c r="B1377" s="167"/>
      <c r="C1377" s="167"/>
      <c r="D1377" s="129"/>
      <c r="E1377" s="167"/>
    </row>
    <row r="1378" spans="1:5">
      <c r="A1378" s="130"/>
      <c r="B1378" s="167"/>
      <c r="C1378" s="167"/>
      <c r="D1378" s="129"/>
      <c r="E1378" s="167"/>
    </row>
    <row r="1379" spans="1:5">
      <c r="A1379" s="130"/>
      <c r="B1379" s="167"/>
      <c r="C1379" s="167"/>
      <c r="D1379" s="129"/>
      <c r="E1379" s="167"/>
    </row>
    <row r="1380" spans="1:5">
      <c r="A1380" s="130"/>
      <c r="B1380" s="167"/>
      <c r="C1380" s="167"/>
      <c r="D1380" s="129"/>
      <c r="E1380" s="167"/>
    </row>
    <row r="1381" spans="1:5">
      <c r="A1381" s="130"/>
      <c r="B1381" s="167"/>
      <c r="C1381" s="167"/>
      <c r="D1381" s="129"/>
      <c r="E1381" s="167"/>
    </row>
    <row r="1382" spans="1:5">
      <c r="A1382" s="130"/>
      <c r="B1382" s="167"/>
      <c r="C1382" s="167"/>
      <c r="D1382" s="129"/>
      <c r="E1382" s="167"/>
    </row>
    <row r="1383" spans="1:5">
      <c r="A1383" s="130"/>
      <c r="B1383" s="167"/>
      <c r="C1383" s="167"/>
      <c r="D1383" s="129"/>
      <c r="E1383" s="167"/>
    </row>
    <row r="1384" spans="1:5">
      <c r="A1384" s="130"/>
      <c r="B1384" s="167"/>
      <c r="C1384" s="167"/>
      <c r="D1384" s="129"/>
      <c r="E1384" s="167"/>
    </row>
    <row r="1385" spans="1:5">
      <c r="A1385" s="130"/>
      <c r="B1385" s="167"/>
      <c r="C1385" s="167"/>
      <c r="D1385" s="129"/>
      <c r="E1385" s="167"/>
    </row>
    <row r="1386" spans="1:5">
      <c r="A1386" s="130"/>
      <c r="B1386" s="167"/>
      <c r="C1386" s="167"/>
      <c r="D1386" s="129"/>
      <c r="E1386" s="167"/>
    </row>
    <row r="1387" spans="1:5">
      <c r="A1387" s="130"/>
      <c r="B1387" s="167"/>
      <c r="C1387" s="167"/>
      <c r="D1387" s="129"/>
      <c r="E1387" s="167"/>
    </row>
    <row r="1388" spans="1:5">
      <c r="A1388" s="130"/>
      <c r="B1388" s="167"/>
      <c r="C1388" s="167"/>
      <c r="D1388" s="129"/>
      <c r="E1388" s="167"/>
    </row>
    <row r="1389" spans="1:5">
      <c r="A1389" s="130"/>
      <c r="B1389" s="167"/>
      <c r="C1389" s="167"/>
      <c r="D1389" s="129"/>
      <c r="E1389" s="167"/>
    </row>
    <row r="1390" spans="1:5">
      <c r="A1390" s="130"/>
      <c r="B1390" s="167"/>
      <c r="C1390" s="167"/>
      <c r="D1390" s="129"/>
      <c r="E1390" s="167"/>
    </row>
    <row r="1391" spans="1:5">
      <c r="A1391" s="130"/>
      <c r="B1391" s="167"/>
      <c r="C1391" s="167"/>
      <c r="D1391" s="129"/>
      <c r="E1391" s="167"/>
    </row>
    <row r="1392" spans="1:5">
      <c r="A1392" s="130"/>
      <c r="B1392" s="167"/>
      <c r="C1392" s="167"/>
      <c r="D1392" s="129"/>
      <c r="E1392" s="167"/>
    </row>
    <row r="1393" spans="1:5">
      <c r="A1393" s="130"/>
      <c r="B1393" s="167"/>
      <c r="C1393" s="167"/>
      <c r="D1393" s="129"/>
      <c r="E1393" s="167"/>
    </row>
    <row r="1394" spans="1:5">
      <c r="A1394" s="130"/>
      <c r="B1394" s="167"/>
      <c r="C1394" s="167"/>
      <c r="D1394" s="129"/>
      <c r="E1394" s="167"/>
    </row>
    <row r="1395" spans="1:5">
      <c r="A1395" s="130"/>
      <c r="B1395" s="167"/>
      <c r="C1395" s="167"/>
      <c r="D1395" s="129"/>
      <c r="E1395" s="167"/>
    </row>
    <row r="1396" spans="1:5">
      <c r="A1396" s="130"/>
      <c r="B1396" s="167"/>
      <c r="C1396" s="167"/>
      <c r="D1396" s="129"/>
      <c r="E1396" s="167"/>
    </row>
    <row r="1397" spans="1:5">
      <c r="A1397" s="130"/>
      <c r="B1397" s="167"/>
      <c r="C1397" s="167"/>
      <c r="D1397" s="129"/>
      <c r="E1397" s="167"/>
    </row>
    <row r="1398" spans="1:5">
      <c r="A1398" s="130"/>
      <c r="B1398" s="167"/>
      <c r="C1398" s="167"/>
      <c r="D1398" s="129"/>
      <c r="E1398" s="167"/>
    </row>
    <row r="1399" spans="1:5">
      <c r="A1399" s="130"/>
      <c r="B1399" s="167"/>
      <c r="C1399" s="167"/>
      <c r="D1399" s="129"/>
      <c r="E1399" s="167"/>
    </row>
    <row r="1400" spans="1:5">
      <c r="A1400" s="130"/>
      <c r="B1400" s="167"/>
      <c r="C1400" s="167"/>
      <c r="D1400" s="129"/>
      <c r="E1400" s="167"/>
    </row>
    <row r="1401" spans="1:5">
      <c r="A1401" s="130"/>
      <c r="B1401" s="167"/>
      <c r="C1401" s="167"/>
      <c r="D1401" s="129"/>
      <c r="E1401" s="167"/>
    </row>
    <row r="1402" spans="1:5">
      <c r="A1402" s="130"/>
      <c r="B1402" s="167"/>
      <c r="C1402" s="167"/>
      <c r="D1402" s="129"/>
      <c r="E1402" s="167"/>
    </row>
    <row r="1403" spans="1:5">
      <c r="A1403" s="130"/>
      <c r="B1403" s="167"/>
      <c r="C1403" s="167"/>
      <c r="D1403" s="129"/>
      <c r="E1403" s="167"/>
    </row>
    <row r="1404" spans="1:5">
      <c r="A1404" s="130"/>
      <c r="B1404" s="167"/>
      <c r="C1404" s="167"/>
      <c r="D1404" s="129"/>
      <c r="E1404" s="167"/>
    </row>
    <row r="1405" spans="1:5">
      <c r="A1405" s="130"/>
      <c r="B1405" s="167"/>
      <c r="C1405" s="167"/>
      <c r="D1405" s="129"/>
      <c r="E1405" s="167"/>
    </row>
    <row r="1406" spans="1:5">
      <c r="A1406" s="130"/>
      <c r="B1406" s="167"/>
      <c r="C1406" s="167"/>
      <c r="D1406" s="129"/>
      <c r="E1406" s="167"/>
    </row>
    <row r="1407" spans="1:5">
      <c r="A1407" s="130"/>
      <c r="B1407" s="167"/>
      <c r="C1407" s="167"/>
      <c r="D1407" s="129"/>
      <c r="E1407" s="167"/>
    </row>
    <row r="1408" spans="1:5">
      <c r="A1408" s="130"/>
      <c r="B1408" s="167"/>
      <c r="C1408" s="167"/>
      <c r="D1408" s="129"/>
      <c r="E1408" s="167"/>
    </row>
    <row r="1409" spans="1:5">
      <c r="A1409" s="130"/>
      <c r="B1409" s="167"/>
      <c r="C1409" s="167"/>
      <c r="D1409" s="129"/>
      <c r="E1409" s="167"/>
    </row>
    <row r="1410" spans="1:5">
      <c r="A1410" s="130"/>
      <c r="B1410" s="167"/>
      <c r="C1410" s="167"/>
      <c r="D1410" s="129"/>
      <c r="E1410" s="167"/>
    </row>
    <row r="1411" spans="1:5">
      <c r="A1411" s="130"/>
      <c r="B1411" s="167"/>
      <c r="C1411" s="167"/>
      <c r="D1411" s="129"/>
      <c r="E1411" s="167"/>
    </row>
    <row r="1412" spans="1:5">
      <c r="A1412" s="130"/>
      <c r="B1412" s="167"/>
      <c r="C1412" s="167"/>
      <c r="D1412" s="129"/>
      <c r="E1412" s="167"/>
    </row>
    <row r="1413" spans="1:5">
      <c r="A1413" s="130"/>
      <c r="B1413" s="167"/>
      <c r="C1413" s="167"/>
      <c r="D1413" s="129"/>
      <c r="E1413" s="167"/>
    </row>
    <row r="1414" spans="1:5">
      <c r="A1414" s="130"/>
      <c r="B1414" s="167"/>
      <c r="C1414" s="167"/>
      <c r="D1414" s="129"/>
      <c r="E1414" s="167"/>
    </row>
    <row r="1415" spans="1:5">
      <c r="A1415" s="130"/>
      <c r="B1415" s="167"/>
      <c r="C1415" s="167"/>
      <c r="D1415" s="129"/>
      <c r="E1415" s="167"/>
    </row>
    <row r="1416" spans="1:5">
      <c r="A1416" s="130"/>
      <c r="B1416" s="167"/>
      <c r="C1416" s="167"/>
      <c r="D1416" s="129"/>
      <c r="E1416" s="167"/>
    </row>
    <row r="1417" spans="1:5">
      <c r="A1417" s="130"/>
      <c r="B1417" s="167"/>
      <c r="C1417" s="167"/>
      <c r="D1417" s="129"/>
      <c r="E1417" s="167"/>
    </row>
    <row r="1418" spans="1:5">
      <c r="A1418" s="130"/>
      <c r="B1418" s="167"/>
      <c r="C1418" s="167"/>
      <c r="D1418" s="129"/>
      <c r="E1418" s="167"/>
    </row>
    <row r="1419" spans="1:5">
      <c r="A1419" s="130"/>
      <c r="B1419" s="167"/>
      <c r="C1419" s="167"/>
      <c r="D1419" s="129"/>
      <c r="E1419" s="167"/>
    </row>
    <row r="1420" spans="1:5">
      <c r="A1420" s="130"/>
      <c r="B1420" s="167"/>
      <c r="C1420" s="167"/>
      <c r="D1420" s="129"/>
      <c r="E1420" s="167"/>
    </row>
    <row r="1421" spans="1:5">
      <c r="A1421" s="130"/>
      <c r="B1421" s="167"/>
      <c r="C1421" s="167"/>
      <c r="D1421" s="129"/>
      <c r="E1421" s="167"/>
    </row>
    <row r="1422" spans="1:5">
      <c r="A1422" s="130"/>
      <c r="B1422" s="167"/>
      <c r="C1422" s="167"/>
      <c r="D1422" s="129"/>
      <c r="E1422" s="167"/>
    </row>
    <row r="1423" spans="1:5">
      <c r="A1423" s="130"/>
      <c r="B1423" s="167"/>
      <c r="C1423" s="167"/>
      <c r="D1423" s="129"/>
      <c r="E1423" s="167"/>
    </row>
    <row r="1424" spans="1:5">
      <c r="A1424" s="130"/>
      <c r="B1424" s="167"/>
      <c r="C1424" s="167"/>
      <c r="D1424" s="129"/>
      <c r="E1424" s="167"/>
    </row>
    <row r="1425" spans="1:5">
      <c r="A1425" s="130"/>
      <c r="B1425" s="167"/>
      <c r="C1425" s="167"/>
      <c r="D1425" s="129"/>
      <c r="E1425" s="167"/>
    </row>
    <row r="1426" spans="1:5">
      <c r="A1426" s="130"/>
      <c r="B1426" s="167"/>
      <c r="C1426" s="167"/>
      <c r="D1426" s="129"/>
      <c r="E1426" s="167"/>
    </row>
    <row r="1427" spans="1:5">
      <c r="A1427" s="130"/>
      <c r="B1427" s="167"/>
      <c r="C1427" s="167"/>
      <c r="D1427" s="129"/>
      <c r="E1427" s="167"/>
    </row>
    <row r="1428" spans="1:5">
      <c r="A1428" s="130"/>
      <c r="B1428" s="167"/>
      <c r="C1428" s="167"/>
      <c r="D1428" s="129"/>
      <c r="E1428" s="167"/>
    </row>
    <row r="1429" spans="1:5">
      <c r="A1429" s="130"/>
      <c r="B1429" s="167"/>
      <c r="C1429" s="167"/>
      <c r="D1429" s="129"/>
      <c r="E1429" s="167"/>
    </row>
    <row r="1430" spans="1:5">
      <c r="A1430" s="130"/>
      <c r="B1430" s="167"/>
      <c r="C1430" s="167"/>
      <c r="D1430" s="129"/>
      <c r="E1430" s="167"/>
    </row>
    <row r="1431" spans="1:5">
      <c r="A1431" s="130"/>
      <c r="B1431" s="167"/>
      <c r="C1431" s="167"/>
      <c r="D1431" s="129"/>
      <c r="E1431" s="167"/>
    </row>
    <row r="1432" spans="1:5">
      <c r="A1432" s="130"/>
      <c r="B1432" s="167"/>
      <c r="C1432" s="167"/>
      <c r="D1432" s="129"/>
      <c r="E1432" s="167"/>
    </row>
    <row r="1433" spans="1:5">
      <c r="A1433" s="130"/>
      <c r="B1433" s="167"/>
      <c r="C1433" s="167"/>
      <c r="D1433" s="129"/>
      <c r="E1433" s="167"/>
    </row>
    <row r="1434" spans="1:5">
      <c r="A1434" s="130"/>
      <c r="B1434" s="167"/>
      <c r="C1434" s="167"/>
      <c r="D1434" s="129"/>
      <c r="E1434" s="167"/>
    </row>
    <row r="1435" spans="1:5">
      <c r="A1435" s="130"/>
      <c r="B1435" s="167"/>
      <c r="C1435" s="167"/>
      <c r="D1435" s="129"/>
      <c r="E1435" s="167"/>
    </row>
    <row r="1436" spans="1:5">
      <c r="A1436" s="130"/>
      <c r="B1436" s="167"/>
      <c r="C1436" s="167"/>
      <c r="D1436" s="129"/>
      <c r="E1436" s="167"/>
    </row>
    <row r="1437" spans="1:5">
      <c r="A1437" s="130"/>
      <c r="B1437" s="167"/>
      <c r="C1437" s="167"/>
      <c r="D1437" s="129"/>
      <c r="E1437" s="167"/>
    </row>
    <row r="1438" spans="1:5">
      <c r="A1438" s="130"/>
      <c r="B1438" s="167"/>
      <c r="C1438" s="167"/>
      <c r="D1438" s="129"/>
      <c r="E1438" s="167"/>
    </row>
    <row r="1439" spans="1:5">
      <c r="A1439" s="130"/>
      <c r="B1439" s="167"/>
      <c r="C1439" s="167"/>
      <c r="D1439" s="129"/>
      <c r="E1439" s="167"/>
    </row>
    <row r="1440" spans="1:5">
      <c r="A1440" s="130"/>
      <c r="B1440" s="167"/>
      <c r="C1440" s="167"/>
      <c r="D1440" s="129"/>
      <c r="E1440" s="167"/>
    </row>
    <row r="1441" spans="1:5">
      <c r="A1441" s="130"/>
      <c r="B1441" s="167"/>
      <c r="C1441" s="167"/>
      <c r="D1441" s="129"/>
      <c r="E1441" s="167"/>
    </row>
    <row r="1442" spans="1:5">
      <c r="A1442" s="130"/>
      <c r="B1442" s="167"/>
      <c r="C1442" s="167"/>
      <c r="D1442" s="129"/>
      <c r="E1442" s="167"/>
    </row>
    <row r="1443" spans="1:5">
      <c r="A1443" s="130"/>
      <c r="B1443" s="167"/>
      <c r="C1443" s="167"/>
      <c r="D1443" s="129"/>
      <c r="E1443" s="167"/>
    </row>
    <row r="1444" spans="1:5">
      <c r="A1444" s="130"/>
      <c r="B1444" s="167"/>
      <c r="C1444" s="167"/>
      <c r="D1444" s="129"/>
      <c r="E1444" s="167"/>
    </row>
    <row r="1445" spans="1:5">
      <c r="A1445" s="130"/>
      <c r="B1445" s="167"/>
      <c r="C1445" s="167"/>
      <c r="D1445" s="129"/>
      <c r="E1445" s="167"/>
    </row>
    <row r="1446" spans="1:5">
      <c r="A1446" s="130"/>
      <c r="B1446" s="167"/>
      <c r="C1446" s="167"/>
      <c r="D1446" s="129"/>
      <c r="E1446" s="167"/>
    </row>
    <row r="1447" spans="1:5">
      <c r="A1447" s="130"/>
      <c r="B1447" s="167"/>
      <c r="C1447" s="167"/>
      <c r="D1447" s="129"/>
      <c r="E1447" s="167"/>
    </row>
    <row r="1448" spans="1:5">
      <c r="A1448" s="130"/>
      <c r="B1448" s="167"/>
      <c r="C1448" s="167"/>
      <c r="D1448" s="129"/>
      <c r="E1448" s="167"/>
    </row>
    <row r="1449" spans="1:5">
      <c r="A1449" s="130"/>
      <c r="B1449" s="167"/>
      <c r="C1449" s="167"/>
      <c r="D1449" s="129"/>
      <c r="E1449" s="167"/>
    </row>
    <row r="1450" spans="1:5">
      <c r="A1450" s="130"/>
      <c r="B1450" s="167"/>
      <c r="C1450" s="167"/>
      <c r="D1450" s="129"/>
      <c r="E1450" s="167"/>
    </row>
    <row r="1451" spans="1:5">
      <c r="A1451" s="130"/>
      <c r="B1451" s="167"/>
      <c r="C1451" s="167"/>
      <c r="D1451" s="129"/>
      <c r="E1451" s="167"/>
    </row>
    <row r="1452" spans="1:5">
      <c r="A1452" s="130"/>
      <c r="B1452" s="167"/>
      <c r="C1452" s="167"/>
      <c r="D1452" s="129"/>
      <c r="E1452" s="167"/>
    </row>
    <row r="1453" spans="1:5">
      <c r="A1453" s="130"/>
      <c r="B1453" s="167"/>
      <c r="C1453" s="167"/>
      <c r="D1453" s="129"/>
      <c r="E1453" s="167"/>
    </row>
    <row r="1454" spans="1:5">
      <c r="A1454" s="130"/>
      <c r="B1454" s="167"/>
      <c r="C1454" s="167"/>
      <c r="D1454" s="129"/>
      <c r="E1454" s="167"/>
    </row>
    <row r="1455" spans="1:5">
      <c r="A1455" s="130"/>
      <c r="B1455" s="167"/>
      <c r="C1455" s="167"/>
      <c r="D1455" s="129"/>
      <c r="E1455" s="167"/>
    </row>
    <row r="1456" spans="1:5">
      <c r="A1456" s="130"/>
      <c r="B1456" s="167"/>
      <c r="C1456" s="167"/>
      <c r="D1456" s="129"/>
      <c r="E1456" s="167"/>
    </row>
    <row r="1457" spans="1:5">
      <c r="A1457" s="130"/>
      <c r="B1457" s="167"/>
      <c r="C1457" s="167"/>
      <c r="D1457" s="129"/>
      <c r="E1457" s="167"/>
    </row>
    <row r="1458" spans="1:5">
      <c r="A1458" s="130"/>
      <c r="B1458" s="167"/>
      <c r="C1458" s="167"/>
      <c r="D1458" s="129"/>
      <c r="E1458" s="167"/>
    </row>
    <row r="1459" spans="1:5">
      <c r="A1459" s="130"/>
      <c r="B1459" s="167"/>
      <c r="C1459" s="167"/>
      <c r="D1459" s="129"/>
      <c r="E1459" s="167"/>
    </row>
    <row r="1460" spans="1:5">
      <c r="A1460" s="130"/>
      <c r="B1460" s="167"/>
      <c r="C1460" s="167"/>
      <c r="D1460" s="129"/>
      <c r="E1460" s="167"/>
    </row>
    <row r="1461" spans="1:5">
      <c r="A1461" s="130"/>
      <c r="B1461" s="167"/>
      <c r="C1461" s="167"/>
      <c r="D1461" s="129"/>
      <c r="E1461" s="167"/>
    </row>
    <row r="1462" spans="1:5">
      <c r="A1462" s="130"/>
      <c r="B1462" s="167"/>
      <c r="C1462" s="167"/>
      <c r="D1462" s="129"/>
      <c r="E1462" s="167"/>
    </row>
    <row r="1463" spans="1:5">
      <c r="A1463" s="130"/>
      <c r="B1463" s="167"/>
      <c r="C1463" s="167"/>
      <c r="D1463" s="129"/>
      <c r="E1463" s="167"/>
    </row>
    <row r="1464" spans="1:5">
      <c r="A1464" s="130"/>
      <c r="B1464" s="167"/>
      <c r="C1464" s="167"/>
      <c r="D1464" s="129"/>
      <c r="E1464" s="167"/>
    </row>
    <row r="1465" spans="1:5">
      <c r="A1465" s="130"/>
      <c r="B1465" s="167"/>
      <c r="C1465" s="167"/>
      <c r="D1465" s="129"/>
      <c r="E1465" s="167"/>
    </row>
    <row r="1466" spans="1:5">
      <c r="A1466" s="130"/>
      <c r="B1466" s="167"/>
      <c r="C1466" s="167"/>
      <c r="D1466" s="129"/>
      <c r="E1466" s="167"/>
    </row>
    <row r="1467" spans="1:5">
      <c r="A1467" s="130"/>
      <c r="B1467" s="167"/>
      <c r="C1467" s="167"/>
      <c r="D1467" s="129"/>
      <c r="E1467" s="167"/>
    </row>
    <row r="1468" spans="1:5">
      <c r="A1468" s="130"/>
      <c r="B1468" s="167"/>
      <c r="C1468" s="167"/>
      <c r="D1468" s="129"/>
      <c r="E1468" s="167"/>
    </row>
    <row r="1469" spans="1:5">
      <c r="A1469" s="130"/>
      <c r="B1469" s="167"/>
      <c r="C1469" s="167"/>
      <c r="D1469" s="129"/>
      <c r="E1469" s="167"/>
    </row>
    <row r="1470" spans="1:5">
      <c r="A1470" s="130"/>
      <c r="B1470" s="167"/>
      <c r="C1470" s="167"/>
      <c r="D1470" s="129"/>
      <c r="E1470" s="167"/>
    </row>
    <row r="1471" spans="1:5">
      <c r="A1471" s="130"/>
      <c r="B1471" s="167"/>
      <c r="C1471" s="167"/>
      <c r="D1471" s="129"/>
      <c r="E1471" s="167"/>
    </row>
    <row r="1472" spans="1:5">
      <c r="A1472" s="130"/>
      <c r="B1472" s="167"/>
      <c r="C1472" s="167"/>
      <c r="D1472" s="129"/>
      <c r="E1472" s="167"/>
    </row>
    <row r="1473" spans="1:5">
      <c r="A1473" s="130"/>
      <c r="B1473" s="167"/>
      <c r="C1473" s="167"/>
      <c r="D1473" s="129"/>
      <c r="E1473" s="167"/>
    </row>
    <row r="1474" spans="1:5">
      <c r="A1474" s="130"/>
      <c r="B1474" s="167"/>
      <c r="C1474" s="167"/>
      <c r="D1474" s="129"/>
      <c r="E1474" s="167"/>
    </row>
    <row r="1475" spans="1:5">
      <c r="A1475" s="130"/>
      <c r="B1475" s="167"/>
      <c r="C1475" s="167"/>
      <c r="D1475" s="129"/>
      <c r="E1475" s="167"/>
    </row>
    <row r="1476" spans="1:5">
      <c r="A1476" s="130"/>
      <c r="B1476" s="167"/>
      <c r="C1476" s="167"/>
      <c r="D1476" s="129"/>
      <c r="E1476" s="167"/>
    </row>
    <row r="1477" spans="1:5">
      <c r="A1477" s="130"/>
      <c r="B1477" s="167"/>
      <c r="C1477" s="167"/>
      <c r="D1477" s="129"/>
      <c r="E1477" s="167"/>
    </row>
    <row r="1478" spans="1:5">
      <c r="A1478" s="130"/>
      <c r="B1478" s="167"/>
      <c r="C1478" s="167"/>
      <c r="D1478" s="129"/>
      <c r="E1478" s="167"/>
    </row>
    <row r="1479" spans="1:5">
      <c r="A1479" s="130"/>
      <c r="B1479" s="167"/>
      <c r="C1479" s="167"/>
      <c r="D1479" s="129"/>
      <c r="E1479" s="167"/>
    </row>
    <row r="1480" spans="1:5">
      <c r="A1480" s="130"/>
      <c r="B1480" s="167"/>
      <c r="C1480" s="167"/>
      <c r="D1480" s="129"/>
      <c r="E1480" s="167"/>
    </row>
    <row r="1481" spans="1:5">
      <c r="A1481" s="130"/>
      <c r="B1481" s="167"/>
      <c r="C1481" s="167"/>
      <c r="D1481" s="129"/>
      <c r="E1481" s="167"/>
    </row>
    <row r="1482" spans="1:5">
      <c r="A1482" s="130"/>
      <c r="B1482" s="167"/>
      <c r="C1482" s="167"/>
      <c r="D1482" s="129"/>
      <c r="E1482" s="167"/>
    </row>
    <row r="1483" spans="1:5">
      <c r="A1483" s="130"/>
      <c r="B1483" s="167"/>
      <c r="C1483" s="167"/>
      <c r="D1483" s="129"/>
      <c r="E1483" s="167"/>
    </row>
    <row r="1484" spans="1:5">
      <c r="A1484" s="130"/>
      <c r="B1484" s="167"/>
      <c r="C1484" s="167"/>
      <c r="D1484" s="129"/>
      <c r="E1484" s="167"/>
    </row>
    <row r="1485" spans="1:5">
      <c r="A1485" s="130"/>
      <c r="B1485" s="167"/>
      <c r="C1485" s="167"/>
      <c r="D1485" s="129"/>
      <c r="E1485" s="167"/>
    </row>
    <row r="1486" spans="1:5">
      <c r="A1486" s="130"/>
      <c r="B1486" s="167"/>
      <c r="C1486" s="167"/>
      <c r="D1486" s="129"/>
      <c r="E1486" s="167"/>
    </row>
    <row r="1487" spans="1:5">
      <c r="A1487" s="130"/>
      <c r="B1487" s="167"/>
      <c r="C1487" s="167"/>
      <c r="D1487" s="129"/>
      <c r="E1487" s="167"/>
    </row>
    <row r="1488" spans="1:5">
      <c r="A1488" s="130"/>
      <c r="B1488" s="167"/>
      <c r="C1488" s="167"/>
      <c r="D1488" s="129"/>
      <c r="E1488" s="167"/>
    </row>
    <row r="1489" spans="1:5">
      <c r="A1489" s="130"/>
      <c r="B1489" s="167"/>
      <c r="C1489" s="167"/>
      <c r="D1489" s="129"/>
      <c r="E1489" s="167"/>
    </row>
    <row r="1490" spans="1:5">
      <c r="A1490" s="130"/>
      <c r="B1490" s="167"/>
      <c r="C1490" s="167"/>
      <c r="D1490" s="129"/>
      <c r="E1490" s="167"/>
    </row>
    <row r="1491" spans="1:5">
      <c r="A1491" s="130"/>
      <c r="B1491" s="167"/>
      <c r="C1491" s="167"/>
      <c r="D1491" s="129"/>
      <c r="E1491" s="167"/>
    </row>
    <row r="1492" spans="1:5">
      <c r="A1492" s="130"/>
      <c r="B1492" s="167"/>
      <c r="C1492" s="167"/>
      <c r="D1492" s="129"/>
      <c r="E1492" s="167"/>
    </row>
    <row r="1493" spans="1:5">
      <c r="A1493" s="130"/>
      <c r="B1493" s="167"/>
      <c r="C1493" s="167"/>
      <c r="D1493" s="129"/>
      <c r="E1493" s="167"/>
    </row>
    <row r="1494" spans="1:5">
      <c r="A1494" s="130"/>
      <c r="B1494" s="167"/>
      <c r="C1494" s="167"/>
      <c r="D1494" s="129"/>
      <c r="E1494" s="167"/>
    </row>
    <row r="1495" spans="1:5">
      <c r="A1495" s="130"/>
      <c r="B1495" s="167"/>
      <c r="C1495" s="167"/>
      <c r="D1495" s="129"/>
      <c r="E1495" s="167"/>
    </row>
    <row r="1496" spans="1:5">
      <c r="A1496" s="130"/>
      <c r="B1496" s="167"/>
      <c r="C1496" s="167"/>
      <c r="D1496" s="129"/>
      <c r="E1496" s="167"/>
    </row>
    <row r="1497" spans="1:5">
      <c r="A1497" s="130"/>
      <c r="B1497" s="167"/>
      <c r="C1497" s="167"/>
      <c r="D1497" s="129"/>
      <c r="E1497" s="167"/>
    </row>
    <row r="1498" spans="1:5">
      <c r="A1498" s="130"/>
      <c r="B1498" s="167"/>
      <c r="C1498" s="167"/>
      <c r="D1498" s="129"/>
      <c r="E1498" s="167"/>
    </row>
    <row r="1499" spans="1:5">
      <c r="A1499" s="130"/>
      <c r="B1499" s="167"/>
      <c r="C1499" s="167"/>
      <c r="D1499" s="129"/>
      <c r="E1499" s="167"/>
    </row>
    <row r="1500" spans="1:5">
      <c r="A1500" s="130"/>
      <c r="B1500" s="167"/>
      <c r="C1500" s="167"/>
      <c r="D1500" s="129"/>
      <c r="E1500" s="167"/>
    </row>
    <row r="1501" spans="1:5">
      <c r="A1501" s="130"/>
      <c r="B1501" s="167"/>
      <c r="C1501" s="167"/>
      <c r="D1501" s="129"/>
      <c r="E1501" s="167"/>
    </row>
    <row r="1502" spans="1:5">
      <c r="A1502" s="130"/>
      <c r="B1502" s="167"/>
      <c r="C1502" s="167"/>
      <c r="D1502" s="129"/>
      <c r="E1502" s="167"/>
    </row>
    <row r="1503" spans="1:5">
      <c r="A1503" s="130"/>
      <c r="B1503" s="167"/>
      <c r="C1503" s="167"/>
      <c r="D1503" s="129"/>
      <c r="E1503" s="167"/>
    </row>
    <row r="1504" spans="1:5">
      <c r="A1504" s="130"/>
      <c r="B1504" s="167"/>
      <c r="C1504" s="167"/>
      <c r="D1504" s="129"/>
      <c r="E1504" s="167"/>
    </row>
    <row r="1505" spans="1:5">
      <c r="A1505" s="130"/>
      <c r="B1505" s="167"/>
      <c r="C1505" s="167"/>
      <c r="D1505" s="129"/>
      <c r="E1505" s="167"/>
    </row>
  </sheetData>
  <sortState ref="A6:F1506">
    <sortCondition ref="F5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94" t="s">
        <v>170</v>
      </c>
      <c r="B2" s="594"/>
      <c r="C2" s="594"/>
      <c r="D2" s="594"/>
      <c r="E2" s="594"/>
      <c r="F2" s="594"/>
      <c r="G2" s="594"/>
      <c r="H2" s="594"/>
      <c r="I2" s="594"/>
      <c r="J2" s="594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92" t="s">
        <v>174</v>
      </c>
      <c r="B5" s="595" t="s">
        <v>172</v>
      </c>
      <c r="C5" s="596"/>
      <c r="D5" s="613" t="s">
        <v>725</v>
      </c>
      <c r="E5" s="614"/>
      <c r="F5" s="615" t="s">
        <v>553</v>
      </c>
      <c r="G5" s="616"/>
      <c r="H5" s="612"/>
      <c r="I5" s="612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92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92"/>
      <c r="B7" s="597" t="s">
        <v>171</v>
      </c>
      <c r="C7" s="598"/>
      <c r="D7" s="162"/>
      <c r="E7" s="122" t="s">
        <v>167</v>
      </c>
      <c r="F7" s="163"/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92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92"/>
      <c r="B9" s="608" t="s">
        <v>175</v>
      </c>
      <c r="C9" s="609"/>
      <c r="D9" s="599"/>
      <c r="E9" s="600"/>
      <c r="F9" s="600"/>
      <c r="G9" s="600"/>
      <c r="H9" s="600"/>
      <c r="I9" s="601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92"/>
      <c r="B10" s="608"/>
      <c r="C10" s="609"/>
      <c r="D10" s="602"/>
      <c r="E10" s="603"/>
      <c r="F10" s="603"/>
      <c r="G10" s="603"/>
      <c r="H10" s="603"/>
      <c r="I10" s="604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92"/>
      <c r="B11" s="608"/>
      <c r="C11" s="609"/>
      <c r="D11" s="605"/>
      <c r="E11" s="606"/>
      <c r="F11" s="606"/>
      <c r="G11" s="606"/>
      <c r="H11" s="606"/>
      <c r="I11" s="607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92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92"/>
      <c r="B13" s="597" t="s">
        <v>173</v>
      </c>
      <c r="C13" s="598"/>
      <c r="D13" s="610"/>
      <c r="E13" s="611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93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17" sqref="E17:K17"/>
    </sheetView>
  </sheetViews>
  <sheetFormatPr defaultRowHeight="15"/>
  <cols>
    <col min="1" max="1" width="18" style="347" customWidth="1"/>
    <col min="2" max="2" width="12.5703125" style="347" customWidth="1"/>
    <col min="3" max="3" width="18" style="347" customWidth="1"/>
    <col min="4" max="4" width="11.140625" style="347" customWidth="1"/>
    <col min="5" max="5" width="15.140625" style="347" customWidth="1"/>
    <col min="6" max="6" width="11.140625" style="347" customWidth="1"/>
    <col min="7" max="7" width="15.140625" style="347" customWidth="1"/>
    <col min="8" max="11" width="11.5703125" style="347" customWidth="1"/>
    <col min="12" max="16384" width="9.140625" style="347"/>
  </cols>
  <sheetData>
    <row r="1" spans="1:12" ht="25.5" customHeight="1"/>
    <row r="2" spans="1:12" ht="25.5" customHeight="1"/>
    <row r="3" spans="1:12" ht="22.5" customHeight="1">
      <c r="A3" s="619" t="s">
        <v>636</v>
      </c>
      <c r="B3" s="620"/>
      <c r="C3" s="620"/>
      <c r="D3" s="620"/>
      <c r="E3" s="620"/>
      <c r="F3" s="620"/>
      <c r="G3" s="620"/>
      <c r="H3" s="620"/>
      <c r="I3" s="620"/>
      <c r="J3" s="620"/>
      <c r="K3" s="620"/>
      <c r="L3" s="621"/>
    </row>
    <row r="4" spans="1:12" ht="15" customHeight="1">
      <c r="A4" s="622"/>
      <c r="B4" s="623"/>
      <c r="C4" s="623"/>
      <c r="D4" s="623"/>
      <c r="E4" s="623"/>
      <c r="F4" s="623"/>
      <c r="G4" s="623"/>
      <c r="H4" s="623"/>
      <c r="I4" s="623"/>
      <c r="J4" s="623"/>
      <c r="K4" s="623"/>
      <c r="L4" s="624"/>
    </row>
    <row r="5" spans="1:12" ht="8.25" customHeight="1">
      <c r="A5" s="348"/>
      <c r="B5" s="349"/>
      <c r="C5" s="349"/>
      <c r="D5" s="349"/>
      <c r="E5" s="349"/>
      <c r="F5" s="349"/>
      <c r="G5" s="349"/>
      <c r="H5" s="349"/>
      <c r="I5" s="349"/>
      <c r="J5" s="349"/>
      <c r="K5" s="349"/>
      <c r="L5" s="350"/>
    </row>
    <row r="6" spans="1:12" ht="24" customHeight="1">
      <c r="A6" s="625" t="s">
        <v>174</v>
      </c>
      <c r="B6" s="303"/>
      <c r="C6" s="304"/>
      <c r="D6" s="304"/>
      <c r="E6" s="304"/>
      <c r="F6" s="304"/>
      <c r="G6" s="304"/>
      <c r="H6" s="304"/>
      <c r="I6" s="304"/>
      <c r="J6" s="304"/>
      <c r="K6" s="304"/>
      <c r="L6" s="305"/>
    </row>
    <row r="7" spans="1:12" ht="24" customHeight="1">
      <c r="A7" s="625"/>
      <c r="B7" s="303"/>
      <c r="C7" s="304"/>
      <c r="D7" s="351" t="s">
        <v>638</v>
      </c>
      <c r="E7" s="618" t="s">
        <v>725</v>
      </c>
      <c r="F7" s="618"/>
      <c r="G7" s="618"/>
      <c r="H7" s="617" t="s">
        <v>637</v>
      </c>
      <c r="I7" s="617"/>
      <c r="J7" s="617"/>
      <c r="K7" s="304"/>
      <c r="L7" s="305"/>
    </row>
    <row r="8" spans="1:12" ht="13.5" customHeight="1">
      <c r="A8" s="625"/>
      <c r="B8" s="303"/>
      <c r="C8" s="304"/>
      <c r="D8" s="304"/>
      <c r="E8" s="304"/>
      <c r="F8" s="304"/>
      <c r="G8" s="304"/>
      <c r="H8" s="304"/>
      <c r="I8" s="304"/>
      <c r="J8" s="304"/>
      <c r="K8" s="304"/>
      <c r="L8" s="305"/>
    </row>
    <row r="9" spans="1:12" ht="24" customHeight="1">
      <c r="A9" s="625"/>
      <c r="B9" s="303"/>
      <c r="C9" s="304"/>
      <c r="D9" s="351" t="s">
        <v>639</v>
      </c>
      <c r="E9" s="431"/>
      <c r="F9" s="352" t="s">
        <v>640</v>
      </c>
      <c r="G9" s="430"/>
      <c r="H9" s="304"/>
      <c r="I9" s="304"/>
      <c r="J9" s="304"/>
      <c r="K9" s="304"/>
      <c r="L9" s="305"/>
    </row>
    <row r="10" spans="1:12" ht="16.5" customHeight="1">
      <c r="A10" s="625"/>
      <c r="B10" s="303"/>
      <c r="C10" s="304"/>
      <c r="D10" s="304"/>
      <c r="E10" s="304"/>
      <c r="F10" s="304"/>
      <c r="G10" s="304"/>
      <c r="H10" s="304"/>
      <c r="I10" s="304"/>
      <c r="J10" s="304"/>
      <c r="K10" s="304"/>
      <c r="L10" s="305"/>
    </row>
    <row r="11" spans="1:12" ht="27.75" customHeight="1">
      <c r="A11" s="625"/>
      <c r="B11" s="303"/>
      <c r="C11" s="304"/>
      <c r="D11" s="351" t="s">
        <v>642</v>
      </c>
      <c r="E11" s="627"/>
      <c r="F11" s="628"/>
      <c r="G11" s="628"/>
      <c r="H11" s="628"/>
      <c r="I11" s="628"/>
      <c r="J11" s="628"/>
      <c r="K11" s="629"/>
      <c r="L11" s="305"/>
    </row>
    <row r="12" spans="1:12" ht="15.75" customHeight="1">
      <c r="A12" s="625"/>
      <c r="B12" s="303"/>
      <c r="C12" s="304"/>
      <c r="D12" s="351"/>
      <c r="E12" s="340"/>
      <c r="F12" s="340"/>
      <c r="G12" s="340"/>
      <c r="H12" s="340"/>
      <c r="I12" s="340"/>
      <c r="J12" s="340"/>
      <c r="K12" s="340"/>
      <c r="L12" s="305"/>
    </row>
    <row r="13" spans="1:12" ht="27.75" customHeight="1">
      <c r="A13" s="625"/>
      <c r="B13" s="304"/>
      <c r="C13" s="304"/>
      <c r="D13" s="351" t="s">
        <v>641</v>
      </c>
      <c r="E13" s="630"/>
      <c r="F13" s="630"/>
      <c r="G13" s="630"/>
      <c r="H13" s="630"/>
      <c r="I13" s="630"/>
      <c r="J13" s="630"/>
      <c r="K13" s="630"/>
      <c r="L13" s="305"/>
    </row>
    <row r="14" spans="1:12" ht="15.75" customHeight="1">
      <c r="A14" s="625"/>
      <c r="B14" s="304"/>
      <c r="C14" s="304"/>
      <c r="D14" s="351"/>
      <c r="E14" s="340"/>
      <c r="F14" s="340"/>
      <c r="G14" s="340"/>
      <c r="H14" s="340"/>
      <c r="I14" s="340"/>
      <c r="J14" s="340"/>
      <c r="K14" s="340"/>
      <c r="L14" s="305"/>
    </row>
    <row r="15" spans="1:12" ht="27.75" customHeight="1">
      <c r="A15" s="625"/>
      <c r="B15" s="304"/>
      <c r="C15" s="304"/>
      <c r="D15" s="351" t="s">
        <v>643</v>
      </c>
      <c r="E15" s="630"/>
      <c r="F15" s="630"/>
      <c r="G15" s="630"/>
      <c r="H15" s="630"/>
      <c r="I15" s="630"/>
      <c r="J15" s="630"/>
      <c r="K15" s="630"/>
      <c r="L15" s="305"/>
    </row>
    <row r="16" spans="1:12" ht="20.25">
      <c r="A16" s="625"/>
      <c r="B16" s="304"/>
      <c r="C16" s="304"/>
      <c r="D16" s="351"/>
      <c r="E16" s="340"/>
      <c r="F16" s="340"/>
      <c r="G16" s="340"/>
      <c r="H16" s="340"/>
      <c r="I16" s="340"/>
      <c r="J16" s="340"/>
      <c r="K16" s="340"/>
      <c r="L16" s="305"/>
    </row>
    <row r="17" spans="1:12" ht="27.75" customHeight="1">
      <c r="A17" s="625"/>
      <c r="B17" s="304"/>
      <c r="C17" s="304"/>
      <c r="D17" s="351" t="s">
        <v>644</v>
      </c>
      <c r="E17" s="630"/>
      <c r="F17" s="630"/>
      <c r="G17" s="630"/>
      <c r="H17" s="630"/>
      <c r="I17" s="630"/>
      <c r="J17" s="630"/>
      <c r="K17" s="630"/>
      <c r="L17" s="305"/>
    </row>
    <row r="18" spans="1:12" ht="20.25">
      <c r="A18" s="625"/>
      <c r="B18" s="304"/>
      <c r="C18" s="304"/>
      <c r="D18" s="351"/>
      <c r="E18" s="340"/>
      <c r="F18" s="340"/>
      <c r="G18" s="340"/>
      <c r="H18" s="340"/>
      <c r="I18" s="340"/>
      <c r="J18" s="340"/>
      <c r="K18" s="340"/>
      <c r="L18" s="305"/>
    </row>
    <row r="19" spans="1:12" ht="27.75" customHeight="1">
      <c r="A19" s="625"/>
      <c r="B19" s="304"/>
      <c r="C19" s="304"/>
      <c r="D19" s="351" t="s">
        <v>645</v>
      </c>
      <c r="E19" s="630"/>
      <c r="F19" s="630"/>
      <c r="G19" s="630"/>
      <c r="H19" s="630"/>
      <c r="I19" s="630"/>
      <c r="J19" s="630"/>
      <c r="K19" s="630"/>
      <c r="L19" s="305"/>
    </row>
    <row r="20" spans="1:12" ht="20.25">
      <c r="A20" s="626"/>
      <c r="B20" s="353"/>
      <c r="C20" s="353"/>
      <c r="D20" s="353"/>
      <c r="E20" s="353"/>
      <c r="F20" s="353"/>
      <c r="G20" s="353"/>
      <c r="H20" s="353"/>
      <c r="I20" s="353"/>
      <c r="J20" s="353"/>
      <c r="K20" s="353"/>
      <c r="L20" s="345"/>
    </row>
  </sheetData>
  <sheetProtection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  <x14:dataValidation type="list" allowBlank="1" showInputMessage="1" showErrorMessage="1">
          <x14:formula1>
            <xm:f>ThietLap!$X$2:$X$6</xm:f>
          </x14:formula1>
          <xm:sqref>E17:K17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08"/>
  <sheetViews>
    <sheetView workbookViewId="0">
      <selection activeCell="D19" sqref="D19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48" customHeight="1"/>
    <row r="2" spans="1:11" ht="18.75">
      <c r="A2" s="632" t="s">
        <v>634</v>
      </c>
      <c r="B2" s="633"/>
      <c r="C2" s="633"/>
      <c r="D2" s="633"/>
      <c r="E2" s="633"/>
      <c r="F2" s="633"/>
      <c r="G2" s="633"/>
      <c r="H2" s="634"/>
    </row>
    <row r="3" spans="1:11">
      <c r="A3" s="587" t="s">
        <v>9</v>
      </c>
      <c r="B3" s="631" t="s">
        <v>621</v>
      </c>
      <c r="C3" s="631" t="s">
        <v>622</v>
      </c>
      <c r="D3" s="635" t="s">
        <v>165</v>
      </c>
      <c r="E3" s="635"/>
      <c r="F3" s="631" t="s">
        <v>623</v>
      </c>
      <c r="G3" s="631" t="s">
        <v>635</v>
      </c>
      <c r="H3" s="631" t="s">
        <v>220</v>
      </c>
    </row>
    <row r="4" spans="1:11">
      <c r="A4" s="588"/>
      <c r="B4" s="631"/>
      <c r="C4" s="631"/>
      <c r="D4" s="126" t="s">
        <v>166</v>
      </c>
      <c r="E4" s="127" t="s">
        <v>167</v>
      </c>
      <c r="F4" s="631"/>
      <c r="G4" s="631"/>
      <c r="H4" s="631"/>
    </row>
    <row r="5" spans="1:11">
      <c r="A5" s="239" t="s">
        <v>725</v>
      </c>
      <c r="B5" s="239" t="s">
        <v>728</v>
      </c>
      <c r="C5" s="239" t="s">
        <v>730</v>
      </c>
      <c r="D5" s="240">
        <v>41275</v>
      </c>
      <c r="E5" s="240">
        <v>41640</v>
      </c>
      <c r="F5" s="239" t="s">
        <v>688</v>
      </c>
      <c r="G5" s="239" t="s">
        <v>731</v>
      </c>
      <c r="H5" s="239" t="s">
        <v>148</v>
      </c>
      <c r="K5" s="273"/>
    </row>
    <row r="6" spans="1:11">
      <c r="A6" s="239" t="s">
        <v>548</v>
      </c>
      <c r="B6" s="239" t="s">
        <v>654</v>
      </c>
      <c r="C6" s="239" t="s">
        <v>655</v>
      </c>
      <c r="D6" s="240">
        <v>43832</v>
      </c>
      <c r="E6" s="240">
        <v>44208</v>
      </c>
      <c r="F6" s="239" t="s">
        <v>648</v>
      </c>
      <c r="G6" s="239" t="s">
        <v>649</v>
      </c>
      <c r="H6" s="239" t="s">
        <v>655</v>
      </c>
      <c r="K6" s="273"/>
    </row>
    <row r="7" spans="1:11">
      <c r="A7" s="239" t="s">
        <v>548</v>
      </c>
      <c r="B7" s="239" t="s">
        <v>646</v>
      </c>
      <c r="C7" s="239" t="s">
        <v>647</v>
      </c>
      <c r="D7" s="240">
        <v>43832</v>
      </c>
      <c r="E7" s="240">
        <v>44210</v>
      </c>
      <c r="F7" s="239" t="s">
        <v>648</v>
      </c>
      <c r="G7" s="239" t="s">
        <v>649</v>
      </c>
      <c r="H7" s="239" t="s">
        <v>650</v>
      </c>
      <c r="K7" s="273"/>
    </row>
    <row r="8" spans="1:11">
      <c r="A8" s="239" t="s">
        <v>656</v>
      </c>
      <c r="B8" s="239" t="s">
        <v>657</v>
      </c>
      <c r="C8" s="239" t="s">
        <v>658</v>
      </c>
      <c r="D8" s="240">
        <v>44352</v>
      </c>
      <c r="E8" s="240">
        <v>44354</v>
      </c>
      <c r="F8" s="239" t="s">
        <v>659</v>
      </c>
      <c r="G8" s="239" t="s">
        <v>660</v>
      </c>
      <c r="H8" s="239" t="s">
        <v>661</v>
      </c>
      <c r="K8" s="273"/>
    </row>
    <row r="9" spans="1:11">
      <c r="A9" s="239" t="s">
        <v>656</v>
      </c>
      <c r="B9" s="239" t="s">
        <v>657</v>
      </c>
      <c r="C9" s="239" t="s">
        <v>658</v>
      </c>
      <c r="D9" s="240">
        <v>44352</v>
      </c>
      <c r="E9" s="240">
        <v>44354</v>
      </c>
      <c r="F9" s="239" t="s">
        <v>659</v>
      </c>
      <c r="G9" s="239" t="s">
        <v>660</v>
      </c>
      <c r="H9" s="239" t="s">
        <v>661</v>
      </c>
      <c r="K9" s="273"/>
    </row>
    <row r="10" spans="1:11">
      <c r="A10" s="239" t="s">
        <v>656</v>
      </c>
      <c r="B10" s="239" t="s">
        <v>657</v>
      </c>
      <c r="C10" s="239" t="s">
        <v>658</v>
      </c>
      <c r="D10" s="240">
        <v>44352</v>
      </c>
      <c r="E10" s="240">
        <v>44354</v>
      </c>
      <c r="F10" s="239" t="s">
        <v>659</v>
      </c>
      <c r="G10" s="239" t="s">
        <v>660</v>
      </c>
      <c r="H10" s="239" t="s">
        <v>661</v>
      </c>
    </row>
    <row r="11" spans="1:11">
      <c r="A11" s="239" t="s">
        <v>656</v>
      </c>
      <c r="B11" s="239" t="s">
        <v>657</v>
      </c>
      <c r="C11" s="239" t="s">
        <v>658</v>
      </c>
      <c r="D11" s="240">
        <v>44352</v>
      </c>
      <c r="E11" s="240">
        <v>44354</v>
      </c>
      <c r="F11" s="239" t="s">
        <v>659</v>
      </c>
      <c r="G11" s="239" t="s">
        <v>660</v>
      </c>
      <c r="H11" s="239" t="s">
        <v>661</v>
      </c>
    </row>
    <row r="12" spans="1:11">
      <c r="A12" s="239" t="s">
        <v>548</v>
      </c>
      <c r="B12" s="239" t="s">
        <v>654</v>
      </c>
      <c r="C12" s="239" t="s">
        <v>655</v>
      </c>
      <c r="D12" s="240">
        <v>43832</v>
      </c>
      <c r="E12" s="240">
        <v>44209</v>
      </c>
      <c r="F12" s="239" t="s">
        <v>648</v>
      </c>
      <c r="G12" s="239" t="s">
        <v>649</v>
      </c>
      <c r="H12" s="239" t="s">
        <v>650</v>
      </c>
    </row>
    <row r="13" spans="1:11">
      <c r="A13" s="239"/>
      <c r="B13" s="239"/>
      <c r="C13" s="239"/>
      <c r="D13" s="240"/>
      <c r="E13" s="240"/>
      <c r="F13" s="239"/>
      <c r="G13" s="239"/>
      <c r="H13" s="239"/>
    </row>
    <row r="14" spans="1:11">
      <c r="A14" s="239"/>
      <c r="B14" s="239"/>
      <c r="C14" s="239"/>
      <c r="D14" s="240"/>
      <c r="E14" s="240"/>
      <c r="F14" s="239"/>
      <c r="G14" s="239"/>
      <c r="H14" s="239"/>
    </row>
    <row r="15" spans="1:11">
      <c r="A15" s="239"/>
      <c r="B15" s="239"/>
      <c r="C15" s="239"/>
      <c r="D15" s="239"/>
      <c r="E15" s="239"/>
      <c r="F15" s="239"/>
      <c r="G15" s="239"/>
      <c r="H15" s="239"/>
    </row>
    <row r="16" spans="1:11">
      <c r="A16" s="239"/>
      <c r="B16" s="239"/>
      <c r="C16" s="239"/>
      <c r="D16" s="239"/>
      <c r="E16" s="239"/>
      <c r="F16" s="239"/>
      <c r="G16" s="239"/>
      <c r="H16" s="239"/>
    </row>
    <row r="17" spans="1:8">
      <c r="A17" s="239"/>
      <c r="B17" s="239"/>
      <c r="C17" s="239"/>
      <c r="D17" s="239"/>
      <c r="E17" s="239"/>
      <c r="F17" s="239"/>
      <c r="G17" s="239"/>
      <c r="H17" s="239"/>
    </row>
    <row r="18" spans="1:8">
      <c r="A18" s="239"/>
      <c r="B18" s="239"/>
      <c r="C18" s="239"/>
      <c r="D18" s="239"/>
      <c r="E18" s="239"/>
      <c r="F18" s="239"/>
      <c r="G18" s="239"/>
      <c r="H18" s="239"/>
    </row>
    <row r="19" spans="1:8">
      <c r="A19" s="239"/>
      <c r="B19" s="239"/>
      <c r="C19" s="239"/>
      <c r="D19" s="239"/>
      <c r="E19" s="239"/>
      <c r="F19" s="239"/>
      <c r="G19" s="239"/>
      <c r="H19" s="239"/>
    </row>
    <row r="20" spans="1:8">
      <c r="A20" s="239"/>
      <c r="B20" s="239"/>
      <c r="C20" s="239"/>
      <c r="D20" s="239"/>
      <c r="E20" s="239"/>
      <c r="F20" s="239"/>
      <c r="G20" s="239"/>
      <c r="H20" s="239"/>
    </row>
    <row r="21" spans="1:8">
      <c r="A21" s="239"/>
      <c r="B21" s="239"/>
      <c r="C21" s="239"/>
      <c r="D21" s="239"/>
      <c r="E21" s="239"/>
      <c r="F21" s="239"/>
      <c r="G21" s="239"/>
      <c r="H21" s="239"/>
    </row>
    <row r="22" spans="1:8">
      <c r="A22" s="239"/>
      <c r="B22" s="239"/>
      <c r="C22" s="239"/>
      <c r="D22" s="239"/>
      <c r="E22" s="239"/>
      <c r="F22" s="239"/>
      <c r="G22" s="239"/>
      <c r="H22" s="239"/>
    </row>
    <row r="23" spans="1:8">
      <c r="A23" s="239"/>
      <c r="B23" s="239"/>
      <c r="C23" s="239"/>
      <c r="D23" s="239"/>
      <c r="E23" s="239"/>
      <c r="F23" s="239"/>
      <c r="G23" s="239"/>
      <c r="H23" s="239"/>
    </row>
    <row r="24" spans="1:8">
      <c r="A24" s="239"/>
      <c r="B24" s="239"/>
      <c r="C24" s="239"/>
      <c r="D24" s="239"/>
      <c r="E24" s="239"/>
      <c r="F24" s="239"/>
      <c r="G24" s="239"/>
      <c r="H24" s="239"/>
    </row>
    <row r="25" spans="1:8">
      <c r="A25" s="239"/>
      <c r="B25" s="239"/>
      <c r="C25" s="239"/>
      <c r="D25" s="239"/>
      <c r="E25" s="239"/>
      <c r="F25" s="239"/>
      <c r="G25" s="239"/>
      <c r="H25" s="239"/>
    </row>
    <row r="26" spans="1:8">
      <c r="A26" s="239"/>
      <c r="B26" s="239"/>
      <c r="C26" s="239"/>
      <c r="D26" s="239"/>
      <c r="E26" s="239"/>
      <c r="F26" s="239"/>
      <c r="G26" s="239"/>
      <c r="H26" s="239"/>
    </row>
    <row r="27" spans="1:8">
      <c r="A27" s="239"/>
      <c r="B27" s="239"/>
      <c r="C27" s="239"/>
      <c r="D27" s="239"/>
      <c r="E27" s="239"/>
      <c r="F27" s="239"/>
      <c r="G27" s="239"/>
      <c r="H27" s="239"/>
    </row>
    <row r="28" spans="1:8">
      <c r="A28" s="239"/>
      <c r="B28" s="239"/>
      <c r="C28" s="239"/>
      <c r="D28" s="239"/>
      <c r="E28" s="239"/>
      <c r="F28" s="239"/>
      <c r="G28" s="239"/>
      <c r="H28" s="239"/>
    </row>
    <row r="29" spans="1:8">
      <c r="A29" s="239"/>
      <c r="B29" s="239"/>
      <c r="C29" s="239"/>
      <c r="D29" s="239"/>
      <c r="E29" s="239"/>
      <c r="F29" s="239"/>
      <c r="G29" s="239"/>
      <c r="H29" s="239"/>
    </row>
    <row r="30" spans="1:8">
      <c r="A30" s="239"/>
      <c r="B30" s="239"/>
      <c r="C30" s="239"/>
      <c r="D30" s="239"/>
      <c r="E30" s="239"/>
      <c r="F30" s="239"/>
      <c r="G30" s="239"/>
      <c r="H30" s="239"/>
    </row>
    <row r="31" spans="1:8">
      <c r="A31" s="239"/>
      <c r="B31" s="239"/>
      <c r="C31" s="239"/>
      <c r="D31" s="239"/>
      <c r="E31" s="239"/>
      <c r="F31" s="239"/>
      <c r="G31" s="239"/>
      <c r="H31" s="239"/>
    </row>
    <row r="32" spans="1:8">
      <c r="A32" s="239"/>
      <c r="B32" s="239"/>
      <c r="C32" s="239"/>
      <c r="D32" s="239"/>
      <c r="E32" s="239"/>
      <c r="F32" s="239"/>
      <c r="G32" s="239"/>
      <c r="H32" s="239"/>
    </row>
    <row r="33" spans="1:8">
      <c r="A33" s="239"/>
      <c r="B33" s="239"/>
      <c r="C33" s="239"/>
      <c r="D33" s="239"/>
      <c r="E33" s="239"/>
      <c r="F33" s="239"/>
      <c r="G33" s="239"/>
      <c r="H33" s="239"/>
    </row>
    <row r="34" spans="1:8">
      <c r="A34" s="239"/>
      <c r="B34" s="239"/>
      <c r="C34" s="239"/>
      <c r="D34" s="239"/>
      <c r="E34" s="239"/>
      <c r="F34" s="239"/>
      <c r="G34" s="239"/>
      <c r="H34" s="239"/>
    </row>
    <row r="35" spans="1:8">
      <c r="A35" s="239"/>
      <c r="B35" s="239"/>
      <c r="C35" s="239"/>
      <c r="D35" s="239"/>
      <c r="E35" s="239"/>
      <c r="F35" s="239"/>
      <c r="G35" s="239"/>
      <c r="H35" s="239"/>
    </row>
    <row r="36" spans="1:8">
      <c r="A36" s="239"/>
      <c r="B36" s="239"/>
      <c r="C36" s="239"/>
      <c r="D36" s="239"/>
      <c r="E36" s="239"/>
      <c r="F36" s="239"/>
      <c r="G36" s="239"/>
      <c r="H36" s="239"/>
    </row>
    <row r="37" spans="1:8">
      <c r="A37" s="239"/>
      <c r="B37" s="239"/>
      <c r="C37" s="239"/>
      <c r="D37" s="239"/>
      <c r="E37" s="239"/>
      <c r="F37" s="239"/>
      <c r="G37" s="239"/>
      <c r="H37" s="239"/>
    </row>
    <row r="38" spans="1:8">
      <c r="A38" s="239"/>
      <c r="B38" s="239"/>
      <c r="C38" s="239"/>
      <c r="D38" s="239"/>
      <c r="E38" s="239"/>
      <c r="F38" s="239"/>
      <c r="G38" s="239"/>
      <c r="H38" s="239"/>
    </row>
    <row r="39" spans="1:8">
      <c r="A39" s="239"/>
      <c r="B39" s="239"/>
      <c r="C39" s="239"/>
      <c r="D39" s="239"/>
      <c r="E39" s="239"/>
      <c r="F39" s="239"/>
      <c r="G39" s="239"/>
      <c r="H39" s="239"/>
    </row>
    <row r="40" spans="1:8">
      <c r="A40" s="239"/>
      <c r="B40" s="239"/>
      <c r="C40" s="239"/>
      <c r="D40" s="239"/>
      <c r="E40" s="239"/>
      <c r="F40" s="239"/>
      <c r="G40" s="239"/>
      <c r="H40" s="239"/>
    </row>
    <row r="41" spans="1:8">
      <c r="A41" s="239"/>
      <c r="B41" s="239"/>
      <c r="C41" s="239"/>
      <c r="D41" s="239"/>
      <c r="E41" s="239"/>
      <c r="F41" s="239"/>
      <c r="G41" s="239"/>
      <c r="H41" s="239"/>
    </row>
    <row r="42" spans="1:8">
      <c r="A42" s="239"/>
      <c r="B42" s="239"/>
      <c r="C42" s="239"/>
      <c r="D42" s="239"/>
      <c r="E42" s="239"/>
      <c r="F42" s="239"/>
      <c r="G42" s="239"/>
      <c r="H42" s="239"/>
    </row>
    <row r="43" spans="1:8">
      <c r="A43" s="239"/>
      <c r="B43" s="239"/>
      <c r="C43" s="239"/>
      <c r="D43" s="239"/>
      <c r="E43" s="239"/>
      <c r="F43" s="239"/>
      <c r="G43" s="239"/>
      <c r="H43" s="239"/>
    </row>
    <row r="44" spans="1:8">
      <c r="A44" s="239"/>
      <c r="B44" s="239"/>
      <c r="C44" s="239"/>
      <c r="D44" s="239"/>
      <c r="E44" s="239"/>
      <c r="F44" s="239"/>
      <c r="G44" s="239"/>
      <c r="H44" s="239"/>
    </row>
    <row r="45" spans="1:8">
      <c r="A45" s="239"/>
      <c r="B45" s="239"/>
      <c r="C45" s="239"/>
      <c r="D45" s="239"/>
      <c r="E45" s="239"/>
      <c r="F45" s="239"/>
      <c r="G45" s="239"/>
      <c r="H45" s="239"/>
    </row>
    <row r="46" spans="1:8">
      <c r="A46" s="239"/>
      <c r="B46" s="239"/>
      <c r="C46" s="239"/>
      <c r="D46" s="239"/>
      <c r="E46" s="239"/>
      <c r="F46" s="239"/>
      <c r="G46" s="239"/>
      <c r="H46" s="239"/>
    </row>
    <row r="47" spans="1:8">
      <c r="A47" s="239"/>
      <c r="B47" s="239"/>
      <c r="C47" s="239"/>
      <c r="D47" s="239"/>
      <c r="E47" s="239"/>
      <c r="F47" s="239"/>
      <c r="G47" s="239"/>
      <c r="H47" s="239"/>
    </row>
    <row r="48" spans="1:8">
      <c r="A48" s="239"/>
      <c r="B48" s="239"/>
      <c r="C48" s="239"/>
      <c r="D48" s="239"/>
      <c r="E48" s="239"/>
      <c r="F48" s="239"/>
      <c r="G48" s="239"/>
      <c r="H48" s="239"/>
    </row>
    <row r="49" spans="1:8">
      <c r="A49" s="239"/>
      <c r="B49" s="239"/>
      <c r="C49" s="239"/>
      <c r="D49" s="239"/>
      <c r="E49" s="239"/>
      <c r="F49" s="239"/>
      <c r="G49" s="239"/>
      <c r="H49" s="239"/>
    </row>
    <row r="50" spans="1:8">
      <c r="A50" s="239"/>
      <c r="B50" s="239"/>
      <c r="C50" s="239"/>
      <c r="D50" s="239"/>
      <c r="E50" s="239"/>
      <c r="F50" s="239"/>
      <c r="G50" s="239"/>
      <c r="H50" s="239"/>
    </row>
    <row r="51" spans="1:8">
      <c r="A51" s="239"/>
      <c r="B51" s="239"/>
      <c r="C51" s="239"/>
      <c r="D51" s="239"/>
      <c r="E51" s="239"/>
      <c r="F51" s="239"/>
      <c r="G51" s="239"/>
      <c r="H51" s="239"/>
    </row>
    <row r="52" spans="1:8">
      <c r="A52" s="239"/>
      <c r="B52" s="239"/>
      <c r="C52" s="239"/>
      <c r="D52" s="239"/>
      <c r="E52" s="239"/>
      <c r="F52" s="239"/>
      <c r="G52" s="239"/>
      <c r="H52" s="239"/>
    </row>
    <row r="53" spans="1:8">
      <c r="A53" s="239"/>
      <c r="B53" s="239"/>
      <c r="C53" s="239"/>
      <c r="D53" s="239"/>
      <c r="E53" s="239"/>
      <c r="F53" s="239"/>
      <c r="G53" s="239"/>
      <c r="H53" s="239"/>
    </row>
    <row r="54" spans="1:8">
      <c r="A54" s="239"/>
      <c r="B54" s="239"/>
      <c r="C54" s="239"/>
      <c r="D54" s="239"/>
      <c r="E54" s="239"/>
      <c r="F54" s="239"/>
      <c r="G54" s="239"/>
      <c r="H54" s="239"/>
    </row>
    <row r="55" spans="1:8">
      <c r="A55" s="239"/>
      <c r="B55" s="239"/>
      <c r="C55" s="239"/>
      <c r="D55" s="239"/>
      <c r="E55" s="239"/>
      <c r="F55" s="239"/>
      <c r="G55" s="239"/>
      <c r="H55" s="239"/>
    </row>
    <row r="56" spans="1:8">
      <c r="A56" s="239"/>
      <c r="B56" s="239"/>
      <c r="C56" s="239"/>
      <c r="D56" s="239"/>
      <c r="E56" s="239"/>
      <c r="F56" s="239"/>
      <c r="G56" s="239"/>
      <c r="H56" s="239"/>
    </row>
    <row r="57" spans="1:8">
      <c r="A57" s="239"/>
      <c r="B57" s="239"/>
      <c r="C57" s="239"/>
      <c r="D57" s="239"/>
      <c r="E57" s="239"/>
      <c r="F57" s="239"/>
      <c r="G57" s="239"/>
      <c r="H57" s="239"/>
    </row>
    <row r="58" spans="1:8">
      <c r="A58" s="239"/>
      <c r="B58" s="239"/>
      <c r="C58" s="239"/>
      <c r="D58" s="239"/>
      <c r="E58" s="239"/>
      <c r="F58" s="239"/>
      <c r="G58" s="239"/>
      <c r="H58" s="239"/>
    </row>
    <row r="59" spans="1:8">
      <c r="A59" s="239"/>
      <c r="B59" s="239"/>
      <c r="C59" s="239"/>
      <c r="D59" s="239"/>
      <c r="E59" s="239"/>
      <c r="F59" s="239"/>
      <c r="G59" s="239"/>
      <c r="H59" s="239"/>
    </row>
    <row r="60" spans="1:8">
      <c r="A60" s="239"/>
      <c r="B60" s="239"/>
      <c r="C60" s="239"/>
      <c r="D60" s="239"/>
      <c r="E60" s="239"/>
      <c r="F60" s="239"/>
      <c r="G60" s="239"/>
      <c r="H60" s="239"/>
    </row>
    <row r="61" spans="1:8">
      <c r="A61" s="239"/>
      <c r="B61" s="239"/>
      <c r="C61" s="239"/>
      <c r="D61" s="239"/>
      <c r="E61" s="239"/>
      <c r="F61" s="239"/>
      <c r="G61" s="239"/>
      <c r="H61" s="239"/>
    </row>
    <row r="62" spans="1:8">
      <c r="A62" s="239"/>
      <c r="B62" s="239"/>
      <c r="C62" s="239"/>
      <c r="D62" s="239"/>
      <c r="E62" s="239"/>
      <c r="F62" s="239"/>
      <c r="G62" s="239"/>
      <c r="H62" s="239"/>
    </row>
    <row r="63" spans="1:8">
      <c r="A63" s="239"/>
      <c r="B63" s="239"/>
      <c r="C63" s="239"/>
      <c r="D63" s="239"/>
      <c r="E63" s="239"/>
      <c r="F63" s="239"/>
      <c r="G63" s="239"/>
      <c r="H63" s="239"/>
    </row>
    <row r="64" spans="1:8">
      <c r="A64" s="239"/>
      <c r="B64" s="239"/>
      <c r="C64" s="239"/>
      <c r="D64" s="239"/>
      <c r="E64" s="239"/>
      <c r="F64" s="239"/>
      <c r="G64" s="239"/>
      <c r="H64" s="239"/>
    </row>
    <row r="65" spans="1:8">
      <c r="A65" s="239"/>
      <c r="B65" s="239"/>
      <c r="C65" s="239"/>
      <c r="D65" s="239"/>
      <c r="E65" s="239"/>
      <c r="F65" s="239"/>
      <c r="G65" s="239"/>
      <c r="H65" s="239"/>
    </row>
    <row r="66" spans="1:8">
      <c r="A66" s="239"/>
      <c r="B66" s="239"/>
      <c r="C66" s="239"/>
      <c r="D66" s="239"/>
      <c r="E66" s="239"/>
      <c r="F66" s="239"/>
      <c r="G66" s="239"/>
      <c r="H66" s="239"/>
    </row>
    <row r="67" spans="1:8">
      <c r="A67" s="239"/>
      <c r="B67" s="239"/>
      <c r="C67" s="239"/>
      <c r="D67" s="239"/>
      <c r="E67" s="239"/>
      <c r="F67" s="239"/>
      <c r="G67" s="239"/>
      <c r="H67" s="239"/>
    </row>
    <row r="68" spans="1:8">
      <c r="A68" s="239"/>
      <c r="B68" s="239"/>
      <c r="C68" s="239"/>
      <c r="D68" s="239"/>
      <c r="E68" s="239"/>
      <c r="F68" s="239"/>
      <c r="G68" s="239"/>
      <c r="H68" s="239"/>
    </row>
    <row r="69" spans="1:8">
      <c r="A69" s="239"/>
      <c r="B69" s="239"/>
      <c r="C69" s="239"/>
      <c r="D69" s="239"/>
      <c r="E69" s="239"/>
      <c r="F69" s="239"/>
      <c r="G69" s="239"/>
      <c r="H69" s="239"/>
    </row>
    <row r="70" spans="1:8">
      <c r="A70" s="239"/>
      <c r="B70" s="239"/>
      <c r="C70" s="239"/>
      <c r="D70" s="239"/>
      <c r="E70" s="239"/>
      <c r="F70" s="239"/>
      <c r="G70" s="239"/>
      <c r="H70" s="239"/>
    </row>
    <row r="71" spans="1:8">
      <c r="A71" s="239"/>
      <c r="B71" s="239"/>
      <c r="C71" s="239"/>
      <c r="D71" s="239"/>
      <c r="E71" s="239"/>
      <c r="F71" s="239"/>
      <c r="G71" s="239"/>
      <c r="H71" s="239"/>
    </row>
    <row r="72" spans="1:8">
      <c r="A72" s="239"/>
      <c r="B72" s="239"/>
      <c r="C72" s="239"/>
      <c r="D72" s="239"/>
      <c r="E72" s="239"/>
      <c r="F72" s="239"/>
      <c r="G72" s="239"/>
      <c r="H72" s="239"/>
    </row>
    <row r="73" spans="1:8">
      <c r="A73" s="239"/>
      <c r="B73" s="239"/>
      <c r="C73" s="239"/>
      <c r="D73" s="239"/>
      <c r="E73" s="239"/>
      <c r="F73" s="239"/>
      <c r="G73" s="239"/>
      <c r="H73" s="239"/>
    </row>
    <row r="74" spans="1:8">
      <c r="A74" s="239"/>
      <c r="B74" s="239"/>
      <c r="C74" s="239"/>
      <c r="D74" s="239"/>
      <c r="E74" s="239"/>
      <c r="F74" s="239"/>
      <c r="G74" s="239"/>
      <c r="H74" s="239"/>
    </row>
    <row r="75" spans="1:8">
      <c r="A75" s="239"/>
      <c r="B75" s="239"/>
      <c r="C75" s="239"/>
      <c r="D75" s="239"/>
      <c r="E75" s="239"/>
      <c r="F75" s="239"/>
      <c r="G75" s="239"/>
      <c r="H75" s="239"/>
    </row>
    <row r="76" spans="1:8">
      <c r="A76" s="239"/>
      <c r="B76" s="239"/>
      <c r="C76" s="239"/>
      <c r="D76" s="239"/>
      <c r="E76" s="239"/>
      <c r="F76" s="239"/>
      <c r="G76" s="239"/>
      <c r="H76" s="239"/>
    </row>
    <row r="77" spans="1:8">
      <c r="A77" s="239"/>
      <c r="B77" s="239"/>
      <c r="C77" s="239"/>
      <c r="D77" s="239"/>
      <c r="E77" s="239"/>
      <c r="F77" s="239"/>
      <c r="G77" s="239"/>
      <c r="H77" s="239"/>
    </row>
    <row r="78" spans="1:8">
      <c r="A78" s="239"/>
      <c r="B78" s="239"/>
      <c r="C78" s="239"/>
      <c r="D78" s="239"/>
      <c r="E78" s="239"/>
      <c r="F78" s="239"/>
      <c r="G78" s="239"/>
      <c r="H78" s="239"/>
    </row>
    <row r="79" spans="1:8">
      <c r="A79" s="239"/>
      <c r="B79" s="239"/>
      <c r="C79" s="239"/>
      <c r="D79" s="239"/>
      <c r="E79" s="239"/>
      <c r="F79" s="239"/>
      <c r="G79" s="239"/>
      <c r="H79" s="239"/>
    </row>
    <row r="80" spans="1:8">
      <c r="A80" s="239"/>
      <c r="B80" s="239"/>
      <c r="C80" s="239"/>
      <c r="D80" s="239"/>
      <c r="E80" s="239"/>
      <c r="F80" s="239"/>
      <c r="G80" s="239"/>
      <c r="H80" s="239"/>
    </row>
    <row r="81" spans="1:8">
      <c r="A81" s="239"/>
      <c r="B81" s="239"/>
      <c r="C81" s="239"/>
      <c r="D81" s="239"/>
      <c r="E81" s="239"/>
      <c r="F81" s="239"/>
      <c r="G81" s="239"/>
      <c r="H81" s="239"/>
    </row>
    <row r="82" spans="1:8">
      <c r="A82" s="239"/>
      <c r="B82" s="239"/>
      <c r="C82" s="239"/>
      <c r="D82" s="239"/>
      <c r="E82" s="239"/>
      <c r="F82" s="239"/>
      <c r="G82" s="239"/>
      <c r="H82" s="239"/>
    </row>
    <row r="83" spans="1:8">
      <c r="A83" s="239"/>
      <c r="B83" s="239"/>
      <c r="C83" s="239"/>
      <c r="D83" s="239"/>
      <c r="E83" s="239"/>
      <c r="F83" s="239"/>
      <c r="G83" s="239"/>
      <c r="H83" s="239"/>
    </row>
    <row r="84" spans="1:8">
      <c r="A84" s="239"/>
      <c r="B84" s="239"/>
      <c r="C84" s="239"/>
      <c r="D84" s="239"/>
      <c r="E84" s="239"/>
      <c r="F84" s="239"/>
      <c r="G84" s="239"/>
      <c r="H84" s="239"/>
    </row>
    <row r="85" spans="1:8">
      <c r="A85" s="239"/>
      <c r="B85" s="239"/>
      <c r="C85" s="239"/>
      <c r="D85" s="239"/>
      <c r="E85" s="239"/>
      <c r="F85" s="239"/>
      <c r="G85" s="239"/>
      <c r="H85" s="239"/>
    </row>
    <row r="86" spans="1:8">
      <c r="A86" s="239"/>
      <c r="B86" s="239"/>
      <c r="C86" s="239"/>
      <c r="D86" s="239"/>
      <c r="E86" s="239"/>
      <c r="F86" s="239"/>
      <c r="G86" s="239"/>
      <c r="H86" s="239"/>
    </row>
    <row r="87" spans="1:8">
      <c r="A87" s="239"/>
      <c r="B87" s="239"/>
      <c r="C87" s="239"/>
      <c r="D87" s="239"/>
      <c r="E87" s="239"/>
      <c r="F87" s="239"/>
      <c r="G87" s="239"/>
      <c r="H87" s="239"/>
    </row>
    <row r="88" spans="1:8">
      <c r="A88" s="239"/>
      <c r="B88" s="239"/>
      <c r="C88" s="239"/>
      <c r="D88" s="239"/>
      <c r="E88" s="239"/>
      <c r="F88" s="239"/>
      <c r="G88" s="239"/>
      <c r="H88" s="239"/>
    </row>
    <row r="89" spans="1:8">
      <c r="A89" s="239"/>
      <c r="B89" s="239"/>
      <c r="C89" s="239"/>
      <c r="D89" s="239"/>
      <c r="E89" s="239"/>
      <c r="F89" s="239"/>
      <c r="G89" s="239"/>
      <c r="H89" s="239"/>
    </row>
    <row r="90" spans="1:8">
      <c r="A90" s="239"/>
      <c r="B90" s="239"/>
      <c r="C90" s="239"/>
      <c r="D90" s="239"/>
      <c r="E90" s="239"/>
      <c r="F90" s="239"/>
      <c r="G90" s="239"/>
      <c r="H90" s="239"/>
    </row>
    <row r="91" spans="1:8">
      <c r="A91" s="239"/>
      <c r="B91" s="239"/>
      <c r="C91" s="239"/>
      <c r="D91" s="239"/>
      <c r="E91" s="239"/>
      <c r="F91" s="239"/>
      <c r="G91" s="239"/>
      <c r="H91" s="239"/>
    </row>
    <row r="92" spans="1:8">
      <c r="A92" s="239"/>
      <c r="B92" s="239"/>
      <c r="C92" s="239"/>
      <c r="D92" s="239"/>
      <c r="E92" s="239"/>
      <c r="F92" s="239"/>
      <c r="G92" s="239"/>
      <c r="H92" s="239"/>
    </row>
    <row r="93" spans="1:8">
      <c r="A93" s="239"/>
      <c r="B93" s="239"/>
      <c r="C93" s="239"/>
      <c r="D93" s="239"/>
      <c r="E93" s="239"/>
      <c r="F93" s="239"/>
      <c r="G93" s="239"/>
      <c r="H93" s="239"/>
    </row>
    <row r="94" spans="1:8">
      <c r="A94" s="239"/>
      <c r="B94" s="239"/>
      <c r="C94" s="239"/>
      <c r="D94" s="239"/>
      <c r="E94" s="239"/>
      <c r="F94" s="239"/>
      <c r="G94" s="239"/>
      <c r="H94" s="239"/>
    </row>
    <row r="95" spans="1:8">
      <c r="A95" s="239"/>
      <c r="B95" s="239"/>
      <c r="C95" s="239"/>
      <c r="D95" s="239"/>
      <c r="E95" s="239"/>
      <c r="F95" s="239"/>
      <c r="G95" s="239"/>
      <c r="H95" s="239"/>
    </row>
    <row r="96" spans="1:8">
      <c r="A96" s="239"/>
      <c r="B96" s="239"/>
      <c r="C96" s="239"/>
      <c r="D96" s="239"/>
      <c r="E96" s="239"/>
      <c r="F96" s="239"/>
      <c r="G96" s="239"/>
      <c r="H96" s="239"/>
    </row>
    <row r="97" spans="1:8">
      <c r="A97" s="239"/>
      <c r="B97" s="239"/>
      <c r="C97" s="239"/>
      <c r="D97" s="239"/>
      <c r="E97" s="239"/>
      <c r="F97" s="239"/>
      <c r="G97" s="239"/>
      <c r="H97" s="239"/>
    </row>
    <row r="98" spans="1:8">
      <c r="A98" s="239"/>
      <c r="B98" s="239"/>
      <c r="C98" s="239"/>
      <c r="D98" s="239"/>
      <c r="E98" s="239"/>
      <c r="F98" s="239"/>
      <c r="G98" s="239"/>
      <c r="H98" s="239"/>
    </row>
    <row r="99" spans="1:8">
      <c r="A99" s="239"/>
      <c r="B99" s="239"/>
      <c r="C99" s="239"/>
      <c r="D99" s="239"/>
      <c r="E99" s="239"/>
      <c r="F99" s="239"/>
      <c r="G99" s="239"/>
      <c r="H99" s="239"/>
    </row>
    <row r="100" spans="1:8">
      <c r="A100" s="239"/>
      <c r="B100" s="239"/>
      <c r="C100" s="239"/>
      <c r="D100" s="239"/>
      <c r="E100" s="239"/>
      <c r="F100" s="239"/>
      <c r="G100" s="239"/>
      <c r="H100" s="239"/>
    </row>
    <row r="101" spans="1:8">
      <c r="A101" s="239"/>
      <c r="B101" s="239"/>
      <c r="C101" s="239"/>
      <c r="D101" s="239"/>
      <c r="E101" s="239"/>
      <c r="F101" s="239"/>
      <c r="G101" s="239"/>
      <c r="H101" s="239"/>
    </row>
    <row r="102" spans="1:8">
      <c r="A102" s="239"/>
      <c r="B102" s="239"/>
      <c r="C102" s="239"/>
      <c r="D102" s="239"/>
      <c r="E102" s="239"/>
      <c r="F102" s="239"/>
      <c r="G102" s="239"/>
      <c r="H102" s="239"/>
    </row>
    <row r="103" spans="1:8">
      <c r="A103" s="239"/>
      <c r="B103" s="239"/>
      <c r="C103" s="239"/>
      <c r="D103" s="239"/>
      <c r="E103" s="239"/>
      <c r="F103" s="239"/>
      <c r="G103" s="239"/>
      <c r="H103" s="239"/>
    </row>
    <row r="104" spans="1:8">
      <c r="A104" s="239"/>
      <c r="B104" s="239"/>
      <c r="C104" s="239"/>
      <c r="D104" s="239"/>
      <c r="E104" s="239"/>
      <c r="F104" s="239"/>
      <c r="G104" s="239"/>
      <c r="H104" s="239"/>
    </row>
    <row r="105" spans="1:8">
      <c r="A105" s="239"/>
      <c r="B105" s="239"/>
      <c r="C105" s="239"/>
      <c r="D105" s="239"/>
      <c r="E105" s="239"/>
      <c r="F105" s="239"/>
      <c r="G105" s="239"/>
      <c r="H105" s="239"/>
    </row>
    <row r="106" spans="1:8">
      <c r="A106" s="239"/>
      <c r="B106" s="239"/>
      <c r="C106" s="239"/>
      <c r="D106" s="239"/>
      <c r="E106" s="239"/>
      <c r="F106" s="239"/>
      <c r="G106" s="239"/>
      <c r="H106" s="239"/>
    </row>
    <row r="107" spans="1:8">
      <c r="A107" s="239"/>
      <c r="B107" s="239"/>
      <c r="C107" s="239"/>
      <c r="D107" s="239"/>
      <c r="E107" s="239"/>
      <c r="F107" s="239"/>
      <c r="G107" s="239"/>
      <c r="H107" s="239"/>
    </row>
    <row r="108" spans="1:8">
      <c r="A108" s="239"/>
      <c r="B108" s="239"/>
      <c r="C108" s="239"/>
      <c r="D108" s="239"/>
      <c r="E108" s="239"/>
      <c r="F108" s="239"/>
      <c r="G108" s="239"/>
      <c r="H108" s="239"/>
    </row>
    <row r="109" spans="1:8">
      <c r="A109" s="239"/>
      <c r="B109" s="239"/>
      <c r="C109" s="239"/>
      <c r="D109" s="239"/>
      <c r="E109" s="239"/>
      <c r="F109" s="239"/>
      <c r="G109" s="239"/>
      <c r="H109" s="239"/>
    </row>
    <row r="110" spans="1:8">
      <c r="A110" s="239"/>
      <c r="B110" s="239"/>
      <c r="C110" s="239"/>
      <c r="D110" s="239"/>
      <c r="E110" s="239"/>
      <c r="F110" s="239"/>
      <c r="G110" s="239"/>
      <c r="H110" s="239"/>
    </row>
    <row r="111" spans="1:8">
      <c r="A111" s="239"/>
      <c r="B111" s="239"/>
      <c r="C111" s="239"/>
      <c r="D111" s="239"/>
      <c r="E111" s="239"/>
      <c r="F111" s="239"/>
      <c r="G111" s="239"/>
      <c r="H111" s="239"/>
    </row>
    <row r="112" spans="1:8">
      <c r="A112" s="239"/>
      <c r="B112" s="239"/>
      <c r="C112" s="239"/>
      <c r="D112" s="239"/>
      <c r="E112" s="239"/>
      <c r="F112" s="239"/>
      <c r="G112" s="239"/>
      <c r="H112" s="239"/>
    </row>
    <row r="113" spans="1:8">
      <c r="A113" s="239"/>
      <c r="B113" s="239"/>
      <c r="C113" s="239"/>
      <c r="D113" s="239"/>
      <c r="E113" s="239"/>
      <c r="F113" s="239"/>
      <c r="G113" s="239"/>
      <c r="H113" s="239"/>
    </row>
    <row r="114" spans="1:8">
      <c r="A114" s="239"/>
      <c r="B114" s="239"/>
      <c r="C114" s="239"/>
      <c r="D114" s="239"/>
      <c r="E114" s="239"/>
      <c r="F114" s="239"/>
      <c r="G114" s="239"/>
      <c r="H114" s="239"/>
    </row>
    <row r="115" spans="1:8">
      <c r="A115" s="239"/>
      <c r="B115" s="239"/>
      <c r="C115" s="239"/>
      <c r="D115" s="239"/>
      <c r="E115" s="239"/>
      <c r="F115" s="239"/>
      <c r="G115" s="239"/>
      <c r="H115" s="239"/>
    </row>
    <row r="116" spans="1:8">
      <c r="A116" s="239"/>
      <c r="B116" s="239"/>
      <c r="C116" s="239"/>
      <c r="D116" s="239"/>
      <c r="E116" s="239"/>
      <c r="F116" s="239"/>
      <c r="G116" s="239"/>
      <c r="H116" s="239"/>
    </row>
    <row r="117" spans="1:8">
      <c r="A117" s="239"/>
      <c r="B117" s="239"/>
      <c r="C117" s="239"/>
      <c r="D117" s="239"/>
      <c r="E117" s="239"/>
      <c r="F117" s="239"/>
      <c r="G117" s="239"/>
      <c r="H117" s="239"/>
    </row>
    <row r="118" spans="1:8">
      <c r="A118" s="239"/>
      <c r="B118" s="239"/>
      <c r="C118" s="239"/>
      <c r="D118" s="239"/>
      <c r="E118" s="239"/>
      <c r="F118" s="239"/>
      <c r="G118" s="239"/>
      <c r="H118" s="239"/>
    </row>
    <row r="119" spans="1:8">
      <c r="A119" s="239"/>
      <c r="B119" s="239"/>
      <c r="C119" s="239"/>
      <c r="D119" s="239"/>
      <c r="E119" s="239"/>
      <c r="F119" s="239"/>
      <c r="G119" s="239"/>
      <c r="H119" s="239"/>
    </row>
    <row r="120" spans="1:8">
      <c r="A120" s="239"/>
      <c r="B120" s="239"/>
      <c r="C120" s="239"/>
      <c r="D120" s="239"/>
      <c r="E120" s="239"/>
      <c r="F120" s="239"/>
      <c r="G120" s="239"/>
      <c r="H120" s="239"/>
    </row>
    <row r="121" spans="1:8">
      <c r="A121" s="239"/>
      <c r="B121" s="239"/>
      <c r="C121" s="239"/>
      <c r="D121" s="239"/>
      <c r="E121" s="239"/>
      <c r="F121" s="239"/>
      <c r="G121" s="239"/>
      <c r="H121" s="239"/>
    </row>
    <row r="122" spans="1:8">
      <c r="A122" s="239"/>
      <c r="B122" s="239"/>
      <c r="C122" s="239"/>
      <c r="D122" s="239"/>
      <c r="E122" s="239"/>
      <c r="F122" s="239"/>
      <c r="G122" s="239"/>
      <c r="H122" s="239"/>
    </row>
    <row r="123" spans="1:8">
      <c r="A123" s="239"/>
      <c r="B123" s="239"/>
      <c r="C123" s="239"/>
      <c r="D123" s="239"/>
      <c r="E123" s="239"/>
      <c r="F123" s="239"/>
      <c r="G123" s="239"/>
      <c r="H123" s="239"/>
    </row>
    <row r="124" spans="1:8">
      <c r="A124" s="239"/>
      <c r="B124" s="239"/>
      <c r="C124" s="239"/>
      <c r="D124" s="239"/>
      <c r="E124" s="239"/>
      <c r="F124" s="239"/>
      <c r="G124" s="239"/>
      <c r="H124" s="239"/>
    </row>
    <row r="125" spans="1:8">
      <c r="A125" s="239"/>
      <c r="B125" s="239"/>
      <c r="C125" s="239"/>
      <c r="D125" s="239"/>
      <c r="E125" s="239"/>
      <c r="F125" s="239"/>
      <c r="G125" s="239"/>
      <c r="H125" s="239"/>
    </row>
    <row r="126" spans="1:8">
      <c r="A126" s="239"/>
      <c r="B126" s="239"/>
      <c r="C126" s="239"/>
      <c r="D126" s="239"/>
      <c r="E126" s="239"/>
      <c r="F126" s="239"/>
      <c r="G126" s="239"/>
      <c r="H126" s="239"/>
    </row>
    <row r="127" spans="1:8">
      <c r="A127" s="239"/>
      <c r="B127" s="239"/>
      <c r="C127" s="239"/>
      <c r="D127" s="239"/>
      <c r="E127" s="239"/>
      <c r="F127" s="239"/>
      <c r="G127" s="239"/>
      <c r="H127" s="239"/>
    </row>
    <row r="128" spans="1:8">
      <c r="A128" s="239"/>
      <c r="B128" s="239"/>
      <c r="C128" s="239"/>
      <c r="D128" s="239"/>
      <c r="E128" s="239"/>
      <c r="F128" s="239"/>
      <c r="G128" s="239"/>
      <c r="H128" s="239"/>
    </row>
    <row r="129" spans="1:8">
      <c r="A129" s="239"/>
      <c r="B129" s="239"/>
      <c r="C129" s="239"/>
      <c r="D129" s="239"/>
      <c r="E129" s="239"/>
      <c r="F129" s="239"/>
      <c r="G129" s="239"/>
      <c r="H129" s="239"/>
    </row>
    <row r="130" spans="1:8">
      <c r="A130" s="239"/>
      <c r="B130" s="239"/>
      <c r="C130" s="239"/>
      <c r="D130" s="239"/>
      <c r="E130" s="239"/>
      <c r="F130" s="239"/>
      <c r="G130" s="239"/>
      <c r="H130" s="239"/>
    </row>
    <row r="131" spans="1:8">
      <c r="A131" s="239"/>
      <c r="B131" s="239"/>
      <c r="C131" s="239"/>
      <c r="D131" s="239"/>
      <c r="E131" s="239"/>
      <c r="F131" s="239"/>
      <c r="G131" s="239"/>
      <c r="H131" s="239"/>
    </row>
    <row r="132" spans="1:8">
      <c r="A132" s="239"/>
      <c r="B132" s="239"/>
      <c r="C132" s="239"/>
      <c r="D132" s="239"/>
      <c r="E132" s="239"/>
      <c r="F132" s="239"/>
      <c r="G132" s="239"/>
      <c r="H132" s="239"/>
    </row>
    <row r="133" spans="1:8">
      <c r="A133" s="239"/>
      <c r="B133" s="239"/>
      <c r="C133" s="239"/>
      <c r="D133" s="239"/>
      <c r="E133" s="239"/>
      <c r="F133" s="239"/>
      <c r="G133" s="239"/>
      <c r="H133" s="239"/>
    </row>
    <row r="134" spans="1:8">
      <c r="A134" s="239"/>
      <c r="B134" s="239"/>
      <c r="C134" s="239"/>
      <c r="D134" s="239"/>
      <c r="E134" s="239"/>
      <c r="F134" s="239"/>
      <c r="G134" s="239"/>
      <c r="H134" s="239"/>
    </row>
    <row r="135" spans="1:8">
      <c r="A135" s="239"/>
      <c r="B135" s="239"/>
      <c r="C135" s="239"/>
      <c r="D135" s="239"/>
      <c r="E135" s="239"/>
      <c r="F135" s="239"/>
      <c r="G135" s="239"/>
      <c r="H135" s="239"/>
    </row>
    <row r="136" spans="1:8">
      <c r="A136" s="239"/>
      <c r="B136" s="239"/>
      <c r="C136" s="239"/>
      <c r="D136" s="239"/>
      <c r="E136" s="239"/>
      <c r="F136" s="239"/>
      <c r="G136" s="239"/>
      <c r="H136" s="239"/>
    </row>
    <row r="137" spans="1:8">
      <c r="A137" s="239"/>
      <c r="B137" s="239"/>
      <c r="C137" s="239"/>
      <c r="D137" s="239"/>
      <c r="E137" s="239"/>
      <c r="F137" s="239"/>
      <c r="G137" s="239"/>
      <c r="H137" s="239"/>
    </row>
    <row r="138" spans="1:8">
      <c r="A138" s="239"/>
      <c r="B138" s="239"/>
      <c r="C138" s="239"/>
      <c r="D138" s="239"/>
      <c r="E138" s="239"/>
      <c r="F138" s="239"/>
      <c r="G138" s="239"/>
      <c r="H138" s="239"/>
    </row>
    <row r="139" spans="1:8">
      <c r="A139" s="239"/>
      <c r="B139" s="239"/>
      <c r="C139" s="239"/>
      <c r="D139" s="239"/>
      <c r="E139" s="239"/>
      <c r="F139" s="239"/>
      <c r="G139" s="239"/>
      <c r="H139" s="239"/>
    </row>
    <row r="140" spans="1:8">
      <c r="A140" s="239"/>
      <c r="B140" s="239"/>
      <c r="C140" s="239"/>
      <c r="D140" s="239"/>
      <c r="E140" s="239"/>
      <c r="F140" s="239"/>
      <c r="G140" s="239"/>
      <c r="H140" s="239"/>
    </row>
    <row r="141" spans="1:8">
      <c r="A141" s="239"/>
      <c r="B141" s="239"/>
      <c r="C141" s="239"/>
      <c r="D141" s="239"/>
      <c r="E141" s="239"/>
      <c r="F141" s="239"/>
      <c r="G141" s="239"/>
      <c r="H141" s="239"/>
    </row>
    <row r="142" spans="1:8">
      <c r="A142" s="239"/>
      <c r="B142" s="239"/>
      <c r="C142" s="239"/>
      <c r="D142" s="239"/>
      <c r="E142" s="239"/>
      <c r="F142" s="239"/>
      <c r="G142" s="239"/>
      <c r="H142" s="239"/>
    </row>
    <row r="143" spans="1:8">
      <c r="A143" s="239"/>
      <c r="B143" s="239"/>
      <c r="C143" s="239"/>
      <c r="D143" s="239"/>
      <c r="E143" s="239"/>
      <c r="F143" s="239"/>
      <c r="G143" s="239"/>
      <c r="H143" s="239"/>
    </row>
    <row r="144" spans="1:8">
      <c r="A144" s="239"/>
      <c r="B144" s="239"/>
      <c r="C144" s="239"/>
      <c r="D144" s="239"/>
      <c r="E144" s="239"/>
      <c r="F144" s="239"/>
      <c r="G144" s="239"/>
      <c r="H144" s="239"/>
    </row>
    <row r="145" spans="1:8">
      <c r="A145" s="239"/>
      <c r="B145" s="239"/>
      <c r="C145" s="239"/>
      <c r="D145" s="239"/>
      <c r="E145" s="239"/>
      <c r="F145" s="239"/>
      <c r="G145" s="239"/>
      <c r="H145" s="239"/>
    </row>
    <row r="146" spans="1:8">
      <c r="A146" s="239"/>
      <c r="B146" s="239"/>
      <c r="C146" s="239"/>
      <c r="D146" s="239"/>
      <c r="E146" s="239"/>
      <c r="F146" s="239"/>
      <c r="G146" s="239"/>
      <c r="H146" s="239"/>
    </row>
    <row r="147" spans="1:8">
      <c r="A147" s="239"/>
      <c r="B147" s="239"/>
      <c r="C147" s="239"/>
      <c r="D147" s="239"/>
      <c r="E147" s="239"/>
      <c r="F147" s="239"/>
      <c r="G147" s="239"/>
      <c r="H147" s="239"/>
    </row>
    <row r="148" spans="1:8">
      <c r="A148" s="239"/>
      <c r="B148" s="239"/>
      <c r="C148" s="239"/>
      <c r="D148" s="239"/>
      <c r="E148" s="239"/>
      <c r="F148" s="239"/>
      <c r="G148" s="239"/>
      <c r="H148" s="239"/>
    </row>
    <row r="149" spans="1:8">
      <c r="A149" s="239"/>
      <c r="B149" s="239"/>
      <c r="C149" s="239"/>
      <c r="D149" s="239"/>
      <c r="E149" s="239"/>
      <c r="F149" s="239"/>
      <c r="G149" s="239"/>
      <c r="H149" s="239"/>
    </row>
    <row r="150" spans="1:8">
      <c r="A150" s="239"/>
      <c r="B150" s="239"/>
      <c r="C150" s="239"/>
      <c r="D150" s="239"/>
      <c r="E150" s="239"/>
      <c r="F150" s="239"/>
      <c r="G150" s="239"/>
      <c r="H150" s="239"/>
    </row>
    <row r="151" spans="1:8">
      <c r="A151" s="239"/>
      <c r="B151" s="239"/>
      <c r="C151" s="239"/>
      <c r="D151" s="239"/>
      <c r="E151" s="239"/>
      <c r="F151" s="239"/>
      <c r="G151" s="239"/>
      <c r="H151" s="239"/>
    </row>
    <row r="152" spans="1:8">
      <c r="A152" s="239"/>
      <c r="B152" s="239"/>
      <c r="C152" s="239"/>
      <c r="D152" s="239"/>
      <c r="E152" s="239"/>
      <c r="F152" s="239"/>
      <c r="G152" s="239"/>
      <c r="H152" s="239"/>
    </row>
    <row r="153" spans="1:8">
      <c r="A153" s="239"/>
      <c r="B153" s="239"/>
      <c r="C153" s="239"/>
      <c r="D153" s="239"/>
      <c r="E153" s="239"/>
      <c r="F153" s="239"/>
      <c r="G153" s="239"/>
      <c r="H153" s="239"/>
    </row>
    <row r="154" spans="1:8">
      <c r="A154" s="239"/>
      <c r="B154" s="239"/>
      <c r="C154" s="239"/>
      <c r="D154" s="239"/>
      <c r="E154" s="239"/>
      <c r="F154" s="239"/>
      <c r="G154" s="239"/>
      <c r="H154" s="239"/>
    </row>
    <row r="155" spans="1:8">
      <c r="A155" s="239"/>
      <c r="B155" s="239"/>
      <c r="C155" s="239"/>
      <c r="D155" s="239"/>
      <c r="E155" s="239"/>
      <c r="F155" s="239"/>
      <c r="G155" s="239"/>
      <c r="H155" s="239"/>
    </row>
    <row r="156" spans="1:8">
      <c r="A156" s="239"/>
      <c r="B156" s="239"/>
      <c r="C156" s="239"/>
      <c r="D156" s="239"/>
      <c r="E156" s="239"/>
      <c r="F156" s="239"/>
      <c r="G156" s="239"/>
      <c r="H156" s="239"/>
    </row>
    <row r="157" spans="1:8">
      <c r="A157" s="239"/>
      <c r="B157" s="239"/>
      <c r="C157" s="239"/>
      <c r="D157" s="239"/>
      <c r="E157" s="239"/>
      <c r="F157" s="239"/>
      <c r="G157" s="239"/>
      <c r="H157" s="239"/>
    </row>
    <row r="158" spans="1:8">
      <c r="A158" s="239"/>
      <c r="B158" s="239"/>
      <c r="C158" s="239"/>
      <c r="D158" s="239"/>
      <c r="E158" s="239"/>
      <c r="F158" s="239"/>
      <c r="G158" s="239"/>
      <c r="H158" s="239"/>
    </row>
    <row r="159" spans="1:8">
      <c r="A159" s="239"/>
      <c r="B159" s="239"/>
      <c r="C159" s="239"/>
      <c r="D159" s="239"/>
      <c r="E159" s="239"/>
      <c r="F159" s="239"/>
      <c r="G159" s="239"/>
      <c r="H159" s="239"/>
    </row>
    <row r="160" spans="1:8">
      <c r="A160" s="239"/>
      <c r="B160" s="239"/>
      <c r="C160" s="239"/>
      <c r="D160" s="239"/>
      <c r="E160" s="239"/>
      <c r="F160" s="239"/>
      <c r="G160" s="239"/>
      <c r="H160" s="239"/>
    </row>
    <row r="161" spans="1:8">
      <c r="A161" s="239"/>
      <c r="B161" s="239"/>
      <c r="C161" s="239"/>
      <c r="D161" s="239"/>
      <c r="E161" s="239"/>
      <c r="F161" s="239"/>
      <c r="G161" s="239"/>
      <c r="H161" s="239"/>
    </row>
    <row r="162" spans="1:8">
      <c r="A162" s="239"/>
      <c r="B162" s="239"/>
      <c r="C162" s="239"/>
      <c r="D162" s="239"/>
      <c r="E162" s="239"/>
      <c r="F162" s="239"/>
      <c r="G162" s="239"/>
      <c r="H162" s="239"/>
    </row>
    <row r="163" spans="1:8">
      <c r="A163" s="239"/>
      <c r="B163" s="239"/>
      <c r="C163" s="239"/>
      <c r="D163" s="239"/>
      <c r="E163" s="239"/>
      <c r="F163" s="239"/>
      <c r="G163" s="239"/>
      <c r="H163" s="239"/>
    </row>
    <row r="164" spans="1:8">
      <c r="A164" s="239"/>
      <c r="B164" s="239"/>
      <c r="C164" s="239"/>
      <c r="D164" s="239"/>
      <c r="E164" s="239"/>
      <c r="F164" s="239"/>
      <c r="G164" s="239"/>
      <c r="H164" s="239"/>
    </row>
    <row r="165" spans="1:8">
      <c r="A165" s="239"/>
      <c r="B165" s="239"/>
      <c r="C165" s="239"/>
      <c r="D165" s="239"/>
      <c r="E165" s="239"/>
      <c r="F165" s="239"/>
      <c r="G165" s="239"/>
      <c r="H165" s="239"/>
    </row>
    <row r="166" spans="1:8">
      <c r="A166" s="239"/>
      <c r="B166" s="239"/>
      <c r="C166" s="239"/>
      <c r="D166" s="239"/>
      <c r="E166" s="239"/>
      <c r="F166" s="239"/>
      <c r="G166" s="239"/>
      <c r="H166" s="239"/>
    </row>
    <row r="167" spans="1:8">
      <c r="A167" s="239"/>
      <c r="B167" s="239"/>
      <c r="C167" s="239"/>
      <c r="D167" s="239"/>
      <c r="E167" s="239"/>
      <c r="F167" s="239"/>
      <c r="G167" s="239"/>
      <c r="H167" s="239"/>
    </row>
    <row r="168" spans="1:8">
      <c r="A168" s="239"/>
      <c r="B168" s="239"/>
      <c r="C168" s="239"/>
      <c r="D168" s="239"/>
      <c r="E168" s="239"/>
      <c r="F168" s="239"/>
      <c r="G168" s="239"/>
      <c r="H168" s="239"/>
    </row>
    <row r="169" spans="1:8">
      <c r="A169" s="239"/>
      <c r="B169" s="239"/>
      <c r="C169" s="239"/>
      <c r="D169" s="239"/>
      <c r="E169" s="239"/>
      <c r="F169" s="239"/>
      <c r="G169" s="239"/>
      <c r="H169" s="239"/>
    </row>
    <row r="170" spans="1:8">
      <c r="A170" s="239"/>
      <c r="B170" s="239"/>
      <c r="C170" s="239"/>
      <c r="D170" s="239"/>
      <c r="E170" s="239"/>
      <c r="F170" s="239"/>
      <c r="G170" s="239"/>
      <c r="H170" s="239"/>
    </row>
    <row r="171" spans="1:8">
      <c r="A171" s="239"/>
      <c r="B171" s="239"/>
      <c r="C171" s="239"/>
      <c r="D171" s="239"/>
      <c r="E171" s="239"/>
      <c r="F171" s="239"/>
      <c r="G171" s="239"/>
      <c r="H171" s="239"/>
    </row>
    <row r="172" spans="1:8">
      <c r="A172" s="239"/>
      <c r="B172" s="239"/>
      <c r="C172" s="239"/>
      <c r="D172" s="239"/>
      <c r="E172" s="239"/>
      <c r="F172" s="239"/>
      <c r="G172" s="239"/>
      <c r="H172" s="239"/>
    </row>
    <row r="173" spans="1:8">
      <c r="A173" s="239"/>
      <c r="B173" s="239"/>
      <c r="C173" s="239"/>
      <c r="D173" s="239"/>
      <c r="E173" s="239"/>
      <c r="F173" s="239"/>
      <c r="G173" s="239"/>
      <c r="H173" s="239"/>
    </row>
    <row r="174" spans="1:8">
      <c r="A174" s="239"/>
      <c r="B174" s="239"/>
      <c r="C174" s="239"/>
      <c r="D174" s="239"/>
      <c r="E174" s="239"/>
      <c r="F174" s="239"/>
      <c r="G174" s="239"/>
      <c r="H174" s="239"/>
    </row>
    <row r="175" spans="1:8">
      <c r="A175" s="239"/>
      <c r="B175" s="239"/>
      <c r="C175" s="239"/>
      <c r="D175" s="239"/>
      <c r="E175" s="239"/>
      <c r="F175" s="239"/>
      <c r="G175" s="239"/>
      <c r="H175" s="239"/>
    </row>
    <row r="176" spans="1:8">
      <c r="A176" s="239"/>
      <c r="B176" s="239"/>
      <c r="C176" s="239"/>
      <c r="D176" s="239"/>
      <c r="E176" s="239"/>
      <c r="F176" s="239"/>
      <c r="G176" s="239"/>
      <c r="H176" s="239"/>
    </row>
    <row r="177" spans="1:8">
      <c r="A177" s="239"/>
      <c r="B177" s="239"/>
      <c r="C177" s="239"/>
      <c r="D177" s="239"/>
      <c r="E177" s="239"/>
      <c r="F177" s="239"/>
      <c r="G177" s="239"/>
      <c r="H177" s="239"/>
    </row>
    <row r="178" spans="1:8">
      <c r="A178" s="239"/>
      <c r="B178" s="239"/>
      <c r="C178" s="239"/>
      <c r="D178" s="239"/>
      <c r="E178" s="239"/>
      <c r="F178" s="239"/>
      <c r="G178" s="239"/>
      <c r="H178" s="239"/>
    </row>
    <row r="179" spans="1:8">
      <c r="A179" s="239"/>
      <c r="B179" s="239"/>
      <c r="C179" s="239"/>
      <c r="D179" s="239"/>
      <c r="E179" s="239"/>
      <c r="F179" s="239"/>
      <c r="G179" s="239"/>
      <c r="H179" s="239"/>
    </row>
    <row r="180" spans="1:8">
      <c r="A180" s="239"/>
      <c r="B180" s="239"/>
      <c r="C180" s="239"/>
      <c r="D180" s="239"/>
      <c r="E180" s="239"/>
      <c r="F180" s="239"/>
      <c r="G180" s="239"/>
      <c r="H180" s="239"/>
    </row>
    <row r="181" spans="1:8">
      <c r="A181" s="239"/>
      <c r="B181" s="239"/>
      <c r="C181" s="239"/>
      <c r="D181" s="239"/>
      <c r="E181" s="239"/>
      <c r="F181" s="239"/>
      <c r="G181" s="239"/>
      <c r="H181" s="239"/>
    </row>
    <row r="182" spans="1:8">
      <c r="A182" s="239"/>
      <c r="B182" s="239"/>
      <c r="C182" s="239"/>
      <c r="D182" s="239"/>
      <c r="E182" s="239"/>
      <c r="F182" s="239"/>
      <c r="G182" s="239"/>
      <c r="H182" s="239"/>
    </row>
    <row r="183" spans="1:8">
      <c r="A183" s="239"/>
      <c r="B183" s="239"/>
      <c r="C183" s="239"/>
      <c r="D183" s="239"/>
      <c r="E183" s="239"/>
      <c r="F183" s="239"/>
      <c r="G183" s="239"/>
      <c r="H183" s="239"/>
    </row>
    <row r="184" spans="1:8">
      <c r="A184" s="239"/>
      <c r="B184" s="239"/>
      <c r="C184" s="239"/>
      <c r="D184" s="239"/>
      <c r="E184" s="239"/>
      <c r="F184" s="239"/>
      <c r="G184" s="239"/>
      <c r="H184" s="239"/>
    </row>
    <row r="185" spans="1:8">
      <c r="A185" s="239"/>
      <c r="B185" s="239"/>
      <c r="C185" s="239"/>
      <c r="D185" s="239"/>
      <c r="E185" s="239"/>
      <c r="F185" s="239"/>
      <c r="G185" s="239"/>
      <c r="H185" s="239"/>
    </row>
    <row r="186" spans="1:8">
      <c r="A186" s="239"/>
      <c r="B186" s="239"/>
      <c r="C186" s="239"/>
      <c r="D186" s="239"/>
      <c r="E186" s="239"/>
      <c r="F186" s="239"/>
      <c r="G186" s="239"/>
      <c r="H186" s="239"/>
    </row>
    <row r="187" spans="1:8">
      <c r="A187" s="239"/>
      <c r="B187" s="239"/>
      <c r="C187" s="239"/>
      <c r="D187" s="239"/>
      <c r="E187" s="239"/>
      <c r="F187" s="239"/>
      <c r="G187" s="239"/>
      <c r="H187" s="239"/>
    </row>
    <row r="188" spans="1:8">
      <c r="A188" s="239"/>
      <c r="B188" s="239"/>
      <c r="C188" s="239"/>
      <c r="D188" s="239"/>
      <c r="E188" s="239"/>
      <c r="F188" s="239"/>
      <c r="G188" s="239"/>
      <c r="H188" s="239"/>
    </row>
    <row r="189" spans="1:8">
      <c r="A189" s="239"/>
      <c r="B189" s="239"/>
      <c r="C189" s="239"/>
      <c r="D189" s="239"/>
      <c r="E189" s="239"/>
      <c r="F189" s="239"/>
      <c r="G189" s="239"/>
      <c r="H189" s="239"/>
    </row>
    <row r="190" spans="1:8">
      <c r="A190" s="239"/>
      <c r="B190" s="239"/>
      <c r="C190" s="239"/>
      <c r="D190" s="239"/>
      <c r="E190" s="239"/>
      <c r="F190" s="239"/>
      <c r="G190" s="239"/>
      <c r="H190" s="239"/>
    </row>
    <row r="191" spans="1:8">
      <c r="A191" s="239"/>
      <c r="B191" s="239"/>
      <c r="C191" s="239"/>
      <c r="D191" s="239"/>
      <c r="E191" s="239"/>
      <c r="F191" s="239"/>
      <c r="G191" s="239"/>
      <c r="H191" s="239"/>
    </row>
    <row r="192" spans="1:8">
      <c r="A192" s="239"/>
      <c r="B192" s="239"/>
      <c r="C192" s="239"/>
      <c r="D192" s="239"/>
      <c r="E192" s="239"/>
      <c r="F192" s="239"/>
      <c r="G192" s="239"/>
      <c r="H192" s="239"/>
    </row>
    <row r="193" spans="1:8">
      <c r="A193" s="239"/>
      <c r="B193" s="239"/>
      <c r="C193" s="239"/>
      <c r="D193" s="239"/>
      <c r="E193" s="239"/>
      <c r="F193" s="239"/>
      <c r="G193" s="239"/>
      <c r="H193" s="239"/>
    </row>
    <row r="194" spans="1:8">
      <c r="A194" s="239"/>
      <c r="B194" s="239"/>
      <c r="C194" s="239"/>
      <c r="D194" s="239"/>
      <c r="E194" s="239"/>
      <c r="F194" s="239"/>
      <c r="G194" s="239"/>
      <c r="H194" s="239"/>
    </row>
    <row r="195" spans="1:8">
      <c r="A195" s="239"/>
      <c r="B195" s="239"/>
      <c r="C195" s="239"/>
      <c r="D195" s="239"/>
      <c r="E195" s="239"/>
      <c r="F195" s="239"/>
      <c r="G195" s="239"/>
      <c r="H195" s="239"/>
    </row>
    <row r="196" spans="1:8">
      <c r="A196" s="239"/>
      <c r="B196" s="239"/>
      <c r="C196" s="239"/>
      <c r="D196" s="239"/>
      <c r="E196" s="239"/>
      <c r="F196" s="239"/>
      <c r="G196" s="239"/>
      <c r="H196" s="239"/>
    </row>
    <row r="197" spans="1:8">
      <c r="A197" s="239"/>
      <c r="B197" s="239"/>
      <c r="C197" s="239"/>
      <c r="D197" s="239"/>
      <c r="E197" s="239"/>
      <c r="F197" s="239"/>
      <c r="G197" s="239"/>
      <c r="H197" s="239"/>
    </row>
    <row r="198" spans="1:8">
      <c r="A198" s="239"/>
      <c r="B198" s="239"/>
      <c r="C198" s="239"/>
      <c r="D198" s="239"/>
      <c r="E198" s="239"/>
      <c r="F198" s="239"/>
      <c r="G198" s="239"/>
      <c r="H198" s="239"/>
    </row>
    <row r="199" spans="1:8">
      <c r="A199" s="239"/>
      <c r="B199" s="239"/>
      <c r="C199" s="239"/>
      <c r="D199" s="239"/>
      <c r="E199" s="239"/>
      <c r="F199" s="239"/>
      <c r="G199" s="239"/>
      <c r="H199" s="239"/>
    </row>
    <row r="200" spans="1:8">
      <c r="A200" s="239"/>
      <c r="B200" s="239"/>
      <c r="C200" s="239"/>
      <c r="D200" s="239"/>
      <c r="E200" s="239"/>
      <c r="F200" s="239"/>
      <c r="G200" s="239"/>
      <c r="H200" s="239"/>
    </row>
    <row r="201" spans="1:8">
      <c r="A201" s="239"/>
      <c r="B201" s="239"/>
      <c r="C201" s="239"/>
      <c r="D201" s="239"/>
      <c r="E201" s="239"/>
      <c r="F201" s="239"/>
      <c r="G201" s="239"/>
      <c r="H201" s="239"/>
    </row>
    <row r="202" spans="1:8">
      <c r="A202" s="239"/>
      <c r="B202" s="239"/>
      <c r="C202" s="239"/>
      <c r="D202" s="239"/>
      <c r="E202" s="239"/>
      <c r="F202" s="239"/>
      <c r="G202" s="239"/>
      <c r="H202" s="239"/>
    </row>
    <row r="203" spans="1:8">
      <c r="A203" s="239"/>
      <c r="B203" s="239"/>
      <c r="C203" s="239"/>
      <c r="D203" s="239"/>
      <c r="E203" s="239"/>
      <c r="F203" s="239"/>
      <c r="G203" s="239"/>
      <c r="H203" s="239"/>
    </row>
    <row r="204" spans="1:8">
      <c r="A204" s="239"/>
      <c r="B204" s="239"/>
      <c r="C204" s="239"/>
      <c r="D204" s="239"/>
      <c r="E204" s="239"/>
      <c r="F204" s="239"/>
      <c r="G204" s="239"/>
      <c r="H204" s="239"/>
    </row>
    <row r="205" spans="1:8">
      <c r="A205" s="239"/>
      <c r="B205" s="239"/>
      <c r="C205" s="239"/>
      <c r="D205" s="239"/>
      <c r="E205" s="239"/>
      <c r="F205" s="239"/>
      <c r="G205" s="239"/>
      <c r="H205" s="239"/>
    </row>
    <row r="206" spans="1:8">
      <c r="A206" s="239"/>
      <c r="B206" s="239"/>
      <c r="C206" s="239"/>
      <c r="D206" s="239"/>
      <c r="E206" s="239"/>
      <c r="F206" s="239"/>
      <c r="G206" s="239"/>
      <c r="H206" s="239"/>
    </row>
    <row r="207" spans="1:8">
      <c r="A207" s="239"/>
      <c r="B207" s="239"/>
      <c r="C207" s="239"/>
      <c r="D207" s="239"/>
      <c r="E207" s="239"/>
      <c r="F207" s="239"/>
      <c r="G207" s="239"/>
      <c r="H207" s="239"/>
    </row>
    <row r="208" spans="1:8">
      <c r="A208" s="239"/>
      <c r="B208" s="239"/>
      <c r="C208" s="239"/>
      <c r="D208" s="239"/>
      <c r="E208" s="239"/>
      <c r="F208" s="239"/>
      <c r="G208" s="239"/>
      <c r="H208" s="239"/>
    </row>
    <row r="209" spans="1:8">
      <c r="A209" s="239"/>
      <c r="B209" s="239"/>
      <c r="C209" s="239"/>
      <c r="D209" s="239"/>
      <c r="E209" s="239"/>
      <c r="F209" s="239"/>
      <c r="G209" s="239"/>
      <c r="H209" s="239"/>
    </row>
    <row r="210" spans="1:8">
      <c r="A210" s="239"/>
      <c r="B210" s="239"/>
      <c r="C210" s="239"/>
      <c r="D210" s="239"/>
      <c r="E210" s="239"/>
      <c r="F210" s="239"/>
      <c r="G210" s="239"/>
      <c r="H210" s="239"/>
    </row>
    <row r="211" spans="1:8">
      <c r="A211" s="239"/>
      <c r="B211" s="239"/>
      <c r="C211" s="239"/>
      <c r="D211" s="239"/>
      <c r="E211" s="239"/>
      <c r="F211" s="239"/>
      <c r="G211" s="239"/>
      <c r="H211" s="239"/>
    </row>
    <row r="212" spans="1:8">
      <c r="A212" s="239"/>
      <c r="B212" s="239"/>
      <c r="C212" s="239"/>
      <c r="D212" s="239"/>
      <c r="E212" s="239"/>
      <c r="F212" s="239"/>
      <c r="G212" s="239"/>
      <c r="H212" s="239"/>
    </row>
    <row r="213" spans="1:8">
      <c r="A213" s="239"/>
      <c r="B213" s="239"/>
      <c r="C213" s="239"/>
      <c r="D213" s="239"/>
      <c r="E213" s="239"/>
      <c r="F213" s="239"/>
      <c r="G213" s="239"/>
      <c r="H213" s="239"/>
    </row>
    <row r="214" spans="1:8">
      <c r="A214" s="239"/>
      <c r="B214" s="239"/>
      <c r="C214" s="239"/>
      <c r="D214" s="239"/>
      <c r="E214" s="239"/>
      <c r="F214" s="239"/>
      <c r="G214" s="239"/>
      <c r="H214" s="239"/>
    </row>
    <row r="215" spans="1:8">
      <c r="A215" s="239"/>
      <c r="B215" s="239"/>
      <c r="C215" s="239"/>
      <c r="D215" s="239"/>
      <c r="E215" s="239"/>
      <c r="F215" s="239"/>
      <c r="G215" s="239"/>
      <c r="H215" s="239"/>
    </row>
    <row r="216" spans="1:8">
      <c r="A216" s="239"/>
      <c r="B216" s="239"/>
      <c r="C216" s="239"/>
      <c r="D216" s="239"/>
      <c r="E216" s="239"/>
      <c r="F216" s="239"/>
      <c r="G216" s="239"/>
      <c r="H216" s="239"/>
    </row>
    <row r="217" spans="1:8">
      <c r="A217" s="239"/>
      <c r="B217" s="239"/>
      <c r="C217" s="239"/>
      <c r="D217" s="239"/>
      <c r="E217" s="239"/>
      <c r="F217" s="239"/>
      <c r="G217" s="239"/>
      <c r="H217" s="239"/>
    </row>
    <row r="218" spans="1:8">
      <c r="A218" s="239"/>
      <c r="B218" s="239"/>
      <c r="C218" s="239"/>
      <c r="D218" s="239"/>
      <c r="E218" s="239"/>
      <c r="F218" s="239"/>
      <c r="G218" s="239"/>
      <c r="H218" s="239"/>
    </row>
    <row r="219" spans="1:8">
      <c r="A219" s="239"/>
      <c r="B219" s="239"/>
      <c r="C219" s="239"/>
      <c r="D219" s="239"/>
      <c r="E219" s="239"/>
      <c r="F219" s="239"/>
      <c r="G219" s="239"/>
      <c r="H219" s="239"/>
    </row>
    <row r="220" spans="1:8">
      <c r="A220" s="239"/>
      <c r="B220" s="239"/>
      <c r="C220" s="239"/>
      <c r="D220" s="239"/>
      <c r="E220" s="239"/>
      <c r="F220" s="239"/>
      <c r="G220" s="239"/>
      <c r="H220" s="239"/>
    </row>
    <row r="221" spans="1:8">
      <c r="A221" s="239"/>
      <c r="B221" s="239"/>
      <c r="C221" s="239"/>
      <c r="D221" s="239"/>
      <c r="E221" s="239"/>
      <c r="F221" s="239"/>
      <c r="G221" s="239"/>
      <c r="H221" s="239"/>
    </row>
    <row r="222" spans="1:8">
      <c r="A222" s="239"/>
      <c r="B222" s="239"/>
      <c r="C222" s="239"/>
      <c r="D222" s="239"/>
      <c r="E222" s="239"/>
      <c r="F222" s="239"/>
      <c r="G222" s="239"/>
      <c r="H222" s="239"/>
    </row>
    <row r="223" spans="1:8">
      <c r="A223" s="239"/>
      <c r="B223" s="239"/>
      <c r="C223" s="239"/>
      <c r="D223" s="239"/>
      <c r="E223" s="239"/>
      <c r="F223" s="239"/>
      <c r="G223" s="239"/>
      <c r="H223" s="239"/>
    </row>
    <row r="224" spans="1:8">
      <c r="A224" s="239"/>
      <c r="B224" s="239"/>
      <c r="C224" s="239"/>
      <c r="D224" s="239"/>
      <c r="E224" s="239"/>
      <c r="F224" s="239"/>
      <c r="G224" s="239"/>
      <c r="H224" s="239"/>
    </row>
    <row r="225" spans="1:8">
      <c r="A225" s="239"/>
      <c r="B225" s="239"/>
      <c r="C225" s="239"/>
      <c r="D225" s="239"/>
      <c r="E225" s="239"/>
      <c r="F225" s="239"/>
      <c r="G225" s="239"/>
      <c r="H225" s="239"/>
    </row>
    <row r="226" spans="1:8">
      <c r="A226" s="239"/>
      <c r="B226" s="239"/>
      <c r="C226" s="239"/>
      <c r="D226" s="239"/>
      <c r="E226" s="239"/>
      <c r="F226" s="239"/>
      <c r="G226" s="239"/>
      <c r="H226" s="239"/>
    </row>
    <row r="227" spans="1:8">
      <c r="A227" s="239"/>
      <c r="B227" s="239"/>
      <c r="C227" s="239"/>
      <c r="D227" s="239"/>
      <c r="E227" s="239"/>
      <c r="F227" s="239"/>
      <c r="G227" s="239"/>
      <c r="H227" s="239"/>
    </row>
    <row r="228" spans="1:8">
      <c r="A228" s="239"/>
      <c r="B228" s="239"/>
      <c r="C228" s="239"/>
      <c r="D228" s="239"/>
      <c r="E228" s="239"/>
      <c r="F228" s="239"/>
      <c r="G228" s="239"/>
      <c r="H228" s="239"/>
    </row>
    <row r="229" spans="1:8">
      <c r="A229" s="239"/>
      <c r="B229" s="239"/>
      <c r="C229" s="239"/>
      <c r="D229" s="239"/>
      <c r="E229" s="239"/>
      <c r="F229" s="239"/>
      <c r="G229" s="239"/>
      <c r="H229" s="239"/>
    </row>
    <row r="230" spans="1:8">
      <c r="A230" s="239"/>
      <c r="B230" s="239"/>
      <c r="C230" s="239"/>
      <c r="D230" s="239"/>
      <c r="E230" s="239"/>
      <c r="F230" s="239"/>
      <c r="G230" s="239"/>
      <c r="H230" s="239"/>
    </row>
    <row r="231" spans="1:8">
      <c r="A231" s="239"/>
      <c r="B231" s="239"/>
      <c r="C231" s="239"/>
      <c r="D231" s="239"/>
      <c r="E231" s="239"/>
      <c r="F231" s="239"/>
      <c r="G231" s="239"/>
      <c r="H231" s="239"/>
    </row>
    <row r="232" spans="1:8">
      <c r="A232" s="239"/>
      <c r="B232" s="239"/>
      <c r="C232" s="239"/>
      <c r="D232" s="239"/>
      <c r="E232" s="239"/>
      <c r="F232" s="239"/>
      <c r="G232" s="239"/>
      <c r="H232" s="239"/>
    </row>
    <row r="233" spans="1:8">
      <c r="A233" s="239"/>
      <c r="B233" s="239"/>
      <c r="C233" s="239"/>
      <c r="D233" s="239"/>
      <c r="E233" s="239"/>
      <c r="F233" s="239"/>
      <c r="G233" s="239"/>
      <c r="H233" s="239"/>
    </row>
    <row r="234" spans="1:8">
      <c r="A234" s="239"/>
      <c r="B234" s="239"/>
      <c r="C234" s="239"/>
      <c r="D234" s="239"/>
      <c r="E234" s="239"/>
      <c r="F234" s="239"/>
      <c r="G234" s="239"/>
      <c r="H234" s="239"/>
    </row>
    <row r="235" spans="1:8">
      <c r="A235" s="239"/>
      <c r="B235" s="239"/>
      <c r="C235" s="239"/>
      <c r="D235" s="239"/>
      <c r="E235" s="239"/>
      <c r="F235" s="239"/>
      <c r="G235" s="239"/>
      <c r="H235" s="239"/>
    </row>
    <row r="236" spans="1:8">
      <c r="A236" s="239"/>
      <c r="B236" s="239"/>
      <c r="C236" s="239"/>
      <c r="D236" s="239"/>
      <c r="E236" s="239"/>
      <c r="F236" s="239"/>
      <c r="G236" s="239"/>
      <c r="H236" s="239"/>
    </row>
    <row r="237" spans="1:8">
      <c r="A237" s="239"/>
      <c r="B237" s="239"/>
      <c r="C237" s="239"/>
      <c r="D237" s="239"/>
      <c r="E237" s="239"/>
      <c r="F237" s="239"/>
      <c r="G237" s="239"/>
      <c r="H237" s="239"/>
    </row>
    <row r="238" spans="1:8">
      <c r="A238" s="239"/>
      <c r="B238" s="239"/>
      <c r="C238" s="239"/>
      <c r="D238" s="239"/>
      <c r="E238" s="239"/>
      <c r="F238" s="239"/>
      <c r="G238" s="239"/>
      <c r="H238" s="239"/>
    </row>
    <row r="239" spans="1:8">
      <c r="A239" s="239"/>
      <c r="B239" s="239"/>
      <c r="C239" s="239"/>
      <c r="D239" s="239"/>
      <c r="E239" s="239"/>
      <c r="F239" s="239"/>
      <c r="G239" s="239"/>
      <c r="H239" s="239"/>
    </row>
    <row r="240" spans="1:8">
      <c r="A240" s="239"/>
      <c r="B240" s="239"/>
      <c r="C240" s="239"/>
      <c r="D240" s="239"/>
      <c r="E240" s="239"/>
      <c r="F240" s="239"/>
      <c r="G240" s="239"/>
      <c r="H240" s="239"/>
    </row>
    <row r="241" spans="1:8">
      <c r="A241" s="239"/>
      <c r="B241" s="239"/>
      <c r="C241" s="239"/>
      <c r="D241" s="239"/>
      <c r="E241" s="239"/>
      <c r="F241" s="239"/>
      <c r="G241" s="239"/>
      <c r="H241" s="239"/>
    </row>
    <row r="242" spans="1:8">
      <c r="A242" s="239"/>
      <c r="B242" s="239"/>
      <c r="C242" s="239"/>
      <c r="D242" s="239"/>
      <c r="E242" s="239"/>
      <c r="F242" s="239"/>
      <c r="G242" s="239"/>
      <c r="H242" s="239"/>
    </row>
    <row r="243" spans="1:8">
      <c r="A243" s="239"/>
      <c r="B243" s="239"/>
      <c r="C243" s="239"/>
      <c r="D243" s="239"/>
      <c r="E243" s="239"/>
      <c r="F243" s="239"/>
      <c r="G243" s="239"/>
      <c r="H243" s="239"/>
    </row>
    <row r="244" spans="1:8">
      <c r="A244" s="239"/>
      <c r="B244" s="239"/>
      <c r="C244" s="239"/>
      <c r="D244" s="239"/>
      <c r="E244" s="239"/>
      <c r="F244" s="239"/>
      <c r="G244" s="239"/>
      <c r="H244" s="239"/>
    </row>
    <row r="245" spans="1:8">
      <c r="A245" s="239"/>
      <c r="B245" s="239"/>
      <c r="C245" s="239"/>
      <c r="D245" s="239"/>
      <c r="E245" s="239"/>
      <c r="F245" s="239"/>
      <c r="G245" s="239"/>
      <c r="H245" s="239"/>
    </row>
    <row r="246" spans="1:8">
      <c r="A246" s="239"/>
      <c r="B246" s="239"/>
      <c r="C246" s="239"/>
      <c r="D246" s="239"/>
      <c r="E246" s="239"/>
      <c r="F246" s="239"/>
      <c r="G246" s="239"/>
      <c r="H246" s="239"/>
    </row>
    <row r="247" spans="1:8">
      <c r="A247" s="239"/>
      <c r="B247" s="239"/>
      <c r="C247" s="239"/>
      <c r="D247" s="239"/>
      <c r="E247" s="239"/>
      <c r="F247" s="239"/>
      <c r="G247" s="239"/>
      <c r="H247" s="239"/>
    </row>
    <row r="248" spans="1:8">
      <c r="A248" s="239"/>
      <c r="B248" s="239"/>
      <c r="C248" s="239"/>
      <c r="D248" s="239"/>
      <c r="E248" s="239"/>
      <c r="F248" s="239"/>
      <c r="G248" s="239"/>
      <c r="H248" s="239"/>
    </row>
    <row r="249" spans="1:8">
      <c r="A249" s="239"/>
      <c r="B249" s="239"/>
      <c r="C249" s="239"/>
      <c r="D249" s="239"/>
      <c r="E249" s="239"/>
      <c r="F249" s="239"/>
      <c r="G249" s="239"/>
      <c r="H249" s="239"/>
    </row>
    <row r="250" spans="1:8">
      <c r="A250" s="239"/>
      <c r="B250" s="239"/>
      <c r="C250" s="239"/>
      <c r="D250" s="239"/>
      <c r="E250" s="239"/>
      <c r="F250" s="239"/>
      <c r="G250" s="239"/>
      <c r="H250" s="239"/>
    </row>
    <row r="251" spans="1:8">
      <c r="A251" s="239"/>
      <c r="B251" s="239"/>
      <c r="C251" s="239"/>
      <c r="D251" s="239"/>
      <c r="E251" s="239"/>
      <c r="F251" s="239"/>
      <c r="G251" s="239"/>
      <c r="H251" s="239"/>
    </row>
    <row r="252" spans="1:8">
      <c r="A252" s="239"/>
      <c r="B252" s="239"/>
      <c r="C252" s="239"/>
      <c r="D252" s="239"/>
      <c r="E252" s="239"/>
      <c r="F252" s="239"/>
      <c r="G252" s="239"/>
      <c r="H252" s="239"/>
    </row>
    <row r="253" spans="1:8">
      <c r="A253" s="239"/>
      <c r="B253" s="239"/>
      <c r="C253" s="239"/>
      <c r="D253" s="239"/>
      <c r="E253" s="239"/>
      <c r="F253" s="239"/>
      <c r="G253" s="239"/>
      <c r="H253" s="239"/>
    </row>
    <row r="254" spans="1:8">
      <c r="A254" s="239"/>
      <c r="B254" s="239"/>
      <c r="C254" s="239"/>
      <c r="D254" s="239"/>
      <c r="E254" s="239"/>
      <c r="F254" s="239"/>
      <c r="G254" s="239"/>
      <c r="H254" s="239"/>
    </row>
    <row r="255" spans="1:8">
      <c r="A255" s="239"/>
      <c r="B255" s="239"/>
      <c r="C255" s="239"/>
      <c r="D255" s="239"/>
      <c r="E255" s="239"/>
      <c r="F255" s="239"/>
      <c r="G255" s="239"/>
      <c r="H255" s="239"/>
    </row>
    <row r="256" spans="1:8">
      <c r="A256" s="239"/>
      <c r="B256" s="239"/>
      <c r="C256" s="239"/>
      <c r="D256" s="239"/>
      <c r="E256" s="239"/>
      <c r="F256" s="239"/>
      <c r="G256" s="239"/>
      <c r="H256" s="239"/>
    </row>
    <row r="257" spans="1:8">
      <c r="A257" s="239"/>
      <c r="B257" s="239"/>
      <c r="C257" s="239"/>
      <c r="D257" s="239"/>
      <c r="E257" s="239"/>
      <c r="F257" s="239"/>
      <c r="G257" s="239"/>
      <c r="H257" s="239"/>
    </row>
    <row r="258" spans="1:8">
      <c r="A258" s="239"/>
      <c r="B258" s="239"/>
      <c r="C258" s="239"/>
      <c r="D258" s="239"/>
      <c r="E258" s="239"/>
      <c r="F258" s="239"/>
      <c r="G258" s="239"/>
      <c r="H258" s="239"/>
    </row>
    <row r="259" spans="1:8">
      <c r="A259" s="239"/>
      <c r="B259" s="239"/>
      <c r="C259" s="239"/>
      <c r="D259" s="239"/>
      <c r="E259" s="239"/>
      <c r="F259" s="239"/>
      <c r="G259" s="239"/>
      <c r="H259" s="239"/>
    </row>
    <row r="260" spans="1:8">
      <c r="A260" s="239"/>
      <c r="B260" s="239"/>
      <c r="C260" s="239"/>
      <c r="D260" s="239"/>
      <c r="E260" s="239"/>
      <c r="F260" s="239"/>
      <c r="G260" s="239"/>
      <c r="H260" s="239"/>
    </row>
    <row r="261" spans="1:8">
      <c r="A261" s="239"/>
      <c r="B261" s="239"/>
      <c r="C261" s="239"/>
      <c r="D261" s="239"/>
      <c r="E261" s="239"/>
      <c r="F261" s="239"/>
      <c r="G261" s="239"/>
      <c r="H261" s="239"/>
    </row>
    <row r="262" spans="1:8">
      <c r="A262" s="239"/>
      <c r="B262" s="239"/>
      <c r="C262" s="239"/>
      <c r="D262" s="239"/>
      <c r="E262" s="239"/>
      <c r="F262" s="239"/>
      <c r="G262" s="239"/>
      <c r="H262" s="239"/>
    </row>
    <row r="263" spans="1:8">
      <c r="A263" s="239"/>
      <c r="B263" s="239"/>
      <c r="C263" s="239"/>
      <c r="D263" s="239"/>
      <c r="E263" s="239"/>
      <c r="F263" s="239"/>
      <c r="G263" s="239"/>
      <c r="H263" s="239"/>
    </row>
    <row r="264" spans="1:8">
      <c r="A264" s="239"/>
      <c r="B264" s="239"/>
      <c r="C264" s="239"/>
      <c r="D264" s="239"/>
      <c r="E264" s="239"/>
      <c r="F264" s="239"/>
      <c r="G264" s="239"/>
      <c r="H264" s="239"/>
    </row>
    <row r="265" spans="1:8">
      <c r="A265" s="239"/>
      <c r="B265" s="239"/>
      <c r="C265" s="239"/>
      <c r="D265" s="239"/>
      <c r="E265" s="239"/>
      <c r="F265" s="239"/>
      <c r="G265" s="239"/>
      <c r="H265" s="239"/>
    </row>
    <row r="266" spans="1:8">
      <c r="A266" s="239"/>
      <c r="B266" s="239"/>
      <c r="C266" s="239"/>
      <c r="D266" s="239"/>
      <c r="E266" s="239"/>
      <c r="F266" s="239"/>
      <c r="G266" s="239"/>
      <c r="H266" s="239"/>
    </row>
    <row r="267" spans="1:8">
      <c r="A267" s="239"/>
      <c r="B267" s="239"/>
      <c r="C267" s="239"/>
      <c r="D267" s="239"/>
      <c r="E267" s="239"/>
      <c r="F267" s="239"/>
      <c r="G267" s="239"/>
      <c r="H267" s="239"/>
    </row>
    <row r="268" spans="1:8">
      <c r="A268" s="239"/>
      <c r="B268" s="239"/>
      <c r="C268" s="239"/>
      <c r="D268" s="239"/>
      <c r="E268" s="239"/>
      <c r="F268" s="239"/>
      <c r="G268" s="239"/>
      <c r="H268" s="239"/>
    </row>
    <row r="269" spans="1:8">
      <c r="A269" s="239"/>
      <c r="B269" s="239"/>
      <c r="C269" s="239"/>
      <c r="D269" s="239"/>
      <c r="E269" s="239"/>
      <c r="F269" s="239"/>
      <c r="G269" s="239"/>
      <c r="H269" s="239"/>
    </row>
    <row r="270" spans="1:8">
      <c r="A270" s="239"/>
      <c r="B270" s="239"/>
      <c r="C270" s="239"/>
      <c r="D270" s="239"/>
      <c r="E270" s="239"/>
      <c r="F270" s="239"/>
      <c r="G270" s="239"/>
      <c r="H270" s="239"/>
    </row>
    <row r="271" spans="1:8">
      <c r="A271" s="239"/>
      <c r="B271" s="239"/>
      <c r="C271" s="239"/>
      <c r="D271" s="239"/>
      <c r="E271" s="239"/>
      <c r="F271" s="239"/>
      <c r="G271" s="239"/>
      <c r="H271" s="239"/>
    </row>
    <row r="272" spans="1:8">
      <c r="A272" s="239"/>
      <c r="B272" s="239"/>
      <c r="C272" s="239"/>
      <c r="D272" s="239"/>
      <c r="E272" s="239"/>
      <c r="F272" s="239"/>
      <c r="G272" s="239"/>
      <c r="H272" s="239"/>
    </row>
    <row r="273" spans="1:8">
      <c r="A273" s="239"/>
      <c r="B273" s="239"/>
      <c r="C273" s="239"/>
      <c r="D273" s="239"/>
      <c r="E273" s="239"/>
      <c r="F273" s="239"/>
      <c r="G273" s="239"/>
      <c r="H273" s="239"/>
    </row>
    <row r="274" spans="1:8">
      <c r="A274" s="239"/>
      <c r="B274" s="239"/>
      <c r="C274" s="239"/>
      <c r="D274" s="239"/>
      <c r="E274" s="239"/>
      <c r="F274" s="239"/>
      <c r="G274" s="239"/>
      <c r="H274" s="239"/>
    </row>
    <row r="275" spans="1:8">
      <c r="A275" s="239"/>
      <c r="B275" s="239"/>
      <c r="C275" s="239"/>
      <c r="D275" s="239"/>
      <c r="E275" s="239"/>
      <c r="F275" s="239"/>
      <c r="G275" s="239"/>
      <c r="H275" s="239"/>
    </row>
    <row r="276" spans="1:8">
      <c r="A276" s="239"/>
      <c r="B276" s="239"/>
      <c r="C276" s="239"/>
      <c r="D276" s="239"/>
      <c r="E276" s="239"/>
      <c r="F276" s="239"/>
      <c r="G276" s="239"/>
      <c r="H276" s="239"/>
    </row>
    <row r="277" spans="1:8">
      <c r="A277" s="239"/>
      <c r="B277" s="239"/>
      <c r="C277" s="239"/>
      <c r="D277" s="239"/>
      <c r="E277" s="239"/>
      <c r="F277" s="239"/>
      <c r="G277" s="239"/>
      <c r="H277" s="239"/>
    </row>
    <row r="278" spans="1:8">
      <c r="A278" s="239"/>
      <c r="B278" s="239"/>
      <c r="C278" s="239"/>
      <c r="D278" s="239"/>
      <c r="E278" s="239"/>
      <c r="F278" s="239"/>
      <c r="G278" s="239"/>
      <c r="H278" s="239"/>
    </row>
    <row r="279" spans="1:8">
      <c r="A279" s="239"/>
      <c r="B279" s="239"/>
      <c r="C279" s="239"/>
      <c r="D279" s="239"/>
      <c r="E279" s="239"/>
      <c r="F279" s="239"/>
      <c r="G279" s="239"/>
      <c r="H279" s="239"/>
    </row>
    <row r="280" spans="1:8">
      <c r="A280" s="239"/>
      <c r="B280" s="239"/>
      <c r="C280" s="239"/>
      <c r="D280" s="239"/>
      <c r="E280" s="239"/>
      <c r="F280" s="239"/>
      <c r="G280" s="239"/>
      <c r="H280" s="239"/>
    </row>
    <row r="281" spans="1:8">
      <c r="A281" s="239"/>
      <c r="B281" s="239"/>
      <c r="C281" s="239"/>
      <c r="D281" s="239"/>
      <c r="E281" s="239"/>
      <c r="F281" s="239"/>
      <c r="G281" s="239"/>
      <c r="H281" s="239"/>
    </row>
    <row r="282" spans="1:8">
      <c r="A282" s="239"/>
      <c r="B282" s="239"/>
      <c r="C282" s="239"/>
      <c r="D282" s="239"/>
      <c r="E282" s="239"/>
      <c r="F282" s="239"/>
      <c r="G282" s="239"/>
      <c r="H282" s="239"/>
    </row>
    <row r="283" spans="1:8">
      <c r="A283" s="239"/>
      <c r="B283" s="239"/>
      <c r="C283" s="239"/>
      <c r="D283" s="239"/>
      <c r="E283" s="239"/>
      <c r="F283" s="239"/>
      <c r="G283" s="239"/>
      <c r="H283" s="239"/>
    </row>
    <row r="284" spans="1:8">
      <c r="A284" s="239"/>
      <c r="B284" s="239"/>
      <c r="C284" s="239"/>
      <c r="D284" s="239"/>
      <c r="E284" s="239"/>
      <c r="F284" s="239"/>
      <c r="G284" s="239"/>
      <c r="H284" s="239"/>
    </row>
    <row r="285" spans="1:8">
      <c r="A285" s="239"/>
      <c r="B285" s="239"/>
      <c r="C285" s="239"/>
      <c r="D285" s="239"/>
      <c r="E285" s="239"/>
      <c r="F285" s="239"/>
      <c r="G285" s="239"/>
      <c r="H285" s="239"/>
    </row>
    <row r="286" spans="1:8">
      <c r="A286" s="239"/>
      <c r="B286" s="239"/>
      <c r="C286" s="239"/>
      <c r="D286" s="239"/>
      <c r="E286" s="239"/>
      <c r="F286" s="239"/>
      <c r="G286" s="239"/>
      <c r="H286" s="239"/>
    </row>
    <row r="287" spans="1:8">
      <c r="A287" s="239"/>
      <c r="B287" s="239"/>
      <c r="C287" s="239"/>
      <c r="D287" s="239"/>
      <c r="E287" s="239"/>
      <c r="F287" s="239"/>
      <c r="G287" s="239"/>
      <c r="H287" s="239"/>
    </row>
    <row r="288" spans="1:8">
      <c r="A288" s="239"/>
      <c r="B288" s="239"/>
      <c r="C288" s="239"/>
      <c r="D288" s="239"/>
      <c r="E288" s="239"/>
      <c r="F288" s="239"/>
      <c r="G288" s="239"/>
      <c r="H288" s="239"/>
    </row>
    <row r="289" spans="1:8">
      <c r="A289" s="239"/>
      <c r="B289" s="239"/>
      <c r="C289" s="239"/>
      <c r="D289" s="239"/>
      <c r="E289" s="239"/>
      <c r="F289" s="239"/>
      <c r="G289" s="239"/>
      <c r="H289" s="239"/>
    </row>
    <row r="290" spans="1:8">
      <c r="A290" s="239"/>
      <c r="B290" s="239"/>
      <c r="C290" s="239"/>
      <c r="D290" s="239"/>
      <c r="E290" s="239"/>
      <c r="F290" s="239"/>
      <c r="G290" s="239"/>
      <c r="H290" s="239"/>
    </row>
    <row r="291" spans="1:8">
      <c r="A291" s="239"/>
      <c r="B291" s="239"/>
      <c r="C291" s="239"/>
      <c r="D291" s="239"/>
      <c r="E291" s="239"/>
      <c r="F291" s="239"/>
      <c r="G291" s="239"/>
      <c r="H291" s="239"/>
    </row>
    <row r="292" spans="1:8">
      <c r="A292" s="239"/>
      <c r="B292" s="239"/>
      <c r="C292" s="239"/>
      <c r="D292" s="239"/>
      <c r="E292" s="239"/>
      <c r="F292" s="239"/>
      <c r="G292" s="239"/>
      <c r="H292" s="239"/>
    </row>
    <row r="293" spans="1:8">
      <c r="A293" s="239"/>
      <c r="B293" s="239"/>
      <c r="C293" s="239"/>
      <c r="D293" s="239"/>
      <c r="E293" s="239"/>
      <c r="F293" s="239"/>
      <c r="G293" s="239"/>
      <c r="H293" s="239"/>
    </row>
    <row r="294" spans="1:8">
      <c r="A294" s="239"/>
      <c r="B294" s="239"/>
      <c r="C294" s="239"/>
      <c r="D294" s="239"/>
      <c r="E294" s="239"/>
      <c r="F294" s="239"/>
      <c r="G294" s="239"/>
      <c r="H294" s="239"/>
    </row>
    <row r="295" spans="1:8">
      <c r="A295" s="239"/>
      <c r="B295" s="239"/>
      <c r="C295" s="239"/>
      <c r="D295" s="239"/>
      <c r="E295" s="239"/>
      <c r="F295" s="239"/>
      <c r="G295" s="239"/>
      <c r="H295" s="239"/>
    </row>
    <row r="296" spans="1:8">
      <c r="A296" s="239"/>
      <c r="B296" s="239"/>
      <c r="C296" s="239"/>
      <c r="D296" s="239"/>
      <c r="E296" s="239"/>
      <c r="F296" s="239"/>
      <c r="G296" s="239"/>
      <c r="H296" s="239"/>
    </row>
    <row r="297" spans="1:8">
      <c r="A297" s="239"/>
      <c r="B297" s="239"/>
      <c r="C297" s="239"/>
      <c r="D297" s="239"/>
      <c r="E297" s="239"/>
      <c r="F297" s="239"/>
      <c r="G297" s="239"/>
      <c r="H297" s="239"/>
    </row>
    <row r="298" spans="1:8">
      <c r="A298" s="239"/>
      <c r="B298" s="239"/>
      <c r="C298" s="239"/>
      <c r="D298" s="239"/>
      <c r="E298" s="239"/>
      <c r="F298" s="239"/>
      <c r="G298" s="239"/>
      <c r="H298" s="239"/>
    </row>
    <row r="299" spans="1:8">
      <c r="A299" s="239"/>
      <c r="B299" s="239"/>
      <c r="C299" s="239"/>
      <c r="D299" s="239"/>
      <c r="E299" s="239"/>
      <c r="F299" s="239"/>
      <c r="G299" s="239"/>
      <c r="H299" s="239"/>
    </row>
    <row r="300" spans="1:8">
      <c r="A300" s="239"/>
      <c r="B300" s="239"/>
      <c r="C300" s="239"/>
      <c r="D300" s="239"/>
      <c r="E300" s="239"/>
      <c r="F300" s="239"/>
      <c r="G300" s="239"/>
      <c r="H300" s="239"/>
    </row>
    <row r="301" spans="1:8">
      <c r="A301" s="239"/>
      <c r="B301" s="239"/>
      <c r="C301" s="239"/>
      <c r="D301" s="239"/>
      <c r="E301" s="239"/>
      <c r="F301" s="239"/>
      <c r="G301" s="239"/>
      <c r="H301" s="239"/>
    </row>
    <row r="302" spans="1:8">
      <c r="A302" s="239"/>
      <c r="B302" s="239"/>
      <c r="C302" s="239"/>
      <c r="D302" s="239"/>
      <c r="E302" s="239"/>
      <c r="F302" s="239"/>
      <c r="G302" s="239"/>
      <c r="H302" s="239"/>
    </row>
    <row r="303" spans="1:8">
      <c r="A303" s="239"/>
      <c r="B303" s="239"/>
      <c r="C303" s="239"/>
      <c r="D303" s="239"/>
      <c r="E303" s="239"/>
      <c r="F303" s="239"/>
      <c r="G303" s="239"/>
      <c r="H303" s="239"/>
    </row>
    <row r="304" spans="1:8">
      <c r="A304" s="239"/>
      <c r="B304" s="239"/>
      <c r="C304" s="239"/>
      <c r="D304" s="239"/>
      <c r="E304" s="239"/>
      <c r="F304" s="239"/>
      <c r="G304" s="239"/>
      <c r="H304" s="239"/>
    </row>
    <row r="305" spans="1:8">
      <c r="A305" s="239"/>
      <c r="B305" s="239"/>
      <c r="C305" s="239"/>
      <c r="D305" s="239"/>
      <c r="E305" s="239"/>
      <c r="F305" s="239"/>
      <c r="G305" s="239"/>
      <c r="H305" s="239"/>
    </row>
    <row r="306" spans="1:8">
      <c r="A306" s="239"/>
      <c r="B306" s="239"/>
      <c r="C306" s="239"/>
      <c r="D306" s="239"/>
      <c r="E306" s="239"/>
      <c r="F306" s="239"/>
      <c r="G306" s="239"/>
      <c r="H306" s="239"/>
    </row>
    <row r="307" spans="1:8">
      <c r="A307" s="239"/>
      <c r="B307" s="239"/>
      <c r="C307" s="239"/>
      <c r="D307" s="239"/>
      <c r="E307" s="239"/>
      <c r="F307" s="239"/>
      <c r="G307" s="239"/>
      <c r="H307" s="239"/>
    </row>
    <row r="308" spans="1:8">
      <c r="A308" s="239"/>
      <c r="B308" s="239"/>
      <c r="C308" s="239"/>
      <c r="D308" s="239"/>
      <c r="E308" s="239"/>
      <c r="F308" s="239"/>
      <c r="G308" s="239"/>
      <c r="H308" s="239"/>
    </row>
    <row r="309" spans="1:8">
      <c r="A309" s="239"/>
      <c r="B309" s="239"/>
      <c r="C309" s="239"/>
      <c r="D309" s="239"/>
      <c r="E309" s="239"/>
      <c r="F309" s="239"/>
      <c r="G309" s="239"/>
      <c r="H309" s="239"/>
    </row>
    <row r="310" spans="1:8">
      <c r="A310" s="239"/>
      <c r="B310" s="239"/>
      <c r="C310" s="239"/>
      <c r="D310" s="239"/>
      <c r="E310" s="239"/>
      <c r="F310" s="239"/>
      <c r="G310" s="239"/>
      <c r="H310" s="239"/>
    </row>
    <row r="311" spans="1:8">
      <c r="A311" s="239"/>
      <c r="B311" s="239"/>
      <c r="C311" s="239"/>
      <c r="D311" s="239"/>
      <c r="E311" s="239"/>
      <c r="F311" s="239"/>
      <c r="G311" s="239"/>
      <c r="H311" s="239"/>
    </row>
    <row r="312" spans="1:8">
      <c r="A312" s="239"/>
      <c r="B312" s="239"/>
      <c r="C312" s="239"/>
      <c r="D312" s="239"/>
      <c r="E312" s="239"/>
      <c r="F312" s="239"/>
      <c r="G312" s="239"/>
      <c r="H312" s="239"/>
    </row>
    <row r="313" spans="1:8">
      <c r="A313" s="239"/>
      <c r="B313" s="239"/>
      <c r="C313" s="239"/>
      <c r="D313" s="239"/>
      <c r="E313" s="239"/>
      <c r="F313" s="239"/>
      <c r="G313" s="239"/>
      <c r="H313" s="239"/>
    </row>
    <row r="314" spans="1:8">
      <c r="A314" s="239"/>
      <c r="B314" s="239"/>
      <c r="C314" s="239"/>
      <c r="D314" s="239"/>
      <c r="E314" s="239"/>
      <c r="F314" s="239"/>
      <c r="G314" s="239"/>
      <c r="H314" s="239"/>
    </row>
    <row r="315" spans="1:8">
      <c r="A315" s="239"/>
      <c r="B315" s="239"/>
      <c r="C315" s="239"/>
      <c r="D315" s="239"/>
      <c r="E315" s="239"/>
      <c r="F315" s="239"/>
      <c r="G315" s="239"/>
      <c r="H315" s="239"/>
    </row>
    <row r="316" spans="1:8">
      <c r="A316" s="239"/>
      <c r="B316" s="239"/>
      <c r="C316" s="239"/>
      <c r="D316" s="239"/>
      <c r="E316" s="239"/>
      <c r="F316" s="239"/>
      <c r="G316" s="239"/>
      <c r="H316" s="239"/>
    </row>
    <row r="317" spans="1:8">
      <c r="A317" s="239"/>
      <c r="B317" s="239"/>
      <c r="C317" s="239"/>
      <c r="D317" s="239"/>
      <c r="E317" s="239"/>
      <c r="F317" s="239"/>
      <c r="G317" s="239"/>
      <c r="H317" s="239"/>
    </row>
    <row r="318" spans="1:8">
      <c r="A318" s="239"/>
      <c r="B318" s="239"/>
      <c r="C318" s="239"/>
      <c r="D318" s="239"/>
      <c r="E318" s="239"/>
      <c r="F318" s="239"/>
      <c r="G318" s="239"/>
      <c r="H318" s="239"/>
    </row>
    <row r="319" spans="1:8">
      <c r="A319" s="239"/>
      <c r="B319" s="239"/>
      <c r="C319" s="239"/>
      <c r="D319" s="239"/>
      <c r="E319" s="239"/>
      <c r="F319" s="239"/>
      <c r="G319" s="239"/>
      <c r="H319" s="239"/>
    </row>
    <row r="320" spans="1:8">
      <c r="A320" s="239"/>
      <c r="B320" s="239"/>
      <c r="C320" s="239"/>
      <c r="D320" s="239"/>
      <c r="E320" s="239"/>
      <c r="F320" s="239"/>
      <c r="G320" s="239"/>
      <c r="H320" s="239"/>
    </row>
    <row r="321" spans="1:8">
      <c r="A321" s="239"/>
      <c r="B321" s="239"/>
      <c r="C321" s="239"/>
      <c r="D321" s="239"/>
      <c r="E321" s="239"/>
      <c r="F321" s="239"/>
      <c r="G321" s="239"/>
      <c r="H321" s="239"/>
    </row>
    <row r="322" spans="1:8">
      <c r="A322" s="239"/>
      <c r="B322" s="239"/>
      <c r="C322" s="239"/>
      <c r="D322" s="239"/>
      <c r="E322" s="239"/>
      <c r="F322" s="239"/>
      <c r="G322" s="239"/>
      <c r="H322" s="239"/>
    </row>
    <row r="323" spans="1:8">
      <c r="A323" s="239"/>
      <c r="B323" s="239"/>
      <c r="C323" s="239"/>
      <c r="D323" s="239"/>
      <c r="E323" s="239"/>
      <c r="F323" s="239"/>
      <c r="G323" s="239"/>
      <c r="H323" s="239"/>
    </row>
    <row r="324" spans="1:8">
      <c r="A324" s="239"/>
      <c r="B324" s="239"/>
      <c r="C324" s="239"/>
      <c r="D324" s="239"/>
      <c r="E324" s="239"/>
      <c r="F324" s="239"/>
      <c r="G324" s="239"/>
      <c r="H324" s="239"/>
    </row>
    <row r="325" spans="1:8">
      <c r="A325" s="239"/>
      <c r="B325" s="239"/>
      <c r="C325" s="239"/>
      <c r="D325" s="239"/>
      <c r="E325" s="239"/>
      <c r="F325" s="239"/>
      <c r="G325" s="239"/>
      <c r="H325" s="239"/>
    </row>
    <row r="326" spans="1:8">
      <c r="A326" s="239"/>
      <c r="B326" s="239"/>
      <c r="C326" s="239"/>
      <c r="D326" s="239"/>
      <c r="E326" s="239"/>
      <c r="F326" s="239"/>
      <c r="G326" s="239"/>
      <c r="H326" s="239"/>
    </row>
    <row r="327" spans="1:8">
      <c r="A327" s="239"/>
      <c r="B327" s="239"/>
      <c r="C327" s="239"/>
      <c r="D327" s="239"/>
      <c r="E327" s="239"/>
      <c r="F327" s="239"/>
      <c r="G327" s="239"/>
      <c r="H327" s="239"/>
    </row>
    <row r="328" spans="1:8">
      <c r="A328" s="239"/>
      <c r="B328" s="239"/>
      <c r="C328" s="239"/>
      <c r="D328" s="239"/>
      <c r="E328" s="239"/>
      <c r="F328" s="239"/>
      <c r="G328" s="239"/>
      <c r="H328" s="239"/>
    </row>
    <row r="329" spans="1:8">
      <c r="A329" s="239"/>
      <c r="B329" s="239"/>
      <c r="C329" s="239"/>
      <c r="D329" s="239"/>
      <c r="E329" s="239"/>
      <c r="F329" s="239"/>
      <c r="G329" s="239"/>
      <c r="H329" s="239"/>
    </row>
    <row r="330" spans="1:8">
      <c r="A330" s="239"/>
      <c r="B330" s="239"/>
      <c r="C330" s="239"/>
      <c r="D330" s="239"/>
      <c r="E330" s="239"/>
      <c r="F330" s="239"/>
      <c r="G330" s="239"/>
      <c r="H330" s="239"/>
    </row>
    <row r="331" spans="1:8">
      <c r="A331" s="239"/>
      <c r="B331" s="239"/>
      <c r="C331" s="239"/>
      <c r="D331" s="239"/>
      <c r="E331" s="239"/>
      <c r="F331" s="239"/>
      <c r="G331" s="239"/>
      <c r="H331" s="239"/>
    </row>
    <row r="332" spans="1:8">
      <c r="A332" s="239"/>
      <c r="B332" s="239"/>
      <c r="C332" s="239"/>
      <c r="D332" s="239"/>
      <c r="E332" s="239"/>
      <c r="F332" s="239"/>
      <c r="G332" s="239"/>
      <c r="H332" s="239"/>
    </row>
    <row r="333" spans="1:8">
      <c r="A333" s="239"/>
      <c r="B333" s="239"/>
      <c r="C333" s="239"/>
      <c r="D333" s="239"/>
      <c r="E333" s="239"/>
      <c r="F333" s="239"/>
      <c r="G333" s="239"/>
      <c r="H333" s="239"/>
    </row>
    <row r="334" spans="1:8">
      <c r="A334" s="239"/>
      <c r="B334" s="239"/>
      <c r="C334" s="239"/>
      <c r="D334" s="239"/>
      <c r="E334" s="239"/>
      <c r="F334" s="239"/>
      <c r="G334" s="239"/>
      <c r="H334" s="239"/>
    </row>
    <row r="335" spans="1:8">
      <c r="A335" s="239"/>
      <c r="B335" s="239"/>
      <c r="C335" s="239"/>
      <c r="D335" s="239"/>
      <c r="E335" s="239"/>
      <c r="F335" s="239"/>
      <c r="G335" s="239"/>
      <c r="H335" s="239"/>
    </row>
    <row r="336" spans="1:8">
      <c r="A336" s="239"/>
      <c r="B336" s="239"/>
      <c r="C336" s="239"/>
      <c r="D336" s="239"/>
      <c r="E336" s="239"/>
      <c r="F336" s="239"/>
      <c r="G336" s="239"/>
      <c r="H336" s="239"/>
    </row>
    <row r="337" spans="1:8">
      <c r="A337" s="239"/>
      <c r="B337" s="239"/>
      <c r="C337" s="239"/>
      <c r="D337" s="239"/>
      <c r="E337" s="239"/>
      <c r="F337" s="239"/>
      <c r="G337" s="239"/>
      <c r="H337" s="239"/>
    </row>
    <row r="338" spans="1:8">
      <c r="A338" s="239"/>
      <c r="B338" s="239"/>
      <c r="C338" s="239"/>
      <c r="D338" s="239"/>
      <c r="E338" s="239"/>
      <c r="F338" s="239"/>
      <c r="G338" s="239"/>
      <c r="H338" s="239"/>
    </row>
    <row r="339" spans="1:8">
      <c r="A339" s="239"/>
      <c r="B339" s="239"/>
      <c r="C339" s="239"/>
      <c r="D339" s="239"/>
      <c r="E339" s="239"/>
      <c r="F339" s="239"/>
      <c r="G339" s="239"/>
      <c r="H339" s="239"/>
    </row>
    <row r="340" spans="1:8">
      <c r="A340" s="239"/>
      <c r="B340" s="239"/>
      <c r="C340" s="239"/>
      <c r="D340" s="239"/>
      <c r="E340" s="239"/>
      <c r="F340" s="239"/>
      <c r="G340" s="239"/>
      <c r="H340" s="239"/>
    </row>
    <row r="341" spans="1:8">
      <c r="A341" s="239"/>
      <c r="B341" s="239"/>
      <c r="C341" s="239"/>
      <c r="D341" s="239"/>
      <c r="E341" s="239"/>
      <c r="F341" s="239"/>
      <c r="G341" s="239"/>
      <c r="H341" s="239"/>
    </row>
    <row r="342" spans="1:8">
      <c r="A342" s="239"/>
      <c r="B342" s="239"/>
      <c r="C342" s="239"/>
      <c r="D342" s="239"/>
      <c r="E342" s="239"/>
      <c r="F342" s="239"/>
      <c r="G342" s="239"/>
      <c r="H342" s="239"/>
    </row>
    <row r="343" spans="1:8">
      <c r="A343" s="239"/>
      <c r="B343" s="239"/>
      <c r="C343" s="239"/>
      <c r="D343" s="239"/>
      <c r="E343" s="239"/>
      <c r="F343" s="239"/>
      <c r="G343" s="239"/>
      <c r="H343" s="239"/>
    </row>
    <row r="344" spans="1:8">
      <c r="A344" s="239"/>
      <c r="B344" s="239"/>
      <c r="C344" s="239"/>
      <c r="D344" s="239"/>
      <c r="E344" s="239"/>
      <c r="F344" s="239"/>
      <c r="G344" s="239"/>
      <c r="H344" s="239"/>
    </row>
    <row r="345" spans="1:8">
      <c r="A345" s="239"/>
      <c r="B345" s="239"/>
      <c r="C345" s="239"/>
      <c r="D345" s="239"/>
      <c r="E345" s="239"/>
      <c r="F345" s="239"/>
      <c r="G345" s="239"/>
      <c r="H345" s="239"/>
    </row>
    <row r="346" spans="1:8">
      <c r="A346" s="239"/>
      <c r="B346" s="239"/>
      <c r="C346" s="239"/>
      <c r="D346" s="239"/>
      <c r="E346" s="239"/>
      <c r="F346" s="239"/>
      <c r="G346" s="239"/>
      <c r="H346" s="239"/>
    </row>
    <row r="347" spans="1:8">
      <c r="A347" s="239"/>
      <c r="B347" s="239"/>
      <c r="C347" s="239"/>
      <c r="D347" s="239"/>
      <c r="E347" s="239"/>
      <c r="F347" s="239"/>
      <c r="G347" s="239"/>
      <c r="H347" s="239"/>
    </row>
    <row r="348" spans="1:8">
      <c r="A348" s="239"/>
      <c r="B348" s="239"/>
      <c r="C348" s="239"/>
      <c r="D348" s="239"/>
      <c r="E348" s="239"/>
      <c r="F348" s="239"/>
      <c r="G348" s="239"/>
      <c r="H348" s="239"/>
    </row>
    <row r="349" spans="1:8">
      <c r="A349" s="239"/>
      <c r="B349" s="239"/>
      <c r="C349" s="239"/>
      <c r="D349" s="239"/>
      <c r="E349" s="239"/>
      <c r="F349" s="239"/>
      <c r="G349" s="239"/>
      <c r="H349" s="239"/>
    </row>
    <row r="350" spans="1:8">
      <c r="A350" s="239"/>
      <c r="B350" s="239"/>
      <c r="C350" s="239"/>
      <c r="D350" s="239"/>
      <c r="E350" s="239"/>
      <c r="F350" s="239"/>
      <c r="G350" s="239"/>
      <c r="H350" s="239"/>
    </row>
    <row r="351" spans="1:8">
      <c r="A351" s="239"/>
      <c r="B351" s="239"/>
      <c r="C351" s="239"/>
      <c r="D351" s="239"/>
      <c r="E351" s="239"/>
      <c r="F351" s="239"/>
      <c r="G351" s="239"/>
      <c r="H351" s="239"/>
    </row>
    <row r="352" spans="1:8">
      <c r="A352" s="239"/>
      <c r="B352" s="239"/>
      <c r="C352" s="239"/>
      <c r="D352" s="239"/>
      <c r="E352" s="239"/>
      <c r="F352" s="239"/>
      <c r="G352" s="239"/>
      <c r="H352" s="239"/>
    </row>
    <row r="353" spans="1:8">
      <c r="A353" s="239"/>
      <c r="B353" s="239"/>
      <c r="C353" s="239"/>
      <c r="D353" s="239"/>
      <c r="E353" s="239"/>
      <c r="F353" s="239"/>
      <c r="G353" s="239"/>
      <c r="H353" s="239"/>
    </row>
    <row r="354" spans="1:8">
      <c r="A354" s="239"/>
      <c r="B354" s="239"/>
      <c r="C354" s="239"/>
      <c r="D354" s="239"/>
      <c r="E354" s="239"/>
      <c r="F354" s="239"/>
      <c r="G354" s="239"/>
      <c r="H354" s="239"/>
    </row>
    <row r="355" spans="1:8">
      <c r="A355" s="239"/>
      <c r="B355" s="239"/>
      <c r="C355" s="239"/>
      <c r="D355" s="239"/>
      <c r="E355" s="239"/>
      <c r="F355" s="239"/>
      <c r="G355" s="239"/>
      <c r="H355" s="239"/>
    </row>
    <row r="356" spans="1:8">
      <c r="A356" s="239"/>
      <c r="B356" s="239"/>
      <c r="C356" s="239"/>
      <c r="D356" s="239"/>
      <c r="E356" s="239"/>
      <c r="F356" s="239"/>
      <c r="G356" s="239"/>
      <c r="H356" s="239"/>
    </row>
    <row r="357" spans="1:8">
      <c r="A357" s="239"/>
      <c r="B357" s="239"/>
      <c r="C357" s="239"/>
      <c r="D357" s="239"/>
      <c r="E357" s="239"/>
      <c r="F357" s="239"/>
      <c r="G357" s="239"/>
      <c r="H357" s="239"/>
    </row>
    <row r="358" spans="1:8">
      <c r="A358" s="239"/>
      <c r="B358" s="239"/>
      <c r="C358" s="239"/>
      <c r="D358" s="239"/>
      <c r="E358" s="239"/>
      <c r="F358" s="239"/>
      <c r="G358" s="239"/>
      <c r="H358" s="239"/>
    </row>
    <row r="359" spans="1:8">
      <c r="A359" s="239"/>
      <c r="B359" s="239"/>
      <c r="C359" s="239"/>
      <c r="D359" s="239"/>
      <c r="E359" s="239"/>
      <c r="F359" s="239"/>
      <c r="G359" s="239"/>
      <c r="H359" s="239"/>
    </row>
    <row r="360" spans="1:8">
      <c r="A360" s="239"/>
      <c r="B360" s="239"/>
      <c r="C360" s="239"/>
      <c r="D360" s="239"/>
      <c r="E360" s="239"/>
      <c r="F360" s="239"/>
      <c r="G360" s="239"/>
      <c r="H360" s="239"/>
    </row>
    <row r="361" spans="1:8">
      <c r="A361" s="239"/>
      <c r="B361" s="239"/>
      <c r="C361" s="239"/>
      <c r="D361" s="239"/>
      <c r="E361" s="239"/>
      <c r="F361" s="239"/>
      <c r="G361" s="239"/>
      <c r="H361" s="239"/>
    </row>
    <row r="362" spans="1:8">
      <c r="A362" s="239"/>
      <c r="B362" s="239"/>
      <c r="C362" s="239"/>
      <c r="D362" s="239"/>
      <c r="E362" s="239"/>
      <c r="F362" s="239"/>
      <c r="G362" s="239"/>
      <c r="H362" s="239"/>
    </row>
    <row r="363" spans="1:8">
      <c r="A363" s="239"/>
      <c r="B363" s="239"/>
      <c r="C363" s="239"/>
      <c r="D363" s="239"/>
      <c r="E363" s="239"/>
      <c r="F363" s="239"/>
      <c r="G363" s="239"/>
      <c r="H363" s="239"/>
    </row>
    <row r="364" spans="1:8">
      <c r="A364" s="239"/>
      <c r="B364" s="239"/>
      <c r="C364" s="239"/>
      <c r="D364" s="239"/>
      <c r="E364" s="239"/>
      <c r="F364" s="239"/>
      <c r="G364" s="239"/>
      <c r="H364" s="239"/>
    </row>
    <row r="365" spans="1:8">
      <c r="A365" s="239"/>
      <c r="B365" s="239"/>
      <c r="C365" s="239"/>
      <c r="D365" s="239"/>
      <c r="E365" s="239"/>
      <c r="F365" s="239"/>
      <c r="G365" s="239"/>
      <c r="H365" s="239"/>
    </row>
    <row r="366" spans="1:8">
      <c r="A366" s="239"/>
      <c r="B366" s="239"/>
      <c r="C366" s="239"/>
      <c r="D366" s="239"/>
      <c r="E366" s="239"/>
      <c r="F366" s="239"/>
      <c r="G366" s="239"/>
      <c r="H366" s="239"/>
    </row>
    <row r="367" spans="1:8">
      <c r="A367" s="239"/>
      <c r="B367" s="239"/>
      <c r="C367" s="239"/>
      <c r="D367" s="239"/>
      <c r="E367" s="239"/>
      <c r="F367" s="239"/>
      <c r="G367" s="239"/>
      <c r="H367" s="239"/>
    </row>
    <row r="368" spans="1:8">
      <c r="A368" s="239"/>
      <c r="B368" s="239"/>
      <c r="C368" s="239"/>
      <c r="D368" s="239"/>
      <c r="E368" s="239"/>
      <c r="F368" s="239"/>
      <c r="G368" s="239"/>
      <c r="H368" s="239"/>
    </row>
    <row r="369" spans="1:8">
      <c r="A369" s="239"/>
      <c r="B369" s="239"/>
      <c r="C369" s="239"/>
      <c r="D369" s="239"/>
      <c r="E369" s="239"/>
      <c r="F369" s="239"/>
      <c r="G369" s="239"/>
      <c r="H369" s="239"/>
    </row>
    <row r="370" spans="1:8">
      <c r="A370" s="239"/>
      <c r="B370" s="239"/>
      <c r="C370" s="239"/>
      <c r="D370" s="239"/>
      <c r="E370" s="239"/>
      <c r="F370" s="239"/>
      <c r="G370" s="239"/>
      <c r="H370" s="239"/>
    </row>
    <row r="371" spans="1:8">
      <c r="A371" s="239"/>
      <c r="B371" s="239"/>
      <c r="C371" s="239"/>
      <c r="D371" s="239"/>
      <c r="E371" s="239"/>
      <c r="F371" s="239"/>
      <c r="G371" s="239"/>
      <c r="H371" s="239"/>
    </row>
    <row r="372" spans="1:8">
      <c r="A372" s="239"/>
      <c r="B372" s="239"/>
      <c r="C372" s="239"/>
      <c r="D372" s="239"/>
      <c r="E372" s="239"/>
      <c r="F372" s="239"/>
      <c r="G372" s="239"/>
      <c r="H372" s="239"/>
    </row>
    <row r="373" spans="1:8">
      <c r="A373" s="239"/>
      <c r="B373" s="239"/>
      <c r="C373" s="239"/>
      <c r="D373" s="239"/>
      <c r="E373" s="239"/>
      <c r="F373" s="239"/>
      <c r="G373" s="239"/>
      <c r="H373" s="239"/>
    </row>
    <row r="374" spans="1:8">
      <c r="A374" s="239"/>
      <c r="B374" s="239"/>
      <c r="C374" s="239"/>
      <c r="D374" s="239"/>
      <c r="E374" s="239"/>
      <c r="F374" s="239"/>
      <c r="G374" s="239"/>
      <c r="H374" s="239"/>
    </row>
    <row r="375" spans="1:8">
      <c r="A375" s="239"/>
      <c r="B375" s="239"/>
      <c r="C375" s="239"/>
      <c r="D375" s="239"/>
      <c r="E375" s="239"/>
      <c r="F375" s="239"/>
      <c r="G375" s="239"/>
      <c r="H375" s="239"/>
    </row>
    <row r="376" spans="1:8">
      <c r="A376" s="239"/>
      <c r="B376" s="239"/>
      <c r="C376" s="239"/>
      <c r="D376" s="239"/>
      <c r="E376" s="239"/>
      <c r="F376" s="239"/>
      <c r="G376" s="239"/>
      <c r="H376" s="239"/>
    </row>
    <row r="377" spans="1:8">
      <c r="A377" s="239"/>
      <c r="B377" s="239"/>
      <c r="C377" s="239"/>
      <c r="D377" s="239"/>
      <c r="E377" s="239"/>
      <c r="F377" s="239"/>
      <c r="G377" s="239"/>
      <c r="H377" s="239"/>
    </row>
    <row r="378" spans="1:8">
      <c r="A378" s="239"/>
      <c r="B378" s="239"/>
      <c r="C378" s="239"/>
      <c r="D378" s="239"/>
      <c r="E378" s="239"/>
      <c r="F378" s="239"/>
      <c r="G378" s="239"/>
      <c r="H378" s="239"/>
    </row>
    <row r="379" spans="1:8">
      <c r="A379" s="239"/>
      <c r="B379" s="239"/>
      <c r="C379" s="239"/>
      <c r="D379" s="239"/>
      <c r="E379" s="239"/>
      <c r="F379" s="239"/>
      <c r="G379" s="239"/>
      <c r="H379" s="239"/>
    </row>
    <row r="380" spans="1:8">
      <c r="A380" s="239"/>
      <c r="B380" s="239"/>
      <c r="C380" s="239"/>
      <c r="D380" s="239"/>
      <c r="E380" s="239"/>
      <c r="F380" s="239"/>
      <c r="G380" s="239"/>
      <c r="H380" s="239"/>
    </row>
    <row r="381" spans="1:8">
      <c r="A381" s="239"/>
      <c r="B381" s="239"/>
      <c r="C381" s="239"/>
      <c r="D381" s="239"/>
      <c r="E381" s="239"/>
      <c r="F381" s="239"/>
      <c r="G381" s="239"/>
      <c r="H381" s="239"/>
    </row>
    <row r="382" spans="1:8">
      <c r="A382" s="239"/>
      <c r="B382" s="239"/>
      <c r="C382" s="239"/>
      <c r="D382" s="239"/>
      <c r="E382" s="239"/>
      <c r="F382" s="239"/>
      <c r="G382" s="239"/>
      <c r="H382" s="239"/>
    </row>
    <row r="383" spans="1:8">
      <c r="A383" s="239"/>
      <c r="B383" s="239"/>
      <c r="C383" s="239"/>
      <c r="D383" s="239"/>
      <c r="E383" s="239"/>
      <c r="F383" s="239"/>
      <c r="G383" s="239"/>
      <c r="H383" s="239"/>
    </row>
    <row r="384" spans="1:8">
      <c r="A384" s="239"/>
      <c r="B384" s="239"/>
      <c r="C384" s="239"/>
      <c r="D384" s="239"/>
      <c r="E384" s="239"/>
      <c r="F384" s="239"/>
      <c r="G384" s="239"/>
      <c r="H384" s="239"/>
    </row>
    <row r="385" spans="1:8">
      <c r="A385" s="239"/>
      <c r="B385" s="239"/>
      <c r="C385" s="239"/>
      <c r="D385" s="239"/>
      <c r="E385" s="239"/>
      <c r="F385" s="239"/>
      <c r="G385" s="239"/>
      <c r="H385" s="239"/>
    </row>
    <row r="386" spans="1:8">
      <c r="A386" s="239"/>
      <c r="B386" s="239"/>
      <c r="C386" s="239"/>
      <c r="D386" s="239"/>
      <c r="E386" s="239"/>
      <c r="F386" s="239"/>
      <c r="G386" s="239"/>
      <c r="H386" s="239"/>
    </row>
    <row r="387" spans="1:8">
      <c r="A387" s="239"/>
      <c r="B387" s="239"/>
      <c r="C387" s="239"/>
      <c r="D387" s="239"/>
      <c r="E387" s="239"/>
      <c r="F387" s="239"/>
      <c r="G387" s="239"/>
      <c r="H387" s="239"/>
    </row>
    <row r="388" spans="1:8">
      <c r="A388" s="239"/>
      <c r="B388" s="239"/>
      <c r="C388" s="239"/>
      <c r="D388" s="239"/>
      <c r="E388" s="239"/>
      <c r="F388" s="239"/>
      <c r="G388" s="239"/>
      <c r="H388" s="239"/>
    </row>
    <row r="389" spans="1:8">
      <c r="A389" s="239"/>
      <c r="B389" s="239"/>
      <c r="C389" s="239"/>
      <c r="D389" s="239"/>
      <c r="E389" s="239"/>
      <c r="F389" s="239"/>
      <c r="G389" s="239"/>
      <c r="H389" s="239"/>
    </row>
    <row r="390" spans="1:8">
      <c r="A390" s="239"/>
      <c r="B390" s="239"/>
      <c r="C390" s="239"/>
      <c r="D390" s="239"/>
      <c r="E390" s="239"/>
      <c r="F390" s="239"/>
      <c r="G390" s="239"/>
      <c r="H390" s="239"/>
    </row>
    <row r="391" spans="1:8">
      <c r="A391" s="239"/>
      <c r="B391" s="239"/>
      <c r="C391" s="239"/>
      <c r="D391" s="239"/>
      <c r="E391" s="239"/>
      <c r="F391" s="239"/>
      <c r="G391" s="239"/>
      <c r="H391" s="239"/>
    </row>
    <row r="392" spans="1:8">
      <c r="A392" s="239"/>
      <c r="B392" s="239"/>
      <c r="C392" s="239"/>
      <c r="D392" s="239"/>
      <c r="E392" s="239"/>
      <c r="F392" s="239"/>
      <c r="G392" s="239"/>
      <c r="H392" s="239"/>
    </row>
    <row r="393" spans="1:8">
      <c r="A393" s="239"/>
      <c r="B393" s="239"/>
      <c r="C393" s="239"/>
      <c r="D393" s="239"/>
      <c r="E393" s="239"/>
      <c r="F393" s="239"/>
      <c r="G393" s="239"/>
      <c r="H393" s="239"/>
    </row>
    <row r="394" spans="1:8">
      <c r="A394" s="239"/>
      <c r="B394" s="239"/>
      <c r="C394" s="239"/>
      <c r="D394" s="239"/>
      <c r="E394" s="239"/>
      <c r="F394" s="239"/>
      <c r="G394" s="239"/>
      <c r="H394" s="239"/>
    </row>
    <row r="395" spans="1:8">
      <c r="A395" s="239"/>
      <c r="B395" s="239"/>
      <c r="C395" s="239"/>
      <c r="D395" s="239"/>
      <c r="E395" s="239"/>
      <c r="F395" s="239"/>
      <c r="G395" s="239"/>
      <c r="H395" s="239"/>
    </row>
    <row r="396" spans="1:8">
      <c r="A396" s="239"/>
      <c r="B396" s="239"/>
      <c r="C396" s="239"/>
      <c r="D396" s="239"/>
      <c r="E396" s="239"/>
      <c r="F396" s="239"/>
      <c r="G396" s="239"/>
      <c r="H396" s="239"/>
    </row>
    <row r="397" spans="1:8">
      <c r="A397" s="239"/>
      <c r="B397" s="239"/>
      <c r="C397" s="239"/>
      <c r="D397" s="239"/>
      <c r="E397" s="239"/>
      <c r="F397" s="239"/>
      <c r="G397" s="239"/>
      <c r="H397" s="239"/>
    </row>
    <row r="398" spans="1:8">
      <c r="A398" s="239"/>
      <c r="B398" s="239"/>
      <c r="C398" s="239"/>
      <c r="D398" s="239"/>
      <c r="E398" s="239"/>
      <c r="F398" s="239"/>
      <c r="G398" s="239"/>
      <c r="H398" s="239"/>
    </row>
    <row r="399" spans="1:8">
      <c r="A399" s="239"/>
      <c r="B399" s="239"/>
      <c r="C399" s="239"/>
      <c r="D399" s="239"/>
      <c r="E399" s="239"/>
      <c r="F399" s="239"/>
      <c r="G399" s="239"/>
      <c r="H399" s="239"/>
    </row>
    <row r="400" spans="1:8">
      <c r="A400" s="239"/>
      <c r="B400" s="239"/>
      <c r="C400" s="239"/>
      <c r="D400" s="239"/>
      <c r="E400" s="239"/>
      <c r="F400" s="239"/>
      <c r="G400" s="239"/>
      <c r="H400" s="239"/>
    </row>
    <row r="401" spans="1:8">
      <c r="A401" s="239"/>
      <c r="B401" s="239"/>
      <c r="C401" s="239"/>
      <c r="D401" s="239"/>
      <c r="E401" s="239"/>
      <c r="F401" s="239"/>
      <c r="G401" s="239"/>
      <c r="H401" s="239"/>
    </row>
    <row r="402" spans="1:8">
      <c r="A402" s="239"/>
      <c r="B402" s="239"/>
      <c r="C402" s="239"/>
      <c r="D402" s="239"/>
      <c r="E402" s="239"/>
      <c r="F402" s="239"/>
      <c r="G402" s="239"/>
      <c r="H402" s="239"/>
    </row>
    <row r="403" spans="1:8">
      <c r="A403" s="239"/>
      <c r="B403" s="239"/>
      <c r="C403" s="239"/>
      <c r="D403" s="239"/>
      <c r="E403" s="239"/>
      <c r="F403" s="239"/>
      <c r="G403" s="239"/>
      <c r="H403" s="239"/>
    </row>
    <row r="404" spans="1:8">
      <c r="A404" s="239"/>
      <c r="B404" s="239"/>
      <c r="C404" s="239"/>
      <c r="D404" s="239"/>
      <c r="E404" s="239"/>
      <c r="F404" s="239"/>
      <c r="G404" s="239"/>
      <c r="H404" s="239"/>
    </row>
    <row r="405" spans="1:8">
      <c r="A405" s="239"/>
      <c r="B405" s="239"/>
      <c r="C405" s="239"/>
      <c r="D405" s="239"/>
      <c r="E405" s="239"/>
      <c r="F405" s="239"/>
      <c r="G405" s="239"/>
      <c r="H405" s="239"/>
    </row>
    <row r="406" spans="1:8">
      <c r="A406" s="239"/>
      <c r="B406" s="239"/>
      <c r="C406" s="239"/>
      <c r="D406" s="239"/>
      <c r="E406" s="239"/>
      <c r="F406" s="239"/>
      <c r="G406" s="239"/>
      <c r="H406" s="239"/>
    </row>
    <row r="407" spans="1:8">
      <c r="A407" s="239"/>
      <c r="B407" s="239"/>
      <c r="C407" s="239"/>
      <c r="D407" s="239"/>
      <c r="E407" s="239"/>
      <c r="F407" s="239"/>
      <c r="G407" s="239"/>
      <c r="H407" s="239"/>
    </row>
    <row r="408" spans="1:8">
      <c r="A408" s="239"/>
      <c r="B408" s="239"/>
      <c r="C408" s="239"/>
      <c r="D408" s="239"/>
      <c r="E408" s="239"/>
      <c r="F408" s="239"/>
      <c r="G408" s="239"/>
      <c r="H408" s="239"/>
    </row>
    <row r="409" spans="1:8">
      <c r="A409" s="239"/>
      <c r="B409" s="239"/>
      <c r="C409" s="239"/>
      <c r="D409" s="239"/>
      <c r="E409" s="239"/>
      <c r="F409" s="239"/>
      <c r="G409" s="239"/>
      <c r="H409" s="239"/>
    </row>
    <row r="410" spans="1:8">
      <c r="A410" s="239"/>
      <c r="B410" s="239"/>
      <c r="C410" s="239"/>
      <c r="D410" s="239"/>
      <c r="E410" s="239"/>
      <c r="F410" s="239"/>
      <c r="G410" s="239"/>
      <c r="H410" s="239"/>
    </row>
    <row r="411" spans="1:8">
      <c r="A411" s="239"/>
      <c r="B411" s="239"/>
      <c r="C411" s="239"/>
      <c r="D411" s="239"/>
      <c r="E411" s="239"/>
      <c r="F411" s="239"/>
      <c r="G411" s="239"/>
      <c r="H411" s="239"/>
    </row>
    <row r="412" spans="1:8">
      <c r="A412" s="239"/>
      <c r="B412" s="239"/>
      <c r="C412" s="239"/>
      <c r="D412" s="239"/>
      <c r="E412" s="239"/>
      <c r="F412" s="239"/>
      <c r="G412" s="239"/>
      <c r="H412" s="239"/>
    </row>
    <row r="413" spans="1:8">
      <c r="A413" s="239"/>
      <c r="B413" s="239"/>
      <c r="C413" s="239"/>
      <c r="D413" s="239"/>
      <c r="E413" s="239"/>
      <c r="F413" s="239"/>
      <c r="G413" s="239"/>
      <c r="H413" s="239"/>
    </row>
    <row r="414" spans="1:8">
      <c r="A414" s="239"/>
      <c r="B414" s="239"/>
      <c r="C414" s="239"/>
      <c r="D414" s="239"/>
      <c r="E414" s="239"/>
      <c r="F414" s="239"/>
      <c r="G414" s="239"/>
      <c r="H414" s="239"/>
    </row>
    <row r="415" spans="1:8">
      <c r="A415" s="239"/>
      <c r="B415" s="239"/>
      <c r="C415" s="239"/>
      <c r="D415" s="239"/>
      <c r="E415" s="239"/>
      <c r="F415" s="239"/>
      <c r="G415" s="239"/>
      <c r="H415" s="239"/>
    </row>
    <row r="416" spans="1:8">
      <c r="A416" s="239"/>
      <c r="B416" s="239"/>
      <c r="C416" s="239"/>
      <c r="D416" s="239"/>
      <c r="E416" s="239"/>
      <c r="F416" s="239"/>
      <c r="G416" s="239"/>
      <c r="H416" s="239"/>
    </row>
    <row r="417" spans="1:8">
      <c r="A417" s="239"/>
      <c r="B417" s="239"/>
      <c r="C417" s="239"/>
      <c r="D417" s="239"/>
      <c r="E417" s="239"/>
      <c r="F417" s="239"/>
      <c r="G417" s="239"/>
      <c r="H417" s="239"/>
    </row>
    <row r="418" spans="1:8">
      <c r="A418" s="239"/>
      <c r="B418" s="239"/>
      <c r="C418" s="239"/>
      <c r="D418" s="239"/>
      <c r="E418" s="239"/>
      <c r="F418" s="239"/>
      <c r="G418" s="239"/>
      <c r="H418" s="239"/>
    </row>
    <row r="419" spans="1:8">
      <c r="A419" s="239"/>
      <c r="B419" s="239"/>
      <c r="C419" s="239"/>
      <c r="D419" s="239"/>
      <c r="E419" s="239"/>
      <c r="F419" s="239"/>
      <c r="G419" s="239"/>
      <c r="H419" s="239"/>
    </row>
    <row r="420" spans="1:8">
      <c r="A420" s="239"/>
      <c r="B420" s="239"/>
      <c r="C420" s="239"/>
      <c r="D420" s="239"/>
      <c r="E420" s="239"/>
      <c r="F420" s="239"/>
      <c r="G420" s="239"/>
      <c r="H420" s="239"/>
    </row>
    <row r="421" spans="1:8">
      <c r="A421" s="239"/>
      <c r="B421" s="239"/>
      <c r="C421" s="239"/>
      <c r="D421" s="239"/>
      <c r="E421" s="239"/>
      <c r="F421" s="239"/>
      <c r="G421" s="239"/>
      <c r="H421" s="239"/>
    </row>
    <row r="422" spans="1:8">
      <c r="A422" s="239"/>
      <c r="B422" s="239"/>
      <c r="C422" s="239"/>
      <c r="D422" s="239"/>
      <c r="E422" s="239"/>
      <c r="F422" s="239"/>
      <c r="G422" s="239"/>
      <c r="H422" s="239"/>
    </row>
    <row r="423" spans="1:8">
      <c r="A423" s="239"/>
      <c r="B423" s="239"/>
      <c r="C423" s="239"/>
      <c r="D423" s="239"/>
      <c r="E423" s="239"/>
      <c r="F423" s="239"/>
      <c r="G423" s="239"/>
      <c r="H423" s="239"/>
    </row>
    <row r="424" spans="1:8">
      <c r="A424" s="239"/>
      <c r="B424" s="239"/>
      <c r="C424" s="239"/>
      <c r="D424" s="239"/>
      <c r="E424" s="239"/>
      <c r="F424" s="239"/>
      <c r="G424" s="239"/>
      <c r="H424" s="239"/>
    </row>
    <row r="425" spans="1:8">
      <c r="A425" s="239"/>
      <c r="B425" s="239"/>
      <c r="C425" s="239"/>
      <c r="D425" s="239"/>
      <c r="E425" s="239"/>
      <c r="F425" s="239"/>
      <c r="G425" s="239"/>
      <c r="H425" s="239"/>
    </row>
    <row r="426" spans="1:8">
      <c r="A426" s="239"/>
      <c r="B426" s="239"/>
      <c r="C426" s="239"/>
      <c r="D426" s="239"/>
      <c r="E426" s="239"/>
      <c r="F426" s="239"/>
      <c r="G426" s="239"/>
      <c r="H426" s="239"/>
    </row>
    <row r="427" spans="1:8">
      <c r="A427" s="239"/>
      <c r="B427" s="239"/>
      <c r="C427" s="239"/>
      <c r="D427" s="239"/>
      <c r="E427" s="239"/>
      <c r="F427" s="239"/>
      <c r="G427" s="239"/>
      <c r="H427" s="239"/>
    </row>
    <row r="428" spans="1:8">
      <c r="A428" s="239"/>
      <c r="B428" s="239"/>
      <c r="C428" s="239"/>
      <c r="D428" s="239"/>
      <c r="E428" s="239"/>
      <c r="F428" s="239"/>
      <c r="G428" s="239"/>
      <c r="H428" s="239"/>
    </row>
    <row r="429" spans="1:8">
      <c r="A429" s="239"/>
      <c r="B429" s="239"/>
      <c r="C429" s="239"/>
      <c r="D429" s="239"/>
      <c r="E429" s="239"/>
      <c r="F429" s="239"/>
      <c r="G429" s="239"/>
      <c r="H429" s="239"/>
    </row>
    <row r="430" spans="1:8">
      <c r="A430" s="239"/>
      <c r="B430" s="239"/>
      <c r="C430" s="239"/>
      <c r="D430" s="239"/>
      <c r="E430" s="239"/>
      <c r="F430" s="239"/>
      <c r="G430" s="239"/>
      <c r="H430" s="239"/>
    </row>
    <row r="431" spans="1:8">
      <c r="A431" s="239"/>
      <c r="B431" s="239"/>
      <c r="C431" s="239"/>
      <c r="D431" s="239"/>
      <c r="E431" s="239"/>
      <c r="F431" s="239"/>
      <c r="G431" s="239"/>
      <c r="H431" s="239"/>
    </row>
    <row r="432" spans="1:8">
      <c r="A432" s="239"/>
      <c r="B432" s="239"/>
      <c r="C432" s="239"/>
      <c r="D432" s="239"/>
      <c r="E432" s="239"/>
      <c r="F432" s="239"/>
      <c r="G432" s="239"/>
      <c r="H432" s="239"/>
    </row>
    <row r="433" spans="1:8">
      <c r="A433" s="239"/>
      <c r="B433" s="239"/>
      <c r="C433" s="239"/>
      <c r="D433" s="239"/>
      <c r="E433" s="239"/>
      <c r="F433" s="239"/>
      <c r="G433" s="239"/>
      <c r="H433" s="239"/>
    </row>
    <row r="434" spans="1:8">
      <c r="A434" s="239"/>
      <c r="B434" s="239"/>
      <c r="C434" s="239"/>
      <c r="D434" s="239"/>
      <c r="E434" s="239"/>
      <c r="F434" s="239"/>
      <c r="G434" s="239"/>
      <c r="H434" s="239"/>
    </row>
    <row r="435" spans="1:8">
      <c r="A435" s="239"/>
      <c r="B435" s="239"/>
      <c r="C435" s="239"/>
      <c r="D435" s="239"/>
      <c r="E435" s="239"/>
      <c r="F435" s="239"/>
      <c r="G435" s="239"/>
      <c r="H435" s="239"/>
    </row>
    <row r="436" spans="1:8">
      <c r="A436" s="239"/>
      <c r="B436" s="239"/>
      <c r="C436" s="239"/>
      <c r="D436" s="239"/>
      <c r="E436" s="239"/>
      <c r="F436" s="239"/>
      <c r="G436" s="239"/>
      <c r="H436" s="239"/>
    </row>
    <row r="437" spans="1:8">
      <c r="A437" s="239"/>
      <c r="B437" s="239"/>
      <c r="C437" s="239"/>
      <c r="D437" s="239"/>
      <c r="E437" s="239"/>
      <c r="F437" s="239"/>
      <c r="G437" s="239"/>
      <c r="H437" s="239"/>
    </row>
    <row r="438" spans="1:8">
      <c r="A438" s="239"/>
      <c r="B438" s="239"/>
      <c r="C438" s="239"/>
      <c r="D438" s="239"/>
      <c r="E438" s="239"/>
      <c r="F438" s="239"/>
      <c r="G438" s="239"/>
      <c r="H438" s="239"/>
    </row>
    <row r="439" spans="1:8">
      <c r="A439" s="239"/>
      <c r="B439" s="239"/>
      <c r="C439" s="239"/>
      <c r="D439" s="239"/>
      <c r="E439" s="239"/>
      <c r="F439" s="239"/>
      <c r="G439" s="239"/>
      <c r="H439" s="239"/>
    </row>
    <row r="440" spans="1:8">
      <c r="A440" s="239"/>
      <c r="B440" s="239"/>
      <c r="C440" s="239"/>
      <c r="D440" s="239"/>
      <c r="E440" s="239"/>
      <c r="F440" s="239"/>
      <c r="G440" s="239"/>
      <c r="H440" s="239"/>
    </row>
    <row r="441" spans="1:8">
      <c r="A441" s="239"/>
      <c r="B441" s="239"/>
      <c r="C441" s="239"/>
      <c r="D441" s="239"/>
      <c r="E441" s="239"/>
      <c r="F441" s="239"/>
      <c r="G441" s="239"/>
      <c r="H441" s="239"/>
    </row>
    <row r="442" spans="1:8">
      <c r="A442" s="239"/>
      <c r="B442" s="239"/>
      <c r="C442" s="239"/>
      <c r="D442" s="239"/>
      <c r="E442" s="239"/>
      <c r="F442" s="239"/>
      <c r="G442" s="239"/>
      <c r="H442" s="239"/>
    </row>
    <row r="443" spans="1:8">
      <c r="A443" s="239"/>
      <c r="B443" s="239"/>
      <c r="C443" s="239"/>
      <c r="D443" s="239"/>
      <c r="E443" s="239"/>
      <c r="F443" s="239"/>
      <c r="G443" s="239"/>
      <c r="H443" s="239"/>
    </row>
    <row r="444" spans="1:8">
      <c r="A444" s="239"/>
      <c r="B444" s="239"/>
      <c r="C444" s="239"/>
      <c r="D444" s="239"/>
      <c r="E444" s="239"/>
      <c r="F444" s="239"/>
      <c r="G444" s="239"/>
      <c r="H444" s="239"/>
    </row>
    <row r="445" spans="1:8">
      <c r="A445" s="239"/>
      <c r="B445" s="239"/>
      <c r="C445" s="239"/>
      <c r="D445" s="239"/>
      <c r="E445" s="239"/>
      <c r="F445" s="239"/>
      <c r="G445" s="239"/>
      <c r="H445" s="239"/>
    </row>
    <row r="446" spans="1:8">
      <c r="A446" s="239"/>
      <c r="B446" s="239"/>
      <c r="C446" s="239"/>
      <c r="D446" s="239"/>
      <c r="E446" s="239"/>
      <c r="F446" s="239"/>
      <c r="G446" s="239"/>
      <c r="H446" s="239"/>
    </row>
    <row r="447" spans="1:8">
      <c r="A447" s="239"/>
      <c r="B447" s="239"/>
      <c r="C447" s="239"/>
      <c r="D447" s="239"/>
      <c r="E447" s="239"/>
      <c r="F447" s="239"/>
      <c r="G447" s="239"/>
      <c r="H447" s="239"/>
    </row>
    <row r="448" spans="1:8">
      <c r="A448" s="239"/>
      <c r="B448" s="239"/>
      <c r="C448" s="239"/>
      <c r="D448" s="239"/>
      <c r="E448" s="239"/>
      <c r="F448" s="239"/>
      <c r="G448" s="239"/>
      <c r="H448" s="239"/>
    </row>
    <row r="449" spans="1:8">
      <c r="A449" s="239"/>
      <c r="B449" s="239"/>
      <c r="C449" s="239"/>
      <c r="D449" s="239"/>
      <c r="E449" s="239"/>
      <c r="F449" s="239"/>
      <c r="G449" s="239"/>
      <c r="H449" s="239"/>
    </row>
    <row r="450" spans="1:8">
      <c r="A450" s="239"/>
      <c r="B450" s="239"/>
      <c r="C450" s="239"/>
      <c r="D450" s="239"/>
      <c r="E450" s="239"/>
      <c r="F450" s="239"/>
      <c r="G450" s="239"/>
      <c r="H450" s="239"/>
    </row>
    <row r="451" spans="1:8">
      <c r="A451" s="239"/>
      <c r="B451" s="239"/>
      <c r="C451" s="239"/>
      <c r="D451" s="239"/>
      <c r="E451" s="239"/>
      <c r="F451" s="239"/>
      <c r="G451" s="239"/>
      <c r="H451" s="239"/>
    </row>
    <row r="452" spans="1:8">
      <c r="A452" s="239"/>
      <c r="B452" s="239"/>
      <c r="C452" s="239"/>
      <c r="D452" s="239"/>
      <c r="E452" s="239"/>
      <c r="F452" s="239"/>
      <c r="G452" s="239"/>
      <c r="H452" s="239"/>
    </row>
    <row r="453" spans="1:8">
      <c r="A453" s="239"/>
      <c r="B453" s="239"/>
      <c r="C453" s="239"/>
      <c r="D453" s="239"/>
      <c r="E453" s="239"/>
      <c r="F453" s="239"/>
      <c r="G453" s="239"/>
      <c r="H453" s="239"/>
    </row>
    <row r="454" spans="1:8">
      <c r="A454" s="239"/>
      <c r="B454" s="239"/>
      <c r="C454" s="239"/>
      <c r="D454" s="239"/>
      <c r="E454" s="239"/>
      <c r="F454" s="239"/>
      <c r="G454" s="239"/>
      <c r="H454" s="239"/>
    </row>
    <row r="455" spans="1:8">
      <c r="A455" s="239"/>
      <c r="B455" s="239"/>
      <c r="C455" s="239"/>
      <c r="D455" s="239"/>
      <c r="E455" s="239"/>
      <c r="F455" s="239"/>
      <c r="G455" s="239"/>
      <c r="H455" s="239"/>
    </row>
    <row r="456" spans="1:8">
      <c r="A456" s="239"/>
      <c r="B456" s="239"/>
      <c r="C456" s="239"/>
      <c r="D456" s="239"/>
      <c r="E456" s="239"/>
      <c r="F456" s="239"/>
      <c r="G456" s="239"/>
      <c r="H456" s="239"/>
    </row>
    <row r="457" spans="1:8">
      <c r="A457" s="239"/>
      <c r="B457" s="239"/>
      <c r="C457" s="239"/>
      <c r="D457" s="239"/>
      <c r="E457" s="239"/>
      <c r="F457" s="239"/>
      <c r="G457" s="239"/>
      <c r="H457" s="239"/>
    </row>
    <row r="458" spans="1:8">
      <c r="A458" s="239"/>
      <c r="B458" s="239"/>
      <c r="C458" s="239"/>
      <c r="D458" s="239"/>
      <c r="E458" s="239"/>
      <c r="F458" s="239"/>
      <c r="G458" s="239"/>
      <c r="H458" s="239"/>
    </row>
    <row r="459" spans="1:8">
      <c r="A459" s="239"/>
      <c r="B459" s="239"/>
      <c r="C459" s="239"/>
      <c r="D459" s="239"/>
      <c r="E459" s="239"/>
      <c r="F459" s="239"/>
      <c r="G459" s="239"/>
      <c r="H459" s="239"/>
    </row>
    <row r="460" spans="1:8">
      <c r="A460" s="239"/>
      <c r="B460" s="239"/>
      <c r="C460" s="239"/>
      <c r="D460" s="239"/>
      <c r="E460" s="239"/>
      <c r="F460" s="239"/>
      <c r="G460" s="239"/>
      <c r="H460" s="239"/>
    </row>
    <row r="461" spans="1:8">
      <c r="A461" s="239"/>
      <c r="B461" s="239"/>
      <c r="C461" s="239"/>
      <c r="D461" s="239"/>
      <c r="E461" s="239"/>
      <c r="F461" s="239"/>
      <c r="G461" s="239"/>
      <c r="H461" s="239"/>
    </row>
    <row r="462" spans="1:8">
      <c r="A462" s="239"/>
      <c r="B462" s="239"/>
      <c r="C462" s="239"/>
      <c r="D462" s="239"/>
      <c r="E462" s="239"/>
      <c r="F462" s="239"/>
      <c r="G462" s="239"/>
      <c r="H462" s="239"/>
    </row>
    <row r="463" spans="1:8">
      <c r="A463" s="239"/>
      <c r="B463" s="239"/>
      <c r="C463" s="239"/>
      <c r="D463" s="239"/>
      <c r="E463" s="239"/>
      <c r="F463" s="239"/>
      <c r="G463" s="239"/>
      <c r="H463" s="239"/>
    </row>
    <row r="464" spans="1:8">
      <c r="A464" s="239"/>
      <c r="B464" s="239"/>
      <c r="C464" s="239"/>
      <c r="D464" s="239"/>
      <c r="E464" s="239"/>
      <c r="F464" s="239"/>
      <c r="G464" s="239"/>
      <c r="H464" s="239"/>
    </row>
    <row r="465" spans="1:8">
      <c r="A465" s="239"/>
      <c r="B465" s="239"/>
      <c r="C465" s="239"/>
      <c r="D465" s="239"/>
      <c r="E465" s="239"/>
      <c r="F465" s="239"/>
      <c r="G465" s="239"/>
      <c r="H465" s="239"/>
    </row>
    <row r="466" spans="1:8">
      <c r="A466" s="239"/>
      <c r="B466" s="239"/>
      <c r="C466" s="239"/>
      <c r="D466" s="239"/>
      <c r="E466" s="239"/>
      <c r="F466" s="239"/>
      <c r="G466" s="239"/>
      <c r="H466" s="239"/>
    </row>
    <row r="467" spans="1:8">
      <c r="A467" s="239"/>
      <c r="B467" s="239"/>
      <c r="C467" s="239"/>
      <c r="D467" s="239"/>
      <c r="E467" s="239"/>
      <c r="F467" s="239"/>
      <c r="G467" s="239"/>
      <c r="H467" s="239"/>
    </row>
    <row r="468" spans="1:8">
      <c r="A468" s="239"/>
      <c r="B468" s="239"/>
      <c r="C468" s="239"/>
      <c r="D468" s="239"/>
      <c r="E468" s="239"/>
      <c r="F468" s="239"/>
      <c r="G468" s="239"/>
      <c r="H468" s="239"/>
    </row>
    <row r="469" spans="1:8">
      <c r="A469" s="239"/>
      <c r="B469" s="239"/>
      <c r="C469" s="239"/>
      <c r="D469" s="239"/>
      <c r="E469" s="239"/>
      <c r="F469" s="239"/>
      <c r="G469" s="239"/>
      <c r="H469" s="239"/>
    </row>
    <row r="470" spans="1:8">
      <c r="A470" s="239"/>
      <c r="B470" s="239"/>
      <c r="C470" s="239"/>
      <c r="D470" s="239"/>
      <c r="E470" s="239"/>
      <c r="F470" s="239"/>
      <c r="G470" s="239"/>
      <c r="H470" s="239"/>
    </row>
    <row r="471" spans="1:8">
      <c r="A471" s="239"/>
      <c r="B471" s="239"/>
      <c r="C471" s="239"/>
      <c r="D471" s="239"/>
      <c r="E471" s="239"/>
      <c r="F471" s="239"/>
      <c r="G471" s="239"/>
      <c r="H471" s="239"/>
    </row>
    <row r="472" spans="1:8">
      <c r="A472" s="239"/>
      <c r="B472" s="239"/>
      <c r="C472" s="239"/>
      <c r="D472" s="239"/>
      <c r="E472" s="239"/>
      <c r="F472" s="239"/>
      <c r="G472" s="239"/>
      <c r="H472" s="239"/>
    </row>
    <row r="473" spans="1:8">
      <c r="A473" s="239"/>
      <c r="B473" s="239"/>
      <c r="C473" s="239"/>
      <c r="D473" s="239"/>
      <c r="E473" s="239"/>
      <c r="F473" s="239"/>
      <c r="G473" s="239"/>
      <c r="H473" s="239"/>
    </row>
    <row r="474" spans="1:8">
      <c r="A474" s="239"/>
      <c r="B474" s="239"/>
      <c r="C474" s="239"/>
      <c r="D474" s="239"/>
      <c r="E474" s="239"/>
      <c r="F474" s="239"/>
      <c r="G474" s="239"/>
      <c r="H474" s="239"/>
    </row>
    <row r="475" spans="1:8">
      <c r="A475" s="239"/>
      <c r="B475" s="239"/>
      <c r="C475" s="239"/>
      <c r="D475" s="239"/>
      <c r="E475" s="239"/>
      <c r="F475" s="239"/>
      <c r="G475" s="239"/>
      <c r="H475" s="239"/>
    </row>
    <row r="476" spans="1:8">
      <c r="A476" s="239"/>
      <c r="B476" s="239"/>
      <c r="C476" s="239"/>
      <c r="D476" s="239"/>
      <c r="E476" s="239"/>
      <c r="F476" s="239"/>
      <c r="G476" s="239"/>
      <c r="H476" s="239"/>
    </row>
    <row r="477" spans="1:8">
      <c r="A477" s="239"/>
      <c r="B477" s="239"/>
      <c r="C477" s="239"/>
      <c r="D477" s="239"/>
      <c r="E477" s="239"/>
      <c r="F477" s="239"/>
      <c r="G477" s="239"/>
      <c r="H477" s="239"/>
    </row>
    <row r="478" spans="1:8">
      <c r="A478" s="239"/>
      <c r="B478" s="239"/>
      <c r="C478" s="239"/>
      <c r="D478" s="239"/>
      <c r="E478" s="239"/>
      <c r="F478" s="239"/>
      <c r="G478" s="239"/>
      <c r="H478" s="239"/>
    </row>
    <row r="479" spans="1:8">
      <c r="A479" s="239"/>
      <c r="B479" s="239"/>
      <c r="C479" s="239"/>
      <c r="D479" s="239"/>
      <c r="E479" s="239"/>
      <c r="F479" s="239"/>
      <c r="G479" s="239"/>
      <c r="H479" s="239"/>
    </row>
    <row r="480" spans="1:8">
      <c r="A480" s="239"/>
      <c r="B480" s="239"/>
      <c r="C480" s="239"/>
      <c r="D480" s="239"/>
      <c r="E480" s="239"/>
      <c r="F480" s="239"/>
      <c r="G480" s="239"/>
      <c r="H480" s="239"/>
    </row>
    <row r="481" spans="1:8">
      <c r="A481" s="239"/>
      <c r="B481" s="239"/>
      <c r="C481" s="239"/>
      <c r="D481" s="239"/>
      <c r="E481" s="239"/>
      <c r="F481" s="239"/>
      <c r="G481" s="239"/>
      <c r="H481" s="239"/>
    </row>
    <row r="482" spans="1:8">
      <c r="A482" s="239"/>
      <c r="B482" s="239"/>
      <c r="C482" s="239"/>
      <c r="D482" s="239"/>
      <c r="E482" s="239"/>
      <c r="F482" s="239"/>
      <c r="G482" s="239"/>
      <c r="H482" s="239"/>
    </row>
    <row r="483" spans="1:8">
      <c r="A483" s="239"/>
      <c r="B483" s="239"/>
      <c r="C483" s="239"/>
      <c r="D483" s="239"/>
      <c r="E483" s="239"/>
      <c r="F483" s="239"/>
      <c r="G483" s="239"/>
      <c r="H483" s="239"/>
    </row>
    <row r="484" spans="1:8">
      <c r="A484" s="239"/>
      <c r="B484" s="239"/>
      <c r="C484" s="239"/>
      <c r="D484" s="239"/>
      <c r="E484" s="239"/>
      <c r="F484" s="239"/>
      <c r="G484" s="239"/>
      <c r="H484" s="239"/>
    </row>
    <row r="485" spans="1:8">
      <c r="A485" s="239"/>
      <c r="B485" s="239"/>
      <c r="C485" s="239"/>
      <c r="D485" s="239"/>
      <c r="E485" s="239"/>
      <c r="F485" s="239"/>
      <c r="G485" s="239"/>
      <c r="H485" s="239"/>
    </row>
    <row r="486" spans="1:8">
      <c r="A486" s="239"/>
      <c r="B486" s="239"/>
      <c r="C486" s="239"/>
      <c r="D486" s="239"/>
      <c r="E486" s="239"/>
      <c r="F486" s="239"/>
      <c r="G486" s="239"/>
      <c r="H486" s="239"/>
    </row>
    <row r="487" spans="1:8">
      <c r="A487" s="239"/>
      <c r="B487" s="239"/>
      <c r="C487" s="239"/>
      <c r="D487" s="239"/>
      <c r="E487" s="239"/>
      <c r="F487" s="239"/>
      <c r="G487" s="239"/>
      <c r="H487" s="239"/>
    </row>
    <row r="488" spans="1:8">
      <c r="A488" s="239"/>
      <c r="B488" s="239"/>
      <c r="C488" s="239"/>
      <c r="D488" s="239"/>
      <c r="E488" s="239"/>
      <c r="F488" s="239"/>
      <c r="G488" s="239"/>
      <c r="H488" s="239"/>
    </row>
    <row r="489" spans="1:8">
      <c r="A489" s="239"/>
      <c r="B489" s="239"/>
      <c r="C489" s="239"/>
      <c r="D489" s="239"/>
      <c r="E489" s="239"/>
      <c r="F489" s="239"/>
      <c r="G489" s="239"/>
      <c r="H489" s="239"/>
    </row>
    <row r="490" spans="1:8">
      <c r="A490" s="239"/>
      <c r="B490" s="239"/>
      <c r="C490" s="239"/>
      <c r="D490" s="239"/>
      <c r="E490" s="239"/>
      <c r="F490" s="239"/>
      <c r="G490" s="239"/>
      <c r="H490" s="239"/>
    </row>
    <row r="491" spans="1:8">
      <c r="A491" s="239"/>
      <c r="B491" s="239"/>
      <c r="C491" s="239"/>
      <c r="D491" s="239"/>
      <c r="E491" s="239"/>
      <c r="F491" s="239"/>
      <c r="G491" s="239"/>
      <c r="H491" s="239"/>
    </row>
    <row r="492" spans="1:8">
      <c r="A492" s="239"/>
      <c r="B492" s="239"/>
      <c r="C492" s="239"/>
      <c r="D492" s="239"/>
      <c r="E492" s="239"/>
      <c r="F492" s="239"/>
      <c r="G492" s="239"/>
      <c r="H492" s="239"/>
    </row>
    <row r="493" spans="1:8">
      <c r="A493" s="239"/>
      <c r="B493" s="239"/>
      <c r="C493" s="239"/>
      <c r="D493" s="239"/>
      <c r="E493" s="239"/>
      <c r="F493" s="239"/>
      <c r="G493" s="239"/>
      <c r="H493" s="239"/>
    </row>
    <row r="494" spans="1:8">
      <c r="A494" s="239"/>
      <c r="B494" s="239"/>
      <c r="C494" s="239"/>
      <c r="D494" s="239"/>
      <c r="E494" s="239"/>
      <c r="F494" s="239"/>
      <c r="G494" s="239"/>
      <c r="H494" s="239"/>
    </row>
    <row r="495" spans="1:8">
      <c r="A495" s="239"/>
      <c r="B495" s="239"/>
      <c r="C495" s="239"/>
      <c r="D495" s="239"/>
      <c r="E495" s="239"/>
      <c r="F495" s="239"/>
      <c r="G495" s="239"/>
      <c r="H495" s="239"/>
    </row>
    <row r="496" spans="1:8">
      <c r="A496" s="239"/>
      <c r="B496" s="239"/>
      <c r="C496" s="239"/>
      <c r="D496" s="239"/>
      <c r="E496" s="239"/>
      <c r="F496" s="239"/>
      <c r="G496" s="239"/>
      <c r="H496" s="239"/>
    </row>
    <row r="497" spans="1:8">
      <c r="A497" s="239"/>
      <c r="B497" s="239"/>
      <c r="C497" s="239"/>
      <c r="D497" s="239"/>
      <c r="E497" s="239"/>
      <c r="F497" s="239"/>
      <c r="G497" s="239"/>
      <c r="H497" s="239"/>
    </row>
    <row r="498" spans="1:8">
      <c r="A498" s="239"/>
      <c r="B498" s="239"/>
      <c r="C498" s="239"/>
      <c r="D498" s="239"/>
      <c r="E498" s="239"/>
      <c r="F498" s="239"/>
      <c r="G498" s="239"/>
      <c r="H498" s="239"/>
    </row>
    <row r="499" spans="1:8">
      <c r="A499" s="239"/>
      <c r="B499" s="239"/>
      <c r="C499" s="239"/>
      <c r="D499" s="239"/>
      <c r="E499" s="239"/>
      <c r="F499" s="239"/>
      <c r="G499" s="239"/>
      <c r="H499" s="239"/>
    </row>
    <row r="500" spans="1:8">
      <c r="A500" s="239"/>
      <c r="B500" s="239"/>
      <c r="C500" s="239"/>
      <c r="D500" s="239"/>
      <c r="E500" s="239"/>
      <c r="F500" s="239"/>
      <c r="G500" s="239"/>
      <c r="H500" s="239"/>
    </row>
    <row r="501" spans="1:8">
      <c r="A501" s="239"/>
      <c r="B501" s="239"/>
      <c r="C501" s="239"/>
      <c r="D501" s="239"/>
      <c r="E501" s="239"/>
      <c r="F501" s="239"/>
      <c r="G501" s="239"/>
      <c r="H501" s="239"/>
    </row>
    <row r="502" spans="1:8">
      <c r="A502" s="239"/>
      <c r="B502" s="239"/>
      <c r="C502" s="239"/>
      <c r="D502" s="239"/>
      <c r="E502" s="239"/>
      <c r="F502" s="239"/>
      <c r="G502" s="239"/>
      <c r="H502" s="239"/>
    </row>
    <row r="503" spans="1:8">
      <c r="A503" s="239"/>
      <c r="B503" s="239"/>
      <c r="C503" s="239"/>
      <c r="D503" s="239"/>
      <c r="E503" s="239"/>
      <c r="F503" s="239"/>
      <c r="G503" s="239"/>
      <c r="H503" s="239"/>
    </row>
    <row r="504" spans="1:8">
      <c r="A504" s="239"/>
      <c r="B504" s="239"/>
      <c r="C504" s="239"/>
      <c r="D504" s="239"/>
      <c r="E504" s="239"/>
      <c r="F504" s="239"/>
      <c r="G504" s="239"/>
      <c r="H504" s="239"/>
    </row>
    <row r="505" spans="1:8">
      <c r="A505" s="239"/>
      <c r="B505" s="239"/>
      <c r="C505" s="239"/>
      <c r="D505" s="239"/>
      <c r="E505" s="239"/>
      <c r="F505" s="239"/>
      <c r="G505" s="239"/>
      <c r="H505" s="239"/>
    </row>
    <row r="506" spans="1:8">
      <c r="A506" s="239"/>
      <c r="B506" s="239"/>
      <c r="C506" s="239"/>
      <c r="D506" s="239"/>
      <c r="E506" s="239"/>
      <c r="F506" s="239"/>
      <c r="G506" s="239"/>
      <c r="H506" s="239"/>
    </row>
    <row r="507" spans="1:8">
      <c r="A507" s="239"/>
      <c r="B507" s="239"/>
      <c r="C507" s="239"/>
      <c r="D507" s="239"/>
      <c r="E507" s="239"/>
      <c r="F507" s="239"/>
      <c r="G507" s="239"/>
      <c r="H507" s="239"/>
    </row>
    <row r="508" spans="1:8">
      <c r="A508" s="239"/>
      <c r="B508" s="239"/>
      <c r="C508" s="239"/>
      <c r="D508" s="239"/>
      <c r="E508" s="239"/>
      <c r="F508" s="239"/>
      <c r="G508" s="239"/>
      <c r="H508" s="239"/>
    </row>
    <row r="509" spans="1:8">
      <c r="A509" s="239"/>
      <c r="B509" s="239"/>
      <c r="C509" s="239"/>
      <c r="D509" s="239"/>
      <c r="E509" s="239"/>
      <c r="F509" s="239"/>
      <c r="G509" s="239"/>
      <c r="H509" s="239"/>
    </row>
    <row r="510" spans="1:8">
      <c r="A510" s="239"/>
      <c r="B510" s="239"/>
      <c r="C510" s="239"/>
      <c r="D510" s="239"/>
      <c r="E510" s="239"/>
      <c r="F510" s="239"/>
      <c r="G510" s="239"/>
      <c r="H510" s="239"/>
    </row>
    <row r="511" spans="1:8">
      <c r="A511" s="239"/>
      <c r="B511" s="239"/>
      <c r="C511" s="239"/>
      <c r="D511" s="239"/>
      <c r="E511" s="239"/>
      <c r="F511" s="239"/>
      <c r="G511" s="239"/>
      <c r="H511" s="239"/>
    </row>
    <row r="512" spans="1:8">
      <c r="A512" s="239"/>
      <c r="B512" s="239"/>
      <c r="C512" s="239"/>
      <c r="D512" s="239"/>
      <c r="E512" s="239"/>
      <c r="F512" s="239"/>
      <c r="G512" s="239"/>
      <c r="H512" s="239"/>
    </row>
    <row r="513" spans="1:8">
      <c r="A513" s="239"/>
      <c r="B513" s="239"/>
      <c r="C513" s="239"/>
      <c r="D513" s="239"/>
      <c r="E513" s="239"/>
      <c r="F513" s="239"/>
      <c r="G513" s="239"/>
      <c r="H513" s="239"/>
    </row>
    <row r="514" spans="1:8">
      <c r="A514" s="239"/>
      <c r="B514" s="239"/>
      <c r="C514" s="239"/>
      <c r="D514" s="239"/>
      <c r="E514" s="239"/>
      <c r="F514" s="239"/>
      <c r="G514" s="239"/>
      <c r="H514" s="239"/>
    </row>
    <row r="515" spans="1:8">
      <c r="A515" s="239"/>
      <c r="B515" s="239"/>
      <c r="C515" s="239"/>
      <c r="D515" s="239"/>
      <c r="E515" s="239"/>
      <c r="F515" s="239"/>
      <c r="G515" s="239"/>
      <c r="H515" s="239"/>
    </row>
    <row r="516" spans="1:8">
      <c r="A516" s="239"/>
      <c r="B516" s="239"/>
      <c r="C516" s="239"/>
      <c r="D516" s="239"/>
      <c r="E516" s="239"/>
      <c r="F516" s="239"/>
      <c r="G516" s="239"/>
      <c r="H516" s="239"/>
    </row>
    <row r="517" spans="1:8">
      <c r="A517" s="239"/>
      <c r="B517" s="239"/>
      <c r="C517" s="239"/>
      <c r="D517" s="239"/>
      <c r="E517" s="239"/>
      <c r="F517" s="239"/>
      <c r="G517" s="239"/>
      <c r="H517" s="239"/>
    </row>
    <row r="518" spans="1:8">
      <c r="A518" s="239"/>
      <c r="B518" s="239"/>
      <c r="C518" s="239"/>
      <c r="D518" s="239"/>
      <c r="E518" s="239"/>
      <c r="F518" s="239"/>
      <c r="G518" s="239"/>
      <c r="H518" s="239"/>
    </row>
    <row r="519" spans="1:8">
      <c r="A519" s="239"/>
      <c r="B519" s="239"/>
      <c r="C519" s="239"/>
      <c r="D519" s="239"/>
      <c r="E519" s="239"/>
      <c r="F519" s="239"/>
      <c r="G519" s="239"/>
      <c r="H519" s="239"/>
    </row>
    <row r="520" spans="1:8">
      <c r="A520" s="239"/>
      <c r="B520" s="239"/>
      <c r="C520" s="239"/>
      <c r="D520" s="239"/>
      <c r="E520" s="239"/>
      <c r="F520" s="239"/>
      <c r="G520" s="239"/>
      <c r="H520" s="239"/>
    </row>
    <row r="521" spans="1:8">
      <c r="A521" s="239"/>
      <c r="B521" s="239"/>
      <c r="C521" s="239"/>
      <c r="D521" s="239"/>
      <c r="E521" s="239"/>
      <c r="F521" s="239"/>
      <c r="G521" s="239"/>
      <c r="H521" s="239"/>
    </row>
    <row r="522" spans="1:8">
      <c r="A522" s="239"/>
      <c r="B522" s="239"/>
      <c r="C522" s="239"/>
      <c r="D522" s="239"/>
      <c r="E522" s="239"/>
      <c r="F522" s="239"/>
      <c r="G522" s="239"/>
      <c r="H522" s="239"/>
    </row>
    <row r="523" spans="1:8">
      <c r="A523" s="239"/>
      <c r="B523" s="239"/>
      <c r="C523" s="239"/>
      <c r="D523" s="239"/>
      <c r="E523" s="239"/>
      <c r="F523" s="239"/>
      <c r="G523" s="239"/>
      <c r="H523" s="239"/>
    </row>
    <row r="524" spans="1:8">
      <c r="A524" s="239"/>
      <c r="B524" s="239"/>
      <c r="C524" s="239"/>
      <c r="D524" s="239"/>
      <c r="E524" s="239"/>
      <c r="F524" s="239"/>
      <c r="G524" s="239"/>
      <c r="H524" s="239"/>
    </row>
    <row r="525" spans="1:8">
      <c r="A525" s="239"/>
      <c r="B525" s="239"/>
      <c r="C525" s="239"/>
      <c r="D525" s="239"/>
      <c r="E525" s="239"/>
      <c r="F525" s="239"/>
      <c r="G525" s="239"/>
      <c r="H525" s="239"/>
    </row>
    <row r="526" spans="1:8">
      <c r="A526" s="239"/>
      <c r="B526" s="239"/>
      <c r="C526" s="239"/>
      <c r="D526" s="239"/>
      <c r="E526" s="239"/>
      <c r="F526" s="239"/>
      <c r="G526" s="239"/>
      <c r="H526" s="239"/>
    </row>
    <row r="527" spans="1:8">
      <c r="A527" s="239"/>
      <c r="B527" s="239"/>
      <c r="C527" s="239"/>
      <c r="D527" s="239"/>
      <c r="E527" s="239"/>
      <c r="F527" s="239"/>
      <c r="G527" s="239"/>
      <c r="H527" s="239"/>
    </row>
    <row r="528" spans="1:8">
      <c r="A528" s="239"/>
      <c r="B528" s="239"/>
      <c r="C528" s="239"/>
      <c r="D528" s="239"/>
      <c r="E528" s="239"/>
      <c r="F528" s="239"/>
      <c r="G528" s="239"/>
      <c r="H528" s="239"/>
    </row>
    <row r="529" spans="1:8">
      <c r="A529" s="239"/>
      <c r="B529" s="239"/>
      <c r="C529" s="239"/>
      <c r="D529" s="239"/>
      <c r="E529" s="239"/>
      <c r="F529" s="239"/>
      <c r="G529" s="239"/>
      <c r="H529" s="239"/>
    </row>
    <row r="530" spans="1:8">
      <c r="A530" s="239"/>
      <c r="B530" s="239"/>
      <c r="C530" s="239"/>
      <c r="D530" s="239"/>
      <c r="E530" s="239"/>
      <c r="F530" s="239"/>
      <c r="G530" s="239"/>
      <c r="H530" s="239"/>
    </row>
    <row r="531" spans="1:8">
      <c r="A531" s="239"/>
      <c r="B531" s="239"/>
      <c r="C531" s="239"/>
      <c r="D531" s="239"/>
      <c r="E531" s="239"/>
      <c r="F531" s="239"/>
      <c r="G531" s="239"/>
      <c r="H531" s="239"/>
    </row>
    <row r="532" spans="1:8">
      <c r="A532" s="239"/>
      <c r="B532" s="239"/>
      <c r="C532" s="239"/>
      <c r="D532" s="239"/>
      <c r="E532" s="239"/>
      <c r="F532" s="239"/>
      <c r="G532" s="239"/>
      <c r="H532" s="239"/>
    </row>
    <row r="533" spans="1:8">
      <c r="A533" s="239"/>
      <c r="B533" s="239"/>
      <c r="C533" s="239"/>
      <c r="D533" s="239"/>
      <c r="E533" s="239"/>
      <c r="F533" s="239"/>
      <c r="G533" s="239"/>
      <c r="H533" s="239"/>
    </row>
    <row r="534" spans="1:8">
      <c r="A534" s="239"/>
      <c r="B534" s="239"/>
      <c r="C534" s="239"/>
      <c r="D534" s="239"/>
      <c r="E534" s="239"/>
      <c r="F534" s="239"/>
      <c r="G534" s="239"/>
      <c r="H534" s="239"/>
    </row>
    <row r="535" spans="1:8">
      <c r="A535" s="239"/>
      <c r="B535" s="239"/>
      <c r="C535" s="239"/>
      <c r="D535" s="239"/>
      <c r="E535" s="239"/>
      <c r="F535" s="239"/>
      <c r="G535" s="239"/>
      <c r="H535" s="239"/>
    </row>
    <row r="536" spans="1:8">
      <c r="A536" s="239"/>
      <c r="B536" s="239"/>
      <c r="C536" s="239"/>
      <c r="D536" s="239"/>
      <c r="E536" s="239"/>
      <c r="F536" s="239"/>
      <c r="G536" s="239"/>
      <c r="H536" s="239"/>
    </row>
    <row r="537" spans="1:8">
      <c r="A537" s="239"/>
      <c r="B537" s="239"/>
      <c r="C537" s="239"/>
      <c r="D537" s="239"/>
      <c r="E537" s="239"/>
      <c r="F537" s="239"/>
      <c r="G537" s="239"/>
      <c r="H537" s="239"/>
    </row>
    <row r="538" spans="1:8">
      <c r="A538" s="239"/>
      <c r="B538" s="239"/>
      <c r="C538" s="239"/>
      <c r="D538" s="239"/>
      <c r="E538" s="239"/>
      <c r="F538" s="239"/>
      <c r="G538" s="239"/>
      <c r="H538" s="239"/>
    </row>
    <row r="539" spans="1:8">
      <c r="A539" s="239"/>
      <c r="B539" s="239"/>
      <c r="C539" s="239"/>
      <c r="D539" s="239"/>
      <c r="E539" s="239"/>
      <c r="F539" s="239"/>
      <c r="G539" s="239"/>
      <c r="H539" s="239"/>
    </row>
    <row r="540" spans="1:8">
      <c r="A540" s="239"/>
      <c r="B540" s="239"/>
      <c r="C540" s="239"/>
      <c r="D540" s="239"/>
      <c r="E540" s="239"/>
      <c r="F540" s="239"/>
      <c r="G540" s="239"/>
      <c r="H540" s="239"/>
    </row>
    <row r="541" spans="1:8">
      <c r="A541" s="239"/>
      <c r="B541" s="239"/>
      <c r="C541" s="239"/>
      <c r="D541" s="239"/>
      <c r="E541" s="239"/>
      <c r="F541" s="239"/>
      <c r="G541" s="239"/>
      <c r="H541" s="239"/>
    </row>
    <row r="542" spans="1:8">
      <c r="A542" s="239"/>
      <c r="B542" s="239"/>
      <c r="C542" s="239"/>
      <c r="D542" s="239"/>
      <c r="E542" s="239"/>
      <c r="F542" s="239"/>
      <c r="G542" s="239"/>
      <c r="H542" s="239"/>
    </row>
    <row r="543" spans="1:8">
      <c r="A543" s="239"/>
      <c r="B543" s="239"/>
      <c r="C543" s="239"/>
      <c r="D543" s="239"/>
      <c r="E543" s="239"/>
      <c r="F543" s="239"/>
      <c r="G543" s="239"/>
      <c r="H543" s="239"/>
    </row>
    <row r="544" spans="1:8">
      <c r="A544" s="239"/>
      <c r="B544" s="239"/>
      <c r="C544" s="239"/>
      <c r="D544" s="239"/>
      <c r="E544" s="239"/>
      <c r="F544" s="239"/>
      <c r="G544" s="239"/>
      <c r="H544" s="239"/>
    </row>
    <row r="545" spans="1:8">
      <c r="A545" s="239"/>
      <c r="B545" s="239"/>
      <c r="C545" s="239"/>
      <c r="D545" s="239"/>
      <c r="E545" s="239"/>
      <c r="F545" s="239"/>
      <c r="G545" s="239"/>
      <c r="H545" s="239"/>
    </row>
    <row r="546" spans="1:8">
      <c r="A546" s="239"/>
      <c r="B546" s="239"/>
      <c r="C546" s="239"/>
      <c r="D546" s="239"/>
      <c r="E546" s="239"/>
      <c r="F546" s="239"/>
      <c r="G546" s="239"/>
      <c r="H546" s="239"/>
    </row>
    <row r="547" spans="1:8">
      <c r="A547" s="239"/>
      <c r="B547" s="239"/>
      <c r="C547" s="239"/>
      <c r="D547" s="239"/>
      <c r="E547" s="239"/>
      <c r="F547" s="239"/>
      <c r="G547" s="239"/>
      <c r="H547" s="239"/>
    </row>
    <row r="548" spans="1:8">
      <c r="A548" s="239"/>
      <c r="B548" s="239"/>
      <c r="C548" s="239"/>
      <c r="D548" s="239"/>
      <c r="E548" s="239"/>
      <c r="F548" s="239"/>
      <c r="G548" s="239"/>
      <c r="H548" s="239"/>
    </row>
    <row r="549" spans="1:8">
      <c r="A549" s="239"/>
      <c r="B549" s="239"/>
      <c r="C549" s="239"/>
      <c r="D549" s="239"/>
      <c r="E549" s="239"/>
      <c r="F549" s="239"/>
      <c r="G549" s="239"/>
      <c r="H549" s="239"/>
    </row>
    <row r="550" spans="1:8">
      <c r="A550" s="239"/>
      <c r="B550" s="239"/>
      <c r="C550" s="239"/>
      <c r="D550" s="239"/>
      <c r="E550" s="239"/>
      <c r="F550" s="239"/>
      <c r="G550" s="239"/>
      <c r="H550" s="239"/>
    </row>
    <row r="551" spans="1:8">
      <c r="A551" s="239"/>
      <c r="B551" s="239"/>
      <c r="C551" s="239"/>
      <c r="D551" s="239"/>
      <c r="E551" s="239"/>
      <c r="F551" s="239"/>
      <c r="G551" s="239"/>
      <c r="H551" s="239"/>
    </row>
    <row r="552" spans="1:8">
      <c r="A552" s="239"/>
      <c r="B552" s="239"/>
      <c r="C552" s="239"/>
      <c r="D552" s="239"/>
      <c r="E552" s="239"/>
      <c r="F552" s="239"/>
      <c r="G552" s="239"/>
      <c r="H552" s="239"/>
    </row>
    <row r="553" spans="1:8">
      <c r="A553" s="239"/>
      <c r="B553" s="239"/>
      <c r="C553" s="239"/>
      <c r="D553" s="239"/>
      <c r="E553" s="239"/>
      <c r="F553" s="239"/>
      <c r="G553" s="239"/>
      <c r="H553" s="239"/>
    </row>
    <row r="554" spans="1:8">
      <c r="A554" s="239"/>
      <c r="B554" s="239"/>
      <c r="C554" s="239"/>
      <c r="D554" s="239"/>
      <c r="E554" s="239"/>
      <c r="F554" s="239"/>
      <c r="G554" s="239"/>
      <c r="H554" s="239"/>
    </row>
    <row r="555" spans="1:8">
      <c r="A555" s="239"/>
      <c r="B555" s="239"/>
      <c r="C555" s="239"/>
      <c r="D555" s="239"/>
      <c r="E555" s="239"/>
      <c r="F555" s="239"/>
      <c r="G555" s="239"/>
      <c r="H555" s="239"/>
    </row>
    <row r="556" spans="1:8">
      <c r="A556" s="239"/>
      <c r="B556" s="239"/>
      <c r="C556" s="239"/>
      <c r="D556" s="239"/>
      <c r="E556" s="239"/>
      <c r="F556" s="239"/>
      <c r="G556" s="239"/>
      <c r="H556" s="239"/>
    </row>
    <row r="557" spans="1:8">
      <c r="A557" s="239"/>
      <c r="B557" s="239"/>
      <c r="C557" s="239"/>
      <c r="D557" s="239"/>
      <c r="E557" s="239"/>
      <c r="F557" s="239"/>
      <c r="G557" s="239"/>
      <c r="H557" s="239"/>
    </row>
    <row r="558" spans="1:8">
      <c r="A558" s="239"/>
      <c r="B558" s="239"/>
      <c r="C558" s="239"/>
      <c r="D558" s="239"/>
      <c r="E558" s="239"/>
      <c r="F558" s="239"/>
      <c r="G558" s="239"/>
      <c r="H558" s="239"/>
    </row>
    <row r="559" spans="1:8">
      <c r="A559" s="239"/>
      <c r="B559" s="239"/>
      <c r="C559" s="239"/>
      <c r="D559" s="239"/>
      <c r="E559" s="239"/>
      <c r="F559" s="239"/>
      <c r="G559" s="239"/>
      <c r="H559" s="239"/>
    </row>
    <row r="560" spans="1:8">
      <c r="A560" s="239"/>
      <c r="B560" s="239"/>
      <c r="C560" s="239"/>
      <c r="D560" s="239"/>
      <c r="E560" s="239"/>
      <c r="F560" s="239"/>
      <c r="G560" s="239"/>
      <c r="H560" s="239"/>
    </row>
    <row r="561" spans="1:8">
      <c r="A561" s="239"/>
      <c r="B561" s="239"/>
      <c r="C561" s="239"/>
      <c r="D561" s="239"/>
      <c r="E561" s="239"/>
      <c r="F561" s="239"/>
      <c r="G561" s="239"/>
      <c r="H561" s="239"/>
    </row>
    <row r="562" spans="1:8">
      <c r="A562" s="239"/>
      <c r="B562" s="239"/>
      <c r="C562" s="239"/>
      <c r="D562" s="239"/>
      <c r="E562" s="239"/>
      <c r="F562" s="239"/>
      <c r="G562" s="239"/>
      <c r="H562" s="239"/>
    </row>
    <row r="563" spans="1:8">
      <c r="A563" s="239"/>
      <c r="B563" s="239"/>
      <c r="C563" s="239"/>
      <c r="D563" s="239"/>
      <c r="E563" s="239"/>
      <c r="F563" s="239"/>
      <c r="G563" s="239"/>
      <c r="H563" s="239"/>
    </row>
    <row r="564" spans="1:8">
      <c r="A564" s="239"/>
      <c r="B564" s="239"/>
      <c r="C564" s="239"/>
      <c r="D564" s="239"/>
      <c r="E564" s="239"/>
      <c r="F564" s="239"/>
      <c r="G564" s="239"/>
      <c r="H564" s="239"/>
    </row>
    <row r="565" spans="1:8">
      <c r="A565" s="239"/>
      <c r="B565" s="239"/>
      <c r="C565" s="239"/>
      <c r="D565" s="239"/>
      <c r="E565" s="239"/>
      <c r="F565" s="239"/>
      <c r="G565" s="239"/>
      <c r="H565" s="239"/>
    </row>
    <row r="566" spans="1:8">
      <c r="A566" s="239"/>
      <c r="B566" s="239"/>
      <c r="C566" s="239"/>
      <c r="D566" s="239"/>
      <c r="E566" s="239"/>
      <c r="F566" s="239"/>
      <c r="G566" s="239"/>
      <c r="H566" s="239"/>
    </row>
    <row r="567" spans="1:8">
      <c r="A567" s="239"/>
      <c r="B567" s="239"/>
      <c r="C567" s="239"/>
      <c r="D567" s="239"/>
      <c r="E567" s="239"/>
      <c r="F567" s="239"/>
      <c r="G567" s="239"/>
      <c r="H567" s="239"/>
    </row>
    <row r="568" spans="1:8">
      <c r="A568" s="239"/>
      <c r="B568" s="239"/>
      <c r="C568" s="239"/>
      <c r="D568" s="239"/>
      <c r="E568" s="239"/>
      <c r="F568" s="239"/>
      <c r="G568" s="239"/>
      <c r="H568" s="239"/>
    </row>
    <row r="569" spans="1:8">
      <c r="A569" s="239"/>
      <c r="B569" s="239"/>
      <c r="C569" s="239"/>
      <c r="D569" s="239"/>
      <c r="E569" s="239"/>
      <c r="F569" s="239"/>
      <c r="G569" s="239"/>
      <c r="H569" s="239"/>
    </row>
    <row r="570" spans="1:8">
      <c r="A570" s="239"/>
      <c r="B570" s="239"/>
      <c r="C570" s="239"/>
      <c r="D570" s="239"/>
      <c r="E570" s="239"/>
      <c r="F570" s="239"/>
      <c r="G570" s="239"/>
      <c r="H570" s="239"/>
    </row>
    <row r="571" spans="1:8">
      <c r="A571" s="239"/>
      <c r="B571" s="239"/>
      <c r="C571" s="239"/>
      <c r="D571" s="239"/>
      <c r="E571" s="239"/>
      <c r="F571" s="239"/>
      <c r="G571" s="239"/>
      <c r="H571" s="239"/>
    </row>
    <row r="572" spans="1:8">
      <c r="A572" s="239"/>
      <c r="B572" s="239"/>
      <c r="C572" s="239"/>
      <c r="D572" s="239"/>
      <c r="E572" s="239"/>
      <c r="F572" s="239"/>
      <c r="G572" s="239"/>
      <c r="H572" s="239"/>
    </row>
    <row r="573" spans="1:8">
      <c r="A573" s="239"/>
      <c r="B573" s="239"/>
      <c r="C573" s="239"/>
      <c r="D573" s="239"/>
      <c r="E573" s="239"/>
      <c r="F573" s="239"/>
      <c r="G573" s="239"/>
      <c r="H573" s="239"/>
    </row>
    <row r="574" spans="1:8">
      <c r="A574" s="239"/>
      <c r="B574" s="239"/>
      <c r="C574" s="239"/>
      <c r="D574" s="239"/>
      <c r="E574" s="239"/>
      <c r="F574" s="239"/>
      <c r="G574" s="239"/>
      <c r="H574" s="239"/>
    </row>
    <row r="575" spans="1:8">
      <c r="A575" s="239"/>
      <c r="B575" s="239"/>
      <c r="C575" s="239"/>
      <c r="D575" s="239"/>
      <c r="E575" s="239"/>
      <c r="F575" s="239"/>
      <c r="G575" s="239"/>
      <c r="H575" s="239"/>
    </row>
    <row r="576" spans="1:8">
      <c r="A576" s="239"/>
      <c r="B576" s="239"/>
      <c r="C576" s="239"/>
      <c r="D576" s="239"/>
      <c r="E576" s="239"/>
      <c r="F576" s="239"/>
      <c r="G576" s="239"/>
      <c r="H576" s="239"/>
    </row>
    <row r="577" spans="1:8">
      <c r="A577" s="239"/>
      <c r="B577" s="239"/>
      <c r="C577" s="239"/>
      <c r="D577" s="239"/>
      <c r="E577" s="239"/>
      <c r="F577" s="239"/>
      <c r="G577" s="239"/>
      <c r="H577" s="239"/>
    </row>
    <row r="578" spans="1:8">
      <c r="A578" s="239"/>
      <c r="B578" s="239"/>
      <c r="C578" s="239"/>
      <c r="D578" s="239"/>
      <c r="E578" s="239"/>
      <c r="F578" s="239"/>
      <c r="G578" s="239"/>
      <c r="H578" s="239"/>
    </row>
    <row r="579" spans="1:8">
      <c r="A579" s="239"/>
      <c r="B579" s="239"/>
      <c r="C579" s="239"/>
      <c r="D579" s="239"/>
      <c r="E579" s="239"/>
      <c r="F579" s="239"/>
      <c r="G579" s="239"/>
      <c r="H579" s="239"/>
    </row>
    <row r="580" spans="1:8">
      <c r="A580" s="239"/>
      <c r="B580" s="239"/>
      <c r="C580" s="239"/>
      <c r="D580" s="239"/>
      <c r="E580" s="239"/>
      <c r="F580" s="239"/>
      <c r="G580" s="239"/>
      <c r="H580" s="239"/>
    </row>
    <row r="581" spans="1:8">
      <c r="A581" s="239"/>
      <c r="B581" s="239"/>
      <c r="C581" s="239"/>
      <c r="D581" s="239"/>
      <c r="E581" s="239"/>
      <c r="F581" s="239"/>
      <c r="G581" s="239"/>
      <c r="H581" s="239"/>
    </row>
    <row r="582" spans="1:8">
      <c r="A582" s="239"/>
      <c r="B582" s="239"/>
      <c r="C582" s="239"/>
      <c r="D582" s="239"/>
      <c r="E582" s="239"/>
      <c r="F582" s="239"/>
      <c r="G582" s="239"/>
      <c r="H582" s="239"/>
    </row>
    <row r="583" spans="1:8">
      <c r="A583" s="239"/>
      <c r="B583" s="239"/>
      <c r="C583" s="239"/>
      <c r="D583" s="239"/>
      <c r="E583" s="239"/>
      <c r="F583" s="239"/>
      <c r="G583" s="239"/>
      <c r="H583" s="239"/>
    </row>
    <row r="584" spans="1:8">
      <c r="A584" s="239"/>
      <c r="B584" s="239"/>
      <c r="C584" s="239"/>
      <c r="D584" s="239"/>
      <c r="E584" s="239"/>
      <c r="F584" s="239"/>
      <c r="G584" s="239"/>
      <c r="H584" s="239"/>
    </row>
    <row r="585" spans="1:8">
      <c r="A585" s="239"/>
      <c r="B585" s="239"/>
      <c r="C585" s="239"/>
      <c r="D585" s="239"/>
      <c r="E585" s="239"/>
      <c r="F585" s="239"/>
      <c r="G585" s="239"/>
      <c r="H585" s="239"/>
    </row>
    <row r="586" spans="1:8">
      <c r="A586" s="239"/>
      <c r="B586" s="239"/>
      <c r="C586" s="239"/>
      <c r="D586" s="239"/>
      <c r="E586" s="239"/>
      <c r="F586" s="239"/>
      <c r="G586" s="239"/>
      <c r="H586" s="239"/>
    </row>
    <row r="587" spans="1:8">
      <c r="A587" s="239"/>
      <c r="B587" s="239"/>
      <c r="C587" s="239"/>
      <c r="D587" s="239"/>
      <c r="E587" s="239"/>
      <c r="F587" s="239"/>
      <c r="G587" s="239"/>
      <c r="H587" s="239"/>
    </row>
    <row r="588" spans="1:8">
      <c r="A588" s="239"/>
      <c r="B588" s="239"/>
      <c r="C588" s="239"/>
      <c r="D588" s="239"/>
      <c r="E588" s="239"/>
      <c r="F588" s="239"/>
      <c r="G588" s="239"/>
      <c r="H588" s="239"/>
    </row>
    <row r="589" spans="1:8">
      <c r="A589" s="239"/>
      <c r="B589" s="239"/>
      <c r="C589" s="239"/>
      <c r="D589" s="239"/>
      <c r="E589" s="239"/>
      <c r="F589" s="239"/>
      <c r="G589" s="239"/>
      <c r="H589" s="239"/>
    </row>
    <row r="590" spans="1:8">
      <c r="A590" s="239"/>
      <c r="B590" s="239"/>
      <c r="C590" s="239"/>
      <c r="D590" s="239"/>
      <c r="E590" s="239"/>
      <c r="F590" s="239"/>
      <c r="G590" s="239"/>
      <c r="H590" s="239"/>
    </row>
    <row r="591" spans="1:8">
      <c r="A591" s="239"/>
      <c r="B591" s="239"/>
      <c r="C591" s="239"/>
      <c r="D591" s="239"/>
      <c r="E591" s="239"/>
      <c r="F591" s="239"/>
      <c r="G591" s="239"/>
      <c r="H591" s="239"/>
    </row>
    <row r="592" spans="1:8">
      <c r="A592" s="239"/>
      <c r="B592" s="239"/>
      <c r="C592" s="239"/>
      <c r="D592" s="239"/>
      <c r="E592" s="239"/>
      <c r="F592" s="239"/>
      <c r="G592" s="239"/>
      <c r="H592" s="239"/>
    </row>
    <row r="593" spans="1:8">
      <c r="A593" s="239"/>
      <c r="B593" s="239"/>
      <c r="C593" s="239"/>
      <c r="D593" s="239"/>
      <c r="E593" s="239"/>
      <c r="F593" s="239"/>
      <c r="G593" s="239"/>
      <c r="H593" s="239"/>
    </row>
    <row r="594" spans="1:8">
      <c r="A594" s="239"/>
      <c r="B594" s="239"/>
      <c r="C594" s="239"/>
      <c r="D594" s="239"/>
      <c r="E594" s="239"/>
      <c r="F594" s="239"/>
      <c r="G594" s="239"/>
      <c r="H594" s="239"/>
    </row>
    <row r="595" spans="1:8">
      <c r="A595" s="239"/>
      <c r="B595" s="239"/>
      <c r="C595" s="239"/>
      <c r="D595" s="239"/>
      <c r="E595" s="239"/>
      <c r="F595" s="239"/>
      <c r="G595" s="239"/>
      <c r="H595" s="239"/>
    </row>
    <row r="596" spans="1:8">
      <c r="A596" s="239"/>
      <c r="B596" s="239"/>
      <c r="C596" s="239"/>
      <c r="D596" s="239"/>
      <c r="E596" s="239"/>
      <c r="F596" s="239"/>
      <c r="G596" s="239"/>
      <c r="H596" s="239"/>
    </row>
    <row r="597" spans="1:8">
      <c r="A597" s="239"/>
      <c r="B597" s="239"/>
      <c r="C597" s="239"/>
      <c r="D597" s="239"/>
      <c r="E597" s="239"/>
      <c r="F597" s="239"/>
      <c r="G597" s="239"/>
      <c r="H597" s="239"/>
    </row>
    <row r="598" spans="1:8">
      <c r="A598" s="239"/>
      <c r="B598" s="239"/>
      <c r="C598" s="239"/>
      <c r="D598" s="239"/>
      <c r="E598" s="239"/>
      <c r="F598" s="239"/>
      <c r="G598" s="239"/>
      <c r="H598" s="239"/>
    </row>
    <row r="599" spans="1:8">
      <c r="A599" s="239"/>
      <c r="B599" s="239"/>
      <c r="C599" s="239"/>
      <c r="D599" s="239"/>
      <c r="E599" s="239"/>
      <c r="F599" s="239"/>
      <c r="G599" s="239"/>
      <c r="H599" s="239"/>
    </row>
    <row r="600" spans="1:8">
      <c r="A600" s="239"/>
      <c r="B600" s="239"/>
      <c r="C600" s="239"/>
      <c r="D600" s="239"/>
      <c r="E600" s="239"/>
      <c r="F600" s="239"/>
      <c r="G600" s="239"/>
      <c r="H600" s="239"/>
    </row>
    <row r="601" spans="1:8">
      <c r="A601" s="239"/>
      <c r="B601" s="239"/>
      <c r="C601" s="239"/>
      <c r="D601" s="239"/>
      <c r="E601" s="239"/>
      <c r="F601" s="239"/>
      <c r="G601" s="239"/>
      <c r="H601" s="239"/>
    </row>
    <row r="602" spans="1:8">
      <c r="A602" s="239"/>
      <c r="B602" s="239"/>
      <c r="C602" s="239"/>
      <c r="D602" s="239"/>
      <c r="E602" s="239"/>
      <c r="F602" s="239"/>
      <c r="G602" s="239"/>
      <c r="H602" s="239"/>
    </row>
    <row r="603" spans="1:8">
      <c r="A603" s="239"/>
      <c r="B603" s="239"/>
      <c r="C603" s="239"/>
      <c r="D603" s="239"/>
      <c r="E603" s="239"/>
      <c r="F603" s="239"/>
      <c r="G603" s="239"/>
      <c r="H603" s="239"/>
    </row>
    <row r="604" spans="1:8">
      <c r="A604" s="239"/>
      <c r="B604" s="239"/>
      <c r="C604" s="239"/>
      <c r="D604" s="239"/>
      <c r="E604" s="239"/>
      <c r="F604" s="239"/>
      <c r="G604" s="239"/>
      <c r="H604" s="239"/>
    </row>
    <row r="605" spans="1:8">
      <c r="A605" s="239"/>
      <c r="B605" s="239"/>
      <c r="C605" s="239"/>
      <c r="D605" s="239"/>
      <c r="E605" s="239"/>
      <c r="F605" s="239"/>
      <c r="G605" s="239"/>
      <c r="H605" s="239"/>
    </row>
    <row r="606" spans="1:8">
      <c r="A606" s="239"/>
      <c r="B606" s="239"/>
      <c r="C606" s="239"/>
      <c r="D606" s="239"/>
      <c r="E606" s="239"/>
      <c r="F606" s="239"/>
      <c r="G606" s="239"/>
      <c r="H606" s="239"/>
    </row>
    <row r="607" spans="1:8">
      <c r="A607" s="239"/>
      <c r="B607" s="239"/>
      <c r="C607" s="239"/>
      <c r="D607" s="239"/>
      <c r="E607" s="239"/>
      <c r="F607" s="239"/>
      <c r="G607" s="239"/>
      <c r="H607" s="239"/>
    </row>
    <row r="608" spans="1:8">
      <c r="A608" s="239"/>
      <c r="B608" s="239"/>
      <c r="C608" s="239"/>
      <c r="D608" s="239"/>
      <c r="E608" s="239"/>
      <c r="F608" s="239"/>
      <c r="G608" s="239"/>
      <c r="H608" s="239"/>
    </row>
    <row r="609" spans="1:8">
      <c r="A609" s="239"/>
      <c r="B609" s="239"/>
      <c r="C609" s="239"/>
      <c r="D609" s="239"/>
      <c r="E609" s="239"/>
      <c r="F609" s="239"/>
      <c r="G609" s="239"/>
      <c r="H609" s="239"/>
    </row>
    <row r="610" spans="1:8">
      <c r="A610" s="239"/>
      <c r="B610" s="239"/>
      <c r="C610" s="239"/>
      <c r="D610" s="239"/>
      <c r="E610" s="239"/>
      <c r="F610" s="239"/>
      <c r="G610" s="239"/>
      <c r="H610" s="239"/>
    </row>
    <row r="611" spans="1:8">
      <c r="A611" s="239"/>
      <c r="B611" s="239"/>
      <c r="C611" s="239"/>
      <c r="D611" s="239"/>
      <c r="E611" s="239"/>
      <c r="F611" s="239"/>
      <c r="G611" s="239"/>
      <c r="H611" s="239"/>
    </row>
    <row r="612" spans="1:8">
      <c r="A612" s="239"/>
      <c r="B612" s="239"/>
      <c r="C612" s="239"/>
      <c r="D612" s="239"/>
      <c r="E612" s="239"/>
      <c r="F612" s="239"/>
      <c r="G612" s="239"/>
      <c r="H612" s="239"/>
    </row>
    <row r="613" spans="1:8">
      <c r="A613" s="239"/>
      <c r="B613" s="239"/>
      <c r="C613" s="239"/>
      <c r="D613" s="239"/>
      <c r="E613" s="239"/>
      <c r="F613" s="239"/>
      <c r="G613" s="239"/>
      <c r="H613" s="239"/>
    </row>
    <row r="614" spans="1:8">
      <c r="A614" s="239"/>
      <c r="B614" s="239"/>
      <c r="C614" s="239"/>
      <c r="D614" s="239"/>
      <c r="E614" s="239"/>
      <c r="F614" s="239"/>
      <c r="G614" s="239"/>
      <c r="H614" s="239"/>
    </row>
    <row r="615" spans="1:8">
      <c r="A615" s="239"/>
      <c r="B615" s="239"/>
      <c r="C615" s="239"/>
      <c r="D615" s="239"/>
      <c r="E615" s="239"/>
      <c r="F615" s="239"/>
      <c r="G615" s="239"/>
      <c r="H615" s="239"/>
    </row>
    <row r="616" spans="1:8">
      <c r="A616" s="239"/>
      <c r="B616" s="239"/>
      <c r="C616" s="239"/>
      <c r="D616" s="239"/>
      <c r="E616" s="239"/>
      <c r="F616" s="239"/>
      <c r="G616" s="239"/>
      <c r="H616" s="239"/>
    </row>
    <row r="617" spans="1:8">
      <c r="A617" s="239"/>
      <c r="B617" s="239"/>
      <c r="C617" s="239"/>
      <c r="D617" s="239"/>
      <c r="E617" s="239"/>
      <c r="F617" s="239"/>
      <c r="G617" s="239"/>
      <c r="H617" s="239"/>
    </row>
    <row r="618" spans="1:8">
      <c r="A618" s="239"/>
      <c r="B618" s="239"/>
      <c r="C618" s="239"/>
      <c r="D618" s="239"/>
      <c r="E618" s="239"/>
      <c r="F618" s="239"/>
      <c r="G618" s="239"/>
      <c r="H618" s="239"/>
    </row>
    <row r="619" spans="1:8">
      <c r="A619" s="239"/>
      <c r="B619" s="239"/>
      <c r="C619" s="239"/>
      <c r="D619" s="239"/>
      <c r="E619" s="239"/>
      <c r="F619" s="239"/>
      <c r="G619" s="239"/>
      <c r="H619" s="239"/>
    </row>
    <row r="620" spans="1:8">
      <c r="A620" s="239"/>
      <c r="B620" s="239"/>
      <c r="C620" s="239"/>
      <c r="D620" s="239"/>
      <c r="E620" s="239"/>
      <c r="F620" s="239"/>
      <c r="G620" s="239"/>
      <c r="H620" s="239"/>
    </row>
    <row r="621" spans="1:8">
      <c r="A621" s="239"/>
      <c r="B621" s="239"/>
      <c r="C621" s="239"/>
      <c r="D621" s="239"/>
      <c r="E621" s="239"/>
      <c r="F621" s="239"/>
      <c r="G621" s="239"/>
      <c r="H621" s="239"/>
    </row>
    <row r="622" spans="1:8">
      <c r="A622" s="239"/>
      <c r="B622" s="239"/>
      <c r="C622" s="239"/>
      <c r="D622" s="239"/>
      <c r="E622" s="239"/>
      <c r="F622" s="239"/>
      <c r="G622" s="239"/>
      <c r="H622" s="239"/>
    </row>
    <row r="623" spans="1:8">
      <c r="A623" s="239"/>
      <c r="B623" s="239"/>
      <c r="C623" s="239"/>
      <c r="D623" s="239"/>
      <c r="E623" s="239"/>
      <c r="F623" s="239"/>
      <c r="G623" s="239"/>
      <c r="H623" s="239"/>
    </row>
    <row r="624" spans="1:8">
      <c r="A624" s="239"/>
      <c r="B624" s="239"/>
      <c r="C624" s="239"/>
      <c r="D624" s="239"/>
      <c r="E624" s="239"/>
      <c r="F624" s="239"/>
      <c r="G624" s="239"/>
      <c r="H624" s="239"/>
    </row>
    <row r="625" spans="1:8">
      <c r="A625" s="239"/>
      <c r="B625" s="239"/>
      <c r="C625" s="239"/>
      <c r="D625" s="239"/>
      <c r="E625" s="239"/>
      <c r="F625" s="239"/>
      <c r="G625" s="239"/>
      <c r="H625" s="239"/>
    </row>
    <row r="626" spans="1:8">
      <c r="A626" s="239"/>
      <c r="B626" s="239"/>
      <c r="C626" s="239"/>
      <c r="D626" s="239"/>
      <c r="E626" s="239"/>
      <c r="F626" s="239"/>
      <c r="G626" s="239"/>
      <c r="H626" s="239"/>
    </row>
    <row r="627" spans="1:8">
      <c r="A627" s="239"/>
      <c r="B627" s="239"/>
      <c r="C627" s="239"/>
      <c r="D627" s="239"/>
      <c r="E627" s="239"/>
      <c r="F627" s="239"/>
      <c r="G627" s="239"/>
      <c r="H627" s="239"/>
    </row>
    <row r="628" spans="1:8">
      <c r="A628" s="239"/>
      <c r="B628" s="239"/>
      <c r="C628" s="239"/>
      <c r="D628" s="239"/>
      <c r="E628" s="239"/>
      <c r="F628" s="239"/>
      <c r="G628" s="239"/>
      <c r="H628" s="239"/>
    </row>
    <row r="629" spans="1:8">
      <c r="A629" s="239"/>
      <c r="B629" s="239"/>
      <c r="C629" s="239"/>
      <c r="D629" s="239"/>
      <c r="E629" s="239"/>
      <c r="F629" s="239"/>
      <c r="G629" s="239"/>
      <c r="H629" s="239"/>
    </row>
    <row r="630" spans="1:8">
      <c r="A630" s="239"/>
      <c r="B630" s="239"/>
      <c r="C630" s="239"/>
      <c r="D630" s="239"/>
      <c r="E630" s="239"/>
      <c r="F630" s="239"/>
      <c r="G630" s="239"/>
      <c r="H630" s="239"/>
    </row>
    <row r="631" spans="1:8">
      <c r="A631" s="239"/>
      <c r="B631" s="239"/>
      <c r="C631" s="239"/>
      <c r="D631" s="239"/>
      <c r="E631" s="239"/>
      <c r="F631" s="239"/>
      <c r="G631" s="239"/>
      <c r="H631" s="239"/>
    </row>
    <row r="632" spans="1:8">
      <c r="A632" s="239"/>
      <c r="B632" s="239"/>
      <c r="C632" s="239"/>
      <c r="D632" s="239"/>
      <c r="E632" s="239"/>
      <c r="F632" s="239"/>
      <c r="G632" s="239"/>
      <c r="H632" s="239"/>
    </row>
    <row r="633" spans="1:8">
      <c r="A633" s="239"/>
      <c r="B633" s="239"/>
      <c r="C633" s="239"/>
      <c r="D633" s="239"/>
      <c r="E633" s="239"/>
      <c r="F633" s="239"/>
      <c r="G633" s="239"/>
      <c r="H633" s="239"/>
    </row>
    <row r="634" spans="1:8">
      <c r="A634" s="239"/>
      <c r="B634" s="239"/>
      <c r="C634" s="239"/>
      <c r="D634" s="239"/>
      <c r="E634" s="239"/>
      <c r="F634" s="239"/>
      <c r="G634" s="239"/>
      <c r="H634" s="239"/>
    </row>
    <row r="635" spans="1:8">
      <c r="A635" s="239"/>
      <c r="B635" s="239"/>
      <c r="C635" s="239"/>
      <c r="D635" s="239"/>
      <c r="E635" s="239"/>
      <c r="F635" s="239"/>
      <c r="G635" s="239"/>
      <c r="H635" s="239"/>
    </row>
    <row r="636" spans="1:8">
      <c r="A636" s="239"/>
      <c r="B636" s="239"/>
      <c r="C636" s="239"/>
      <c r="D636" s="239"/>
      <c r="E636" s="239"/>
      <c r="F636" s="239"/>
      <c r="G636" s="239"/>
      <c r="H636" s="239"/>
    </row>
    <row r="637" spans="1:8">
      <c r="A637" s="239"/>
      <c r="B637" s="239"/>
      <c r="C637" s="239"/>
      <c r="D637" s="239"/>
      <c r="E637" s="239"/>
      <c r="F637" s="239"/>
      <c r="G637" s="239"/>
      <c r="H637" s="239"/>
    </row>
    <row r="638" spans="1:8">
      <c r="A638" s="239"/>
      <c r="B638" s="239"/>
      <c r="C638" s="239"/>
      <c r="D638" s="239"/>
      <c r="E638" s="239"/>
      <c r="F638" s="239"/>
      <c r="G638" s="239"/>
      <c r="H638" s="239"/>
    </row>
    <row r="639" spans="1:8">
      <c r="A639" s="239"/>
      <c r="B639" s="239"/>
      <c r="C639" s="239"/>
      <c r="D639" s="239"/>
      <c r="E639" s="239"/>
      <c r="F639" s="239"/>
      <c r="G639" s="239"/>
      <c r="H639" s="239"/>
    </row>
    <row r="640" spans="1:8">
      <c r="A640" s="239"/>
      <c r="B640" s="239"/>
      <c r="C640" s="239"/>
      <c r="D640" s="239"/>
      <c r="E640" s="239"/>
      <c r="F640" s="239"/>
      <c r="G640" s="239"/>
      <c r="H640" s="239"/>
    </row>
    <row r="641" spans="1:8">
      <c r="A641" s="239"/>
      <c r="B641" s="239"/>
      <c r="C641" s="239"/>
      <c r="D641" s="239"/>
      <c r="E641" s="239"/>
      <c r="F641" s="239"/>
      <c r="G641" s="239"/>
      <c r="H641" s="239"/>
    </row>
    <row r="642" spans="1:8">
      <c r="A642" s="239"/>
      <c r="B642" s="239"/>
      <c r="C642" s="239"/>
      <c r="D642" s="239"/>
      <c r="E642" s="239"/>
      <c r="F642" s="239"/>
      <c r="G642" s="239"/>
      <c r="H642" s="239"/>
    </row>
    <row r="643" spans="1:8">
      <c r="A643" s="239"/>
      <c r="B643" s="239"/>
      <c r="C643" s="239"/>
      <c r="D643" s="239"/>
      <c r="E643" s="239"/>
      <c r="F643" s="239"/>
      <c r="G643" s="239"/>
      <c r="H643" s="239"/>
    </row>
    <row r="644" spans="1:8">
      <c r="A644" s="239"/>
      <c r="B644" s="239"/>
      <c r="C644" s="239"/>
      <c r="D644" s="239"/>
      <c r="E644" s="239"/>
      <c r="F644" s="239"/>
      <c r="G644" s="239"/>
      <c r="H644" s="239"/>
    </row>
    <row r="645" spans="1:8">
      <c r="A645" s="239"/>
      <c r="B645" s="239"/>
      <c r="C645" s="239"/>
      <c r="D645" s="239"/>
      <c r="E645" s="239"/>
      <c r="F645" s="239"/>
      <c r="G645" s="239"/>
      <c r="H645" s="239"/>
    </row>
    <row r="646" spans="1:8">
      <c r="A646" s="239"/>
      <c r="B646" s="239"/>
      <c r="C646" s="239"/>
      <c r="D646" s="239"/>
      <c r="E646" s="239"/>
      <c r="F646" s="239"/>
      <c r="G646" s="239"/>
      <c r="H646" s="239"/>
    </row>
    <row r="647" spans="1:8">
      <c r="A647" s="239"/>
      <c r="B647" s="239"/>
      <c r="C647" s="239"/>
      <c r="D647" s="239"/>
      <c r="E647" s="239"/>
      <c r="F647" s="239"/>
      <c r="G647" s="239"/>
      <c r="H647" s="239"/>
    </row>
    <row r="648" spans="1:8">
      <c r="A648" s="239"/>
      <c r="B648" s="239"/>
      <c r="C648" s="239"/>
      <c r="D648" s="239"/>
      <c r="E648" s="239"/>
      <c r="F648" s="239"/>
      <c r="G648" s="239"/>
      <c r="H648" s="239"/>
    </row>
    <row r="649" spans="1:8">
      <c r="A649" s="239"/>
      <c r="B649" s="239"/>
      <c r="C649" s="239"/>
      <c r="D649" s="239"/>
      <c r="E649" s="239"/>
      <c r="F649" s="239"/>
      <c r="G649" s="239"/>
      <c r="H649" s="239"/>
    </row>
    <row r="650" spans="1:8">
      <c r="A650" s="239"/>
      <c r="B650" s="239"/>
      <c r="C650" s="239"/>
      <c r="D650" s="239"/>
      <c r="E650" s="239"/>
      <c r="F650" s="239"/>
      <c r="G650" s="239"/>
      <c r="H650" s="239"/>
    </row>
    <row r="651" spans="1:8">
      <c r="A651" s="239"/>
      <c r="B651" s="239"/>
      <c r="C651" s="239"/>
      <c r="D651" s="239"/>
      <c r="E651" s="239"/>
      <c r="F651" s="239"/>
      <c r="G651" s="239"/>
      <c r="H651" s="239"/>
    </row>
    <row r="652" spans="1:8">
      <c r="A652" s="239"/>
      <c r="B652" s="239"/>
      <c r="C652" s="239"/>
      <c r="D652" s="239"/>
      <c r="E652" s="239"/>
      <c r="F652" s="239"/>
      <c r="G652" s="239"/>
      <c r="H652" s="239"/>
    </row>
    <row r="653" spans="1:8">
      <c r="A653" s="239"/>
      <c r="B653" s="239"/>
      <c r="C653" s="239"/>
      <c r="D653" s="239"/>
      <c r="E653" s="239"/>
      <c r="F653" s="239"/>
      <c r="G653" s="239"/>
      <c r="H653" s="239"/>
    </row>
    <row r="654" spans="1:8">
      <c r="A654" s="239"/>
      <c r="B654" s="239"/>
      <c r="C654" s="239"/>
      <c r="D654" s="239"/>
      <c r="E654" s="239"/>
      <c r="F654" s="239"/>
      <c r="G654" s="239"/>
      <c r="H654" s="239"/>
    </row>
    <row r="655" spans="1:8">
      <c r="A655" s="239"/>
      <c r="B655" s="239"/>
      <c r="C655" s="239"/>
      <c r="D655" s="239"/>
      <c r="E655" s="239"/>
      <c r="F655" s="239"/>
      <c r="G655" s="239"/>
      <c r="H655" s="239"/>
    </row>
    <row r="656" spans="1:8">
      <c r="A656" s="239"/>
      <c r="B656" s="239"/>
      <c r="C656" s="239"/>
      <c r="D656" s="239"/>
      <c r="E656" s="239"/>
      <c r="F656" s="239"/>
      <c r="G656" s="239"/>
      <c r="H656" s="239"/>
    </row>
    <row r="657" spans="1:8">
      <c r="A657" s="239"/>
      <c r="B657" s="239"/>
      <c r="C657" s="239"/>
      <c r="D657" s="239"/>
      <c r="E657" s="239"/>
      <c r="F657" s="239"/>
      <c r="G657" s="239"/>
      <c r="H657" s="239"/>
    </row>
    <row r="658" spans="1:8">
      <c r="A658" s="239"/>
      <c r="B658" s="239"/>
      <c r="C658" s="239"/>
      <c r="D658" s="239"/>
      <c r="E658" s="239"/>
      <c r="F658" s="239"/>
      <c r="G658" s="239"/>
      <c r="H658" s="239"/>
    </row>
    <row r="659" spans="1:8">
      <c r="A659" s="239"/>
      <c r="B659" s="239"/>
      <c r="C659" s="239"/>
      <c r="D659" s="239"/>
      <c r="E659" s="239"/>
      <c r="F659" s="239"/>
      <c r="G659" s="239"/>
      <c r="H659" s="239"/>
    </row>
    <row r="660" spans="1:8">
      <c r="A660" s="239"/>
      <c r="B660" s="239"/>
      <c r="C660" s="239"/>
      <c r="D660" s="239"/>
      <c r="E660" s="239"/>
      <c r="F660" s="239"/>
      <c r="G660" s="239"/>
      <c r="H660" s="239"/>
    </row>
    <row r="661" spans="1:8">
      <c r="A661" s="239"/>
      <c r="B661" s="239"/>
      <c r="C661" s="239"/>
      <c r="D661" s="239"/>
      <c r="E661" s="239"/>
      <c r="F661" s="239"/>
      <c r="G661" s="239"/>
      <c r="H661" s="239"/>
    </row>
    <row r="662" spans="1:8">
      <c r="A662" s="239"/>
      <c r="B662" s="239"/>
      <c r="C662" s="239"/>
      <c r="D662" s="239"/>
      <c r="E662" s="239"/>
      <c r="F662" s="239"/>
      <c r="G662" s="239"/>
      <c r="H662" s="239"/>
    </row>
    <row r="663" spans="1:8">
      <c r="A663" s="239"/>
      <c r="B663" s="239"/>
      <c r="C663" s="239"/>
      <c r="D663" s="239"/>
      <c r="E663" s="239"/>
      <c r="F663" s="239"/>
      <c r="G663" s="239"/>
      <c r="H663" s="239"/>
    </row>
    <row r="664" spans="1:8">
      <c r="A664" s="239"/>
      <c r="B664" s="239"/>
      <c r="C664" s="239"/>
      <c r="D664" s="239"/>
      <c r="E664" s="239"/>
      <c r="F664" s="239"/>
      <c r="G664" s="239"/>
      <c r="H664" s="239"/>
    </row>
    <row r="665" spans="1:8">
      <c r="A665" s="239"/>
      <c r="B665" s="239"/>
      <c r="C665" s="239"/>
      <c r="D665" s="239"/>
      <c r="E665" s="239"/>
      <c r="F665" s="239"/>
      <c r="G665" s="239"/>
      <c r="H665" s="239"/>
    </row>
    <row r="666" spans="1:8">
      <c r="A666" s="239"/>
      <c r="B666" s="239"/>
      <c r="C666" s="239"/>
      <c r="D666" s="239"/>
      <c r="E666" s="239"/>
      <c r="F666" s="239"/>
      <c r="G666" s="239"/>
      <c r="H666" s="239"/>
    </row>
    <row r="667" spans="1:8">
      <c r="A667" s="239"/>
      <c r="B667" s="239"/>
      <c r="C667" s="239"/>
      <c r="D667" s="239"/>
      <c r="E667" s="239"/>
      <c r="F667" s="239"/>
      <c r="G667" s="239"/>
      <c r="H667" s="239"/>
    </row>
    <row r="668" spans="1:8">
      <c r="A668" s="239"/>
      <c r="B668" s="239"/>
      <c r="C668" s="239"/>
      <c r="D668" s="239"/>
      <c r="E668" s="239"/>
      <c r="F668" s="239"/>
      <c r="G668" s="239"/>
      <c r="H668" s="239"/>
    </row>
    <row r="669" spans="1:8">
      <c r="A669" s="239"/>
      <c r="B669" s="239"/>
      <c r="C669" s="239"/>
      <c r="D669" s="239"/>
      <c r="E669" s="239"/>
      <c r="F669" s="239"/>
      <c r="G669" s="239"/>
      <c r="H669" s="239"/>
    </row>
    <row r="670" spans="1:8">
      <c r="A670" s="239"/>
      <c r="B670" s="239"/>
      <c r="C670" s="239"/>
      <c r="D670" s="239"/>
      <c r="E670" s="239"/>
      <c r="F670" s="239"/>
      <c r="G670" s="239"/>
      <c r="H670" s="239"/>
    </row>
    <row r="671" spans="1:8">
      <c r="A671" s="239"/>
      <c r="B671" s="239"/>
      <c r="C671" s="239"/>
      <c r="D671" s="239"/>
      <c r="E671" s="239"/>
      <c r="F671" s="239"/>
      <c r="G671" s="239"/>
      <c r="H671" s="239"/>
    </row>
    <row r="672" spans="1:8">
      <c r="A672" s="239"/>
      <c r="B672" s="239"/>
      <c r="C672" s="239"/>
      <c r="D672" s="239"/>
      <c r="E672" s="239"/>
      <c r="F672" s="239"/>
      <c r="G672" s="239"/>
      <c r="H672" s="239"/>
    </row>
    <row r="673" spans="1:8">
      <c r="A673" s="239"/>
      <c r="B673" s="239"/>
      <c r="C673" s="239"/>
      <c r="D673" s="239"/>
      <c r="E673" s="239"/>
      <c r="F673" s="239"/>
      <c r="G673" s="239"/>
      <c r="H673" s="239"/>
    </row>
    <row r="674" spans="1:8">
      <c r="A674" s="239"/>
      <c r="B674" s="239"/>
      <c r="C674" s="239"/>
      <c r="D674" s="239"/>
      <c r="E674" s="239"/>
      <c r="F674" s="239"/>
      <c r="G674" s="239"/>
      <c r="H674" s="239"/>
    </row>
    <row r="675" spans="1:8">
      <c r="A675" s="239"/>
      <c r="B675" s="239"/>
      <c r="C675" s="239"/>
      <c r="D675" s="239"/>
      <c r="E675" s="239"/>
      <c r="F675" s="239"/>
      <c r="G675" s="239"/>
      <c r="H675" s="239"/>
    </row>
    <row r="676" spans="1:8">
      <c r="A676" s="239"/>
      <c r="B676" s="239"/>
      <c r="C676" s="239"/>
      <c r="D676" s="239"/>
      <c r="E676" s="239"/>
      <c r="F676" s="239"/>
      <c r="G676" s="239"/>
      <c r="H676" s="239"/>
    </row>
    <row r="677" spans="1:8">
      <c r="A677" s="239"/>
      <c r="B677" s="239"/>
      <c r="C677" s="239"/>
      <c r="D677" s="239"/>
      <c r="E677" s="239"/>
      <c r="F677" s="239"/>
      <c r="G677" s="239"/>
      <c r="H677" s="239"/>
    </row>
    <row r="678" spans="1:8">
      <c r="A678" s="239"/>
      <c r="B678" s="239"/>
      <c r="C678" s="239"/>
      <c r="D678" s="239"/>
      <c r="E678" s="239"/>
      <c r="F678" s="239"/>
      <c r="G678" s="239"/>
      <c r="H678" s="239"/>
    </row>
    <row r="679" spans="1:8">
      <c r="A679" s="239"/>
      <c r="B679" s="239"/>
      <c r="C679" s="239"/>
      <c r="D679" s="239"/>
      <c r="E679" s="239"/>
      <c r="F679" s="239"/>
      <c r="G679" s="239"/>
      <c r="H679" s="239"/>
    </row>
    <row r="680" spans="1:8">
      <c r="A680" s="239"/>
      <c r="B680" s="239"/>
      <c r="C680" s="239"/>
      <c r="D680" s="239"/>
      <c r="E680" s="239"/>
      <c r="F680" s="239"/>
      <c r="G680" s="239"/>
      <c r="H680" s="239"/>
    </row>
    <row r="681" spans="1:8">
      <c r="A681" s="239"/>
      <c r="B681" s="239"/>
      <c r="C681" s="239"/>
      <c r="D681" s="239"/>
      <c r="E681" s="239"/>
      <c r="F681" s="239"/>
      <c r="G681" s="239"/>
      <c r="H681" s="239"/>
    </row>
    <row r="682" spans="1:8">
      <c r="A682" s="239"/>
      <c r="B682" s="239"/>
      <c r="C682" s="239"/>
      <c r="D682" s="239"/>
      <c r="E682" s="239"/>
      <c r="F682" s="239"/>
      <c r="G682" s="239"/>
      <c r="H682" s="239"/>
    </row>
    <row r="683" spans="1:8">
      <c r="A683" s="239"/>
      <c r="B683" s="239"/>
      <c r="C683" s="239"/>
      <c r="D683" s="239"/>
      <c r="E683" s="239"/>
      <c r="F683" s="239"/>
      <c r="G683" s="239"/>
      <c r="H683" s="239"/>
    </row>
    <row r="684" spans="1:8">
      <c r="A684" s="239"/>
      <c r="B684" s="239"/>
      <c r="C684" s="239"/>
      <c r="D684" s="239"/>
      <c r="E684" s="239"/>
      <c r="F684" s="239"/>
      <c r="G684" s="239"/>
      <c r="H684" s="239"/>
    </row>
    <row r="685" spans="1:8">
      <c r="A685" s="239"/>
      <c r="B685" s="239"/>
      <c r="C685" s="239"/>
      <c r="D685" s="239"/>
      <c r="E685" s="239"/>
      <c r="F685" s="239"/>
      <c r="G685" s="239"/>
      <c r="H685" s="239"/>
    </row>
    <row r="686" spans="1:8">
      <c r="A686" s="239"/>
      <c r="B686" s="239"/>
      <c r="C686" s="239"/>
      <c r="D686" s="239"/>
      <c r="E686" s="239"/>
      <c r="F686" s="239"/>
      <c r="G686" s="239"/>
      <c r="H686" s="239"/>
    </row>
    <row r="687" spans="1:8">
      <c r="A687" s="239"/>
      <c r="B687" s="239"/>
      <c r="C687" s="239"/>
      <c r="D687" s="239"/>
      <c r="E687" s="239"/>
      <c r="F687" s="239"/>
      <c r="G687" s="239"/>
      <c r="H687" s="239"/>
    </row>
    <row r="688" spans="1:8">
      <c r="A688" s="239"/>
      <c r="B688" s="239"/>
      <c r="C688" s="239"/>
      <c r="D688" s="239"/>
      <c r="E688" s="239"/>
      <c r="F688" s="239"/>
      <c r="G688" s="239"/>
      <c r="H688" s="239"/>
    </row>
    <row r="689" spans="1:8">
      <c r="A689" s="239"/>
      <c r="B689" s="239"/>
      <c r="C689" s="239"/>
      <c r="D689" s="239"/>
      <c r="E689" s="239"/>
      <c r="F689" s="239"/>
      <c r="G689" s="239"/>
      <c r="H689" s="239"/>
    </row>
    <row r="690" spans="1:8">
      <c r="A690" s="239"/>
      <c r="B690" s="239"/>
      <c r="C690" s="239"/>
      <c r="D690" s="239"/>
      <c r="E690" s="239"/>
      <c r="F690" s="239"/>
      <c r="G690" s="239"/>
      <c r="H690" s="239"/>
    </row>
    <row r="691" spans="1:8">
      <c r="A691" s="239"/>
      <c r="B691" s="239"/>
      <c r="C691" s="239"/>
      <c r="D691" s="239"/>
      <c r="E691" s="239"/>
      <c r="F691" s="239"/>
      <c r="G691" s="239"/>
      <c r="H691" s="239"/>
    </row>
    <row r="692" spans="1:8">
      <c r="A692" s="239"/>
      <c r="B692" s="239"/>
      <c r="C692" s="239"/>
      <c r="D692" s="239"/>
      <c r="E692" s="239"/>
      <c r="F692" s="239"/>
      <c r="G692" s="239"/>
      <c r="H692" s="239"/>
    </row>
    <row r="693" spans="1:8">
      <c r="A693" s="239"/>
      <c r="B693" s="239"/>
      <c r="C693" s="239"/>
      <c r="D693" s="239"/>
      <c r="E693" s="239"/>
      <c r="F693" s="239"/>
      <c r="G693" s="239"/>
      <c r="H693" s="239"/>
    </row>
    <row r="694" spans="1:8">
      <c r="A694" s="239"/>
      <c r="B694" s="239"/>
      <c r="C694" s="239"/>
      <c r="D694" s="239"/>
      <c r="E694" s="239"/>
      <c r="F694" s="239"/>
      <c r="G694" s="239"/>
      <c r="H694" s="239"/>
    </row>
    <row r="695" spans="1:8">
      <c r="A695" s="239"/>
      <c r="B695" s="239"/>
      <c r="C695" s="239"/>
      <c r="D695" s="239"/>
      <c r="E695" s="239"/>
      <c r="F695" s="239"/>
      <c r="G695" s="239"/>
      <c r="H695" s="239"/>
    </row>
    <row r="696" spans="1:8">
      <c r="A696" s="239"/>
      <c r="B696" s="239"/>
      <c r="C696" s="239"/>
      <c r="D696" s="239"/>
      <c r="E696" s="239"/>
      <c r="F696" s="239"/>
      <c r="G696" s="239"/>
      <c r="H696" s="239"/>
    </row>
    <row r="697" spans="1:8">
      <c r="A697" s="239"/>
      <c r="B697" s="239"/>
      <c r="C697" s="239"/>
      <c r="D697" s="239"/>
      <c r="E697" s="239"/>
      <c r="F697" s="239"/>
      <c r="G697" s="239"/>
      <c r="H697" s="239"/>
    </row>
    <row r="698" spans="1:8">
      <c r="A698" s="239"/>
      <c r="B698" s="239"/>
      <c r="C698" s="239"/>
      <c r="D698" s="239"/>
      <c r="E698" s="239"/>
      <c r="F698" s="239"/>
      <c r="G698" s="239"/>
      <c r="H698" s="239"/>
    </row>
    <row r="699" spans="1:8">
      <c r="A699" s="239"/>
      <c r="B699" s="239"/>
      <c r="C699" s="239"/>
      <c r="D699" s="239"/>
      <c r="E699" s="239"/>
      <c r="F699" s="239"/>
      <c r="G699" s="239"/>
      <c r="H699" s="239"/>
    </row>
    <row r="700" spans="1:8">
      <c r="A700" s="239"/>
      <c r="B700" s="239"/>
      <c r="C700" s="239"/>
      <c r="D700" s="239"/>
      <c r="E700" s="239"/>
      <c r="F700" s="239"/>
      <c r="G700" s="239"/>
      <c r="H700" s="239"/>
    </row>
    <row r="701" spans="1:8">
      <c r="A701" s="239"/>
      <c r="B701" s="239"/>
      <c r="C701" s="239"/>
      <c r="D701" s="239"/>
      <c r="E701" s="239"/>
      <c r="F701" s="239"/>
      <c r="G701" s="239"/>
      <c r="H701" s="239"/>
    </row>
    <row r="702" spans="1:8">
      <c r="A702" s="239"/>
      <c r="B702" s="239"/>
      <c r="C702" s="239"/>
      <c r="D702" s="239"/>
      <c r="E702" s="239"/>
      <c r="F702" s="239"/>
      <c r="G702" s="239"/>
      <c r="H702" s="239"/>
    </row>
    <row r="703" spans="1:8">
      <c r="A703" s="239"/>
      <c r="B703" s="239"/>
      <c r="C703" s="239"/>
      <c r="D703" s="239"/>
      <c r="E703" s="239"/>
      <c r="F703" s="239"/>
      <c r="G703" s="239"/>
      <c r="H703" s="239"/>
    </row>
    <row r="704" spans="1:8">
      <c r="A704" s="239"/>
      <c r="B704" s="239"/>
      <c r="C704" s="239"/>
      <c r="D704" s="239"/>
      <c r="E704" s="239"/>
      <c r="F704" s="239"/>
      <c r="G704" s="239"/>
      <c r="H704" s="239"/>
    </row>
    <row r="705" spans="1:8">
      <c r="A705" s="239"/>
      <c r="B705" s="239"/>
      <c r="C705" s="239"/>
      <c r="D705" s="239"/>
      <c r="E705" s="239"/>
      <c r="F705" s="239"/>
      <c r="G705" s="239"/>
      <c r="H705" s="239"/>
    </row>
    <row r="706" spans="1:8">
      <c r="A706" s="239"/>
      <c r="B706" s="239"/>
      <c r="C706" s="239"/>
      <c r="D706" s="239"/>
      <c r="E706" s="239"/>
      <c r="F706" s="239"/>
      <c r="G706" s="239"/>
      <c r="H706" s="239"/>
    </row>
    <row r="707" spans="1:8">
      <c r="A707" s="239"/>
      <c r="B707" s="239"/>
      <c r="C707" s="239"/>
      <c r="D707" s="239"/>
      <c r="E707" s="239"/>
      <c r="F707" s="239"/>
      <c r="G707" s="239"/>
      <c r="H707" s="239"/>
    </row>
    <row r="708" spans="1:8">
      <c r="A708" s="239"/>
      <c r="B708" s="239"/>
      <c r="C708" s="239"/>
      <c r="D708" s="239"/>
      <c r="E708" s="239"/>
      <c r="F708" s="239"/>
      <c r="G708" s="239"/>
      <c r="H708" s="239"/>
    </row>
    <row r="709" spans="1:8">
      <c r="A709" s="239"/>
      <c r="B709" s="239"/>
      <c r="C709" s="239"/>
      <c r="D709" s="239"/>
      <c r="E709" s="239"/>
      <c r="F709" s="239"/>
      <c r="G709" s="239"/>
      <c r="H709" s="239"/>
    </row>
    <row r="710" spans="1:8">
      <c r="A710" s="239"/>
      <c r="B710" s="239"/>
      <c r="C710" s="239"/>
      <c r="D710" s="239"/>
      <c r="E710" s="239"/>
      <c r="F710" s="239"/>
      <c r="G710" s="239"/>
      <c r="H710" s="239"/>
    </row>
    <row r="711" spans="1:8">
      <c r="A711" s="239"/>
      <c r="B711" s="239"/>
      <c r="C711" s="239"/>
      <c r="D711" s="239"/>
      <c r="E711" s="239"/>
      <c r="F711" s="239"/>
      <c r="G711" s="239"/>
      <c r="H711" s="239"/>
    </row>
    <row r="712" spans="1:8">
      <c r="A712" s="239"/>
      <c r="B712" s="239"/>
      <c r="C712" s="239"/>
      <c r="D712" s="239"/>
      <c r="E712" s="239"/>
      <c r="F712" s="239"/>
      <c r="G712" s="239"/>
      <c r="H712" s="239"/>
    </row>
    <row r="713" spans="1:8">
      <c r="A713" s="239"/>
      <c r="B713" s="239"/>
      <c r="C713" s="239"/>
      <c r="D713" s="239"/>
      <c r="E713" s="239"/>
      <c r="F713" s="239"/>
      <c r="G713" s="239"/>
      <c r="H713" s="239"/>
    </row>
    <row r="714" spans="1:8">
      <c r="A714" s="239"/>
      <c r="B714" s="239"/>
      <c r="C714" s="239"/>
      <c r="D714" s="239"/>
      <c r="E714" s="239"/>
      <c r="F714" s="239"/>
      <c r="G714" s="239"/>
      <c r="H714" s="239"/>
    </row>
    <row r="715" spans="1:8">
      <c r="A715" s="239"/>
      <c r="B715" s="239"/>
      <c r="C715" s="239"/>
      <c r="D715" s="239"/>
      <c r="E715" s="239"/>
      <c r="F715" s="239"/>
      <c r="G715" s="239"/>
      <c r="H715" s="239"/>
    </row>
    <row r="716" spans="1:8">
      <c r="A716" s="239"/>
      <c r="B716" s="239"/>
      <c r="C716" s="239"/>
      <c r="D716" s="239"/>
      <c r="E716" s="239"/>
      <c r="F716" s="239"/>
      <c r="G716" s="239"/>
      <c r="H716" s="239"/>
    </row>
    <row r="717" spans="1:8">
      <c r="A717" s="239"/>
      <c r="B717" s="239"/>
      <c r="C717" s="239"/>
      <c r="D717" s="239"/>
      <c r="E717" s="239"/>
      <c r="F717" s="239"/>
      <c r="G717" s="239"/>
      <c r="H717" s="239"/>
    </row>
    <row r="718" spans="1:8">
      <c r="A718" s="239"/>
      <c r="B718" s="239"/>
      <c r="C718" s="239"/>
      <c r="D718" s="239"/>
      <c r="E718" s="239"/>
      <c r="F718" s="239"/>
      <c r="G718" s="239"/>
      <c r="H718" s="239"/>
    </row>
    <row r="719" spans="1:8">
      <c r="A719" s="239"/>
      <c r="B719" s="239"/>
      <c r="C719" s="239"/>
      <c r="D719" s="239"/>
      <c r="E719" s="239"/>
      <c r="F719" s="239"/>
      <c r="G719" s="239"/>
      <c r="H719" s="239"/>
    </row>
    <row r="720" spans="1:8">
      <c r="A720" s="239"/>
      <c r="B720" s="239"/>
      <c r="C720" s="239"/>
      <c r="D720" s="239"/>
      <c r="E720" s="239"/>
      <c r="F720" s="239"/>
      <c r="G720" s="239"/>
      <c r="H720" s="239"/>
    </row>
    <row r="721" spans="1:8">
      <c r="A721" s="239"/>
      <c r="B721" s="239"/>
      <c r="C721" s="239"/>
      <c r="D721" s="239"/>
      <c r="E721" s="239"/>
      <c r="F721" s="239"/>
      <c r="G721" s="239"/>
      <c r="H721" s="239"/>
    </row>
    <row r="722" spans="1:8">
      <c r="A722" s="239"/>
      <c r="B722" s="239"/>
      <c r="C722" s="239"/>
      <c r="D722" s="239"/>
      <c r="E722" s="239"/>
      <c r="F722" s="239"/>
      <c r="G722" s="239"/>
      <c r="H722" s="239"/>
    </row>
    <row r="723" spans="1:8">
      <c r="A723" s="239"/>
      <c r="B723" s="239"/>
      <c r="C723" s="239"/>
      <c r="D723" s="239"/>
      <c r="E723" s="239"/>
      <c r="F723" s="239"/>
      <c r="G723" s="239"/>
      <c r="H723" s="239"/>
    </row>
    <row r="724" spans="1:8">
      <c r="A724" s="239"/>
      <c r="B724" s="239"/>
      <c r="C724" s="239"/>
      <c r="D724" s="239"/>
      <c r="E724" s="239"/>
      <c r="F724" s="239"/>
      <c r="G724" s="239"/>
      <c r="H724" s="239"/>
    </row>
    <row r="725" spans="1:8">
      <c r="A725" s="239"/>
      <c r="B725" s="239"/>
      <c r="C725" s="239"/>
      <c r="D725" s="239"/>
      <c r="E725" s="239"/>
      <c r="F725" s="239"/>
      <c r="G725" s="239"/>
      <c r="H725" s="239"/>
    </row>
    <row r="726" spans="1:8">
      <c r="A726" s="239"/>
      <c r="B726" s="239"/>
      <c r="C726" s="239"/>
      <c r="D726" s="239"/>
      <c r="E726" s="239"/>
      <c r="F726" s="239"/>
      <c r="G726" s="239"/>
      <c r="H726" s="239"/>
    </row>
    <row r="727" spans="1:8">
      <c r="A727" s="239"/>
      <c r="B727" s="239"/>
      <c r="C727" s="239"/>
      <c r="D727" s="239"/>
      <c r="E727" s="239"/>
      <c r="F727" s="239"/>
      <c r="G727" s="239"/>
      <c r="H727" s="239"/>
    </row>
    <row r="728" spans="1:8">
      <c r="A728" s="239"/>
      <c r="B728" s="239"/>
      <c r="C728" s="239"/>
      <c r="D728" s="239"/>
      <c r="E728" s="239"/>
      <c r="F728" s="239"/>
      <c r="G728" s="239"/>
      <c r="H728" s="239"/>
    </row>
    <row r="729" spans="1:8">
      <c r="A729" s="239"/>
      <c r="B729" s="239"/>
      <c r="C729" s="239"/>
      <c r="D729" s="239"/>
      <c r="E729" s="239"/>
      <c r="F729" s="239"/>
      <c r="G729" s="239"/>
      <c r="H729" s="239"/>
    </row>
    <row r="730" spans="1:8">
      <c r="A730" s="239"/>
      <c r="B730" s="239"/>
      <c r="C730" s="239"/>
      <c r="D730" s="239"/>
      <c r="E730" s="239"/>
      <c r="F730" s="239"/>
      <c r="G730" s="239"/>
      <c r="H730" s="239"/>
    </row>
    <row r="731" spans="1:8">
      <c r="A731" s="239"/>
      <c r="B731" s="239"/>
      <c r="C731" s="239"/>
      <c r="D731" s="239"/>
      <c r="E731" s="239"/>
      <c r="F731" s="239"/>
      <c r="G731" s="239"/>
      <c r="H731" s="239"/>
    </row>
    <row r="732" spans="1:8">
      <c r="A732" s="239"/>
      <c r="B732" s="239"/>
      <c r="C732" s="239"/>
      <c r="D732" s="239"/>
      <c r="E732" s="239"/>
      <c r="F732" s="239"/>
      <c r="G732" s="239"/>
      <c r="H732" s="239"/>
    </row>
    <row r="733" spans="1:8">
      <c r="A733" s="239"/>
      <c r="B733" s="239"/>
      <c r="C733" s="239"/>
      <c r="D733" s="239"/>
      <c r="E733" s="239"/>
      <c r="F733" s="239"/>
      <c r="G733" s="239"/>
      <c r="H733" s="239"/>
    </row>
    <row r="734" spans="1:8">
      <c r="A734" s="239"/>
      <c r="B734" s="239"/>
      <c r="C734" s="239"/>
      <c r="D734" s="239"/>
      <c r="E734" s="239"/>
      <c r="F734" s="239"/>
      <c r="G734" s="239"/>
      <c r="H734" s="239"/>
    </row>
    <row r="735" spans="1:8">
      <c r="A735" s="239"/>
      <c r="B735" s="239"/>
      <c r="C735" s="239"/>
      <c r="D735" s="239"/>
      <c r="E735" s="239"/>
      <c r="F735" s="239"/>
      <c r="G735" s="239"/>
      <c r="H735" s="239"/>
    </row>
    <row r="736" spans="1:8">
      <c r="A736" s="239"/>
      <c r="B736" s="239"/>
      <c r="C736" s="239"/>
      <c r="D736" s="239"/>
      <c r="E736" s="239"/>
      <c r="F736" s="239"/>
      <c r="G736" s="239"/>
      <c r="H736" s="239"/>
    </row>
    <row r="737" spans="1:8">
      <c r="A737" s="239"/>
      <c r="B737" s="239"/>
      <c r="C737" s="239"/>
      <c r="D737" s="239"/>
      <c r="E737" s="239"/>
      <c r="F737" s="239"/>
      <c r="G737" s="239"/>
      <c r="H737" s="239"/>
    </row>
    <row r="738" spans="1:8">
      <c r="A738" s="239"/>
      <c r="B738" s="239"/>
      <c r="C738" s="239"/>
      <c r="D738" s="239"/>
      <c r="E738" s="239"/>
      <c r="F738" s="239"/>
      <c r="G738" s="239"/>
      <c r="H738" s="239"/>
    </row>
    <row r="739" spans="1:8">
      <c r="A739" s="239"/>
      <c r="B739" s="239"/>
      <c r="C739" s="239"/>
      <c r="D739" s="239"/>
      <c r="E739" s="239"/>
      <c r="F739" s="239"/>
      <c r="G739" s="239"/>
      <c r="H739" s="239"/>
    </row>
    <row r="740" spans="1:8">
      <c r="A740" s="239"/>
      <c r="B740" s="239"/>
      <c r="C740" s="239"/>
      <c r="D740" s="239"/>
      <c r="E740" s="239"/>
      <c r="F740" s="239"/>
      <c r="G740" s="239"/>
      <c r="H740" s="239"/>
    </row>
    <row r="741" spans="1:8">
      <c r="A741" s="239"/>
      <c r="B741" s="239"/>
      <c r="C741" s="239"/>
      <c r="D741" s="239"/>
      <c r="E741" s="239"/>
      <c r="F741" s="239"/>
      <c r="G741" s="239"/>
      <c r="H741" s="239"/>
    </row>
    <row r="742" spans="1:8">
      <c r="A742" s="239"/>
      <c r="B742" s="239"/>
      <c r="C742" s="239"/>
      <c r="D742" s="239"/>
      <c r="E742" s="239"/>
      <c r="F742" s="239"/>
      <c r="G742" s="239"/>
      <c r="H742" s="239"/>
    </row>
    <row r="743" spans="1:8">
      <c r="A743" s="239"/>
      <c r="B743" s="239"/>
      <c r="C743" s="239"/>
      <c r="D743" s="239"/>
      <c r="E743" s="239"/>
      <c r="F743" s="239"/>
      <c r="G743" s="239"/>
      <c r="H743" s="239"/>
    </row>
    <row r="744" spans="1:8">
      <c r="A744" s="239"/>
      <c r="B744" s="239"/>
      <c r="C744" s="239"/>
      <c r="D744" s="239"/>
      <c r="E744" s="239"/>
      <c r="F744" s="239"/>
      <c r="G744" s="239"/>
      <c r="H744" s="239"/>
    </row>
    <row r="745" spans="1:8">
      <c r="A745" s="239"/>
      <c r="B745" s="239"/>
      <c r="C745" s="239"/>
      <c r="D745" s="239"/>
      <c r="E745" s="239"/>
      <c r="F745" s="239"/>
      <c r="G745" s="239"/>
      <c r="H745" s="239"/>
    </row>
    <row r="746" spans="1:8">
      <c r="A746" s="239"/>
      <c r="B746" s="239"/>
      <c r="C746" s="239"/>
      <c r="D746" s="239"/>
      <c r="E746" s="239"/>
      <c r="F746" s="239"/>
      <c r="G746" s="239"/>
      <c r="H746" s="239"/>
    </row>
    <row r="747" spans="1:8">
      <c r="A747" s="239"/>
      <c r="B747" s="239"/>
      <c r="C747" s="239"/>
      <c r="D747" s="239"/>
      <c r="E747" s="239"/>
      <c r="F747" s="239"/>
      <c r="G747" s="239"/>
      <c r="H747" s="239"/>
    </row>
    <row r="748" spans="1:8">
      <c r="A748" s="239"/>
      <c r="B748" s="239"/>
      <c r="C748" s="239"/>
      <c r="D748" s="239"/>
      <c r="E748" s="239"/>
      <c r="F748" s="239"/>
      <c r="G748" s="239"/>
      <c r="H748" s="239"/>
    </row>
    <row r="749" spans="1:8">
      <c r="A749" s="239"/>
      <c r="B749" s="239"/>
      <c r="C749" s="239"/>
      <c r="D749" s="239"/>
      <c r="E749" s="239"/>
      <c r="F749" s="239"/>
      <c r="G749" s="239"/>
      <c r="H749" s="239"/>
    </row>
    <row r="750" spans="1:8">
      <c r="A750" s="239"/>
      <c r="B750" s="239"/>
      <c r="C750" s="239"/>
      <c r="D750" s="239"/>
      <c r="E750" s="239"/>
      <c r="F750" s="239"/>
      <c r="G750" s="239"/>
      <c r="H750" s="239"/>
    </row>
    <row r="751" spans="1:8">
      <c r="A751" s="239"/>
      <c r="B751" s="239"/>
      <c r="C751" s="239"/>
      <c r="D751" s="239"/>
      <c r="E751" s="239"/>
      <c r="F751" s="239"/>
      <c r="G751" s="239"/>
      <c r="H751" s="239"/>
    </row>
    <row r="752" spans="1:8">
      <c r="A752" s="239"/>
      <c r="B752" s="239"/>
      <c r="C752" s="239"/>
      <c r="D752" s="239"/>
      <c r="E752" s="239"/>
      <c r="F752" s="239"/>
      <c r="G752" s="239"/>
      <c r="H752" s="239"/>
    </row>
    <row r="753" spans="1:8">
      <c r="A753" s="239"/>
      <c r="B753" s="239"/>
      <c r="C753" s="239"/>
      <c r="D753" s="239"/>
      <c r="E753" s="239"/>
      <c r="F753" s="239"/>
      <c r="G753" s="239"/>
      <c r="H753" s="239"/>
    </row>
    <row r="754" spans="1:8">
      <c r="A754" s="239"/>
      <c r="B754" s="239"/>
      <c r="C754" s="239"/>
      <c r="D754" s="239"/>
      <c r="E754" s="239"/>
      <c r="F754" s="239"/>
      <c r="G754" s="239"/>
      <c r="H754" s="239"/>
    </row>
    <row r="755" spans="1:8">
      <c r="A755" s="239"/>
      <c r="B755" s="239"/>
      <c r="C755" s="239"/>
      <c r="D755" s="239"/>
      <c r="E755" s="239"/>
      <c r="F755" s="239"/>
      <c r="G755" s="239"/>
      <c r="H755" s="239"/>
    </row>
    <row r="756" spans="1:8">
      <c r="A756" s="239"/>
      <c r="B756" s="239"/>
      <c r="C756" s="239"/>
      <c r="D756" s="239"/>
      <c r="E756" s="239"/>
      <c r="F756" s="239"/>
      <c r="G756" s="239"/>
      <c r="H756" s="239"/>
    </row>
    <row r="757" spans="1:8">
      <c r="A757" s="239"/>
      <c r="B757" s="239"/>
      <c r="C757" s="239"/>
      <c r="D757" s="239"/>
      <c r="E757" s="239"/>
      <c r="F757" s="239"/>
      <c r="G757" s="239"/>
      <c r="H757" s="239"/>
    </row>
    <row r="758" spans="1:8">
      <c r="A758" s="239"/>
      <c r="B758" s="239"/>
      <c r="C758" s="239"/>
      <c r="D758" s="239"/>
      <c r="E758" s="239"/>
      <c r="F758" s="239"/>
      <c r="G758" s="239"/>
      <c r="H758" s="239"/>
    </row>
    <row r="759" spans="1:8">
      <c r="A759" s="239"/>
      <c r="B759" s="239"/>
      <c r="C759" s="239"/>
      <c r="D759" s="239"/>
      <c r="E759" s="239"/>
      <c r="F759" s="239"/>
      <c r="G759" s="239"/>
      <c r="H759" s="239"/>
    </row>
    <row r="760" spans="1:8">
      <c r="A760" s="239"/>
      <c r="B760" s="239"/>
      <c r="C760" s="239"/>
      <c r="D760" s="239"/>
      <c r="E760" s="239"/>
      <c r="F760" s="239"/>
      <c r="G760" s="239"/>
      <c r="H760" s="239"/>
    </row>
    <row r="761" spans="1:8">
      <c r="A761" s="239"/>
      <c r="B761" s="239"/>
      <c r="C761" s="239"/>
      <c r="D761" s="239"/>
      <c r="E761" s="239"/>
      <c r="F761" s="239"/>
      <c r="G761" s="239"/>
      <c r="H761" s="239"/>
    </row>
    <row r="762" spans="1:8">
      <c r="A762" s="239"/>
      <c r="B762" s="239"/>
      <c r="C762" s="239"/>
      <c r="D762" s="239"/>
      <c r="E762" s="239"/>
      <c r="F762" s="239"/>
      <c r="G762" s="239"/>
      <c r="H762" s="239"/>
    </row>
    <row r="763" spans="1:8">
      <c r="A763" s="239"/>
      <c r="B763" s="239"/>
      <c r="C763" s="239"/>
      <c r="D763" s="239"/>
      <c r="E763" s="239"/>
      <c r="F763" s="239"/>
      <c r="G763" s="239"/>
      <c r="H763" s="239"/>
    </row>
    <row r="764" spans="1:8">
      <c r="A764" s="239"/>
      <c r="B764" s="239"/>
      <c r="C764" s="239"/>
      <c r="D764" s="239"/>
      <c r="E764" s="239"/>
      <c r="F764" s="239"/>
      <c r="G764" s="239"/>
      <c r="H764" s="239"/>
    </row>
    <row r="765" spans="1:8">
      <c r="A765" s="239"/>
      <c r="B765" s="239"/>
      <c r="C765" s="239"/>
      <c r="D765" s="239"/>
      <c r="E765" s="239"/>
      <c r="F765" s="239"/>
      <c r="G765" s="239"/>
      <c r="H765" s="239"/>
    </row>
    <row r="766" spans="1:8">
      <c r="A766" s="239"/>
      <c r="B766" s="239"/>
      <c r="C766" s="239"/>
      <c r="D766" s="239"/>
      <c r="E766" s="239"/>
      <c r="F766" s="239"/>
      <c r="G766" s="239"/>
      <c r="H766" s="239"/>
    </row>
    <row r="767" spans="1:8">
      <c r="A767" s="239"/>
      <c r="B767" s="239"/>
      <c r="C767" s="239"/>
      <c r="D767" s="239"/>
      <c r="E767" s="239"/>
      <c r="F767" s="239"/>
      <c r="G767" s="239"/>
      <c r="H767" s="239"/>
    </row>
    <row r="768" spans="1:8">
      <c r="A768" s="239"/>
      <c r="B768" s="239"/>
      <c r="C768" s="239"/>
      <c r="D768" s="239"/>
      <c r="E768" s="239"/>
      <c r="F768" s="239"/>
      <c r="G768" s="239"/>
      <c r="H768" s="239"/>
    </row>
    <row r="769" spans="1:8">
      <c r="A769" s="239"/>
      <c r="B769" s="239"/>
      <c r="C769" s="239"/>
      <c r="D769" s="239"/>
      <c r="E769" s="239"/>
      <c r="F769" s="239"/>
      <c r="G769" s="239"/>
      <c r="H769" s="239"/>
    </row>
    <row r="770" spans="1:8">
      <c r="A770" s="239"/>
      <c r="B770" s="239"/>
      <c r="C770" s="239"/>
      <c r="D770" s="239"/>
      <c r="E770" s="239"/>
      <c r="F770" s="239"/>
      <c r="G770" s="239"/>
      <c r="H770" s="239"/>
    </row>
    <row r="771" spans="1:8">
      <c r="A771" s="239"/>
      <c r="B771" s="239"/>
      <c r="C771" s="239"/>
      <c r="D771" s="239"/>
      <c r="E771" s="239"/>
      <c r="F771" s="239"/>
      <c r="G771" s="239"/>
      <c r="H771" s="239"/>
    </row>
    <row r="772" spans="1:8">
      <c r="A772" s="239"/>
      <c r="B772" s="239"/>
      <c r="C772" s="239"/>
      <c r="D772" s="239"/>
      <c r="E772" s="239"/>
      <c r="F772" s="239"/>
      <c r="G772" s="239"/>
      <c r="H772" s="239"/>
    </row>
    <row r="773" spans="1:8">
      <c r="A773" s="239"/>
      <c r="B773" s="239"/>
      <c r="C773" s="239"/>
      <c r="D773" s="239"/>
      <c r="E773" s="239"/>
      <c r="F773" s="239"/>
      <c r="G773" s="239"/>
      <c r="H773" s="239"/>
    </row>
    <row r="774" spans="1:8">
      <c r="A774" s="239"/>
      <c r="B774" s="239"/>
      <c r="C774" s="239"/>
      <c r="D774" s="239"/>
      <c r="E774" s="239"/>
      <c r="F774" s="239"/>
      <c r="G774" s="239"/>
      <c r="H774" s="239"/>
    </row>
    <row r="775" spans="1:8">
      <c r="A775" s="239"/>
      <c r="B775" s="239"/>
      <c r="C775" s="239"/>
      <c r="D775" s="239"/>
      <c r="E775" s="239"/>
      <c r="F775" s="239"/>
      <c r="G775" s="239"/>
      <c r="H775" s="239"/>
    </row>
    <row r="776" spans="1:8">
      <c r="A776" s="239"/>
      <c r="B776" s="239"/>
      <c r="C776" s="239"/>
      <c r="D776" s="239"/>
      <c r="E776" s="239"/>
      <c r="F776" s="239"/>
      <c r="G776" s="239"/>
      <c r="H776" s="239"/>
    </row>
    <row r="777" spans="1:8">
      <c r="A777" s="239"/>
      <c r="B777" s="239"/>
      <c r="C777" s="239"/>
      <c r="D777" s="239"/>
      <c r="E777" s="239"/>
      <c r="F777" s="239"/>
      <c r="G777" s="239"/>
      <c r="H777" s="239"/>
    </row>
    <row r="778" spans="1:8">
      <c r="A778" s="239"/>
      <c r="B778" s="239"/>
      <c r="C778" s="239"/>
      <c r="D778" s="239"/>
      <c r="E778" s="239"/>
      <c r="F778" s="239"/>
      <c r="G778" s="239"/>
      <c r="H778" s="239"/>
    </row>
    <row r="779" spans="1:8">
      <c r="A779" s="239"/>
      <c r="B779" s="239"/>
      <c r="C779" s="239"/>
      <c r="D779" s="239"/>
      <c r="E779" s="239"/>
      <c r="F779" s="239"/>
      <c r="G779" s="239"/>
      <c r="H779" s="239"/>
    </row>
    <row r="780" spans="1:8">
      <c r="A780" s="239"/>
      <c r="B780" s="239"/>
      <c r="C780" s="239"/>
      <c r="D780" s="239"/>
      <c r="E780" s="239"/>
      <c r="F780" s="239"/>
      <c r="G780" s="239"/>
      <c r="H780" s="239"/>
    </row>
    <row r="781" spans="1:8">
      <c r="A781" s="239"/>
      <c r="B781" s="239"/>
      <c r="C781" s="239"/>
      <c r="D781" s="239"/>
      <c r="E781" s="239"/>
      <c r="F781" s="239"/>
      <c r="G781" s="239"/>
      <c r="H781" s="239"/>
    </row>
    <row r="782" spans="1:8">
      <c r="A782" s="239"/>
      <c r="B782" s="239"/>
      <c r="C782" s="239"/>
      <c r="D782" s="239"/>
      <c r="E782" s="239"/>
      <c r="F782" s="239"/>
      <c r="G782" s="239"/>
      <c r="H782" s="239"/>
    </row>
    <row r="783" spans="1:8">
      <c r="A783" s="239"/>
      <c r="B783" s="239"/>
      <c r="C783" s="239"/>
      <c r="D783" s="239"/>
      <c r="E783" s="239"/>
      <c r="F783" s="239"/>
      <c r="G783" s="239"/>
      <c r="H783" s="239"/>
    </row>
    <row r="784" spans="1:8">
      <c r="A784" s="239"/>
      <c r="B784" s="239"/>
      <c r="C784" s="239"/>
      <c r="D784" s="239"/>
      <c r="E784" s="239"/>
      <c r="F784" s="239"/>
      <c r="G784" s="239"/>
      <c r="H784" s="239"/>
    </row>
    <row r="785" spans="1:8">
      <c r="A785" s="239"/>
      <c r="B785" s="239"/>
      <c r="C785" s="239"/>
      <c r="D785" s="239"/>
      <c r="E785" s="239"/>
      <c r="F785" s="239"/>
      <c r="G785" s="239"/>
      <c r="H785" s="239"/>
    </row>
    <row r="786" spans="1:8">
      <c r="A786" s="239"/>
      <c r="B786" s="239"/>
      <c r="C786" s="239"/>
      <c r="D786" s="239"/>
      <c r="E786" s="239"/>
      <c r="F786" s="239"/>
      <c r="G786" s="239"/>
      <c r="H786" s="239"/>
    </row>
    <row r="787" spans="1:8">
      <c r="A787" s="239"/>
      <c r="B787" s="239"/>
      <c r="C787" s="239"/>
      <c r="D787" s="239"/>
      <c r="E787" s="239"/>
      <c r="F787" s="239"/>
      <c r="G787" s="239"/>
      <c r="H787" s="239"/>
    </row>
    <row r="788" spans="1:8">
      <c r="A788" s="239"/>
      <c r="B788" s="239"/>
      <c r="C788" s="239"/>
      <c r="D788" s="239"/>
      <c r="E788" s="239"/>
      <c r="F788" s="239"/>
      <c r="G788" s="239"/>
      <c r="H788" s="239"/>
    </row>
    <row r="789" spans="1:8">
      <c r="A789" s="239"/>
      <c r="B789" s="239"/>
      <c r="C789" s="239"/>
      <c r="D789" s="239"/>
      <c r="E789" s="239"/>
      <c r="F789" s="239"/>
      <c r="G789" s="239"/>
      <c r="H789" s="239"/>
    </row>
    <row r="790" spans="1:8">
      <c r="A790" s="239"/>
      <c r="B790" s="239"/>
      <c r="C790" s="239"/>
      <c r="D790" s="239"/>
      <c r="E790" s="239"/>
      <c r="F790" s="239"/>
      <c r="G790" s="239"/>
      <c r="H790" s="239"/>
    </row>
    <row r="791" spans="1:8">
      <c r="A791" s="239"/>
      <c r="B791" s="239"/>
      <c r="C791" s="239"/>
      <c r="D791" s="239"/>
      <c r="E791" s="239"/>
      <c r="F791" s="239"/>
      <c r="G791" s="239"/>
      <c r="H791" s="239"/>
    </row>
    <row r="792" spans="1:8">
      <c r="A792" s="239"/>
      <c r="B792" s="239"/>
      <c r="C792" s="239"/>
      <c r="D792" s="239"/>
      <c r="E792" s="239"/>
      <c r="F792" s="239"/>
      <c r="G792" s="239"/>
      <c r="H792" s="239"/>
    </row>
    <row r="793" spans="1:8">
      <c r="A793" s="239"/>
      <c r="B793" s="239"/>
      <c r="C793" s="239"/>
      <c r="D793" s="239"/>
      <c r="E793" s="239"/>
      <c r="F793" s="239"/>
      <c r="G793" s="239"/>
      <c r="H793" s="239"/>
    </row>
    <row r="794" spans="1:8">
      <c r="A794" s="239"/>
      <c r="B794" s="239"/>
      <c r="C794" s="239"/>
      <c r="D794" s="239"/>
      <c r="E794" s="239"/>
      <c r="F794" s="239"/>
      <c r="G794" s="239"/>
      <c r="H794" s="239"/>
    </row>
    <row r="795" spans="1:8">
      <c r="A795" s="239"/>
      <c r="B795" s="239"/>
      <c r="C795" s="239"/>
      <c r="D795" s="239"/>
      <c r="E795" s="239"/>
      <c r="F795" s="239"/>
      <c r="G795" s="239"/>
      <c r="H795" s="239"/>
    </row>
    <row r="796" spans="1:8">
      <c r="A796" s="239"/>
      <c r="B796" s="239"/>
      <c r="C796" s="239"/>
      <c r="D796" s="239"/>
      <c r="E796" s="239"/>
      <c r="F796" s="239"/>
      <c r="G796" s="239"/>
      <c r="H796" s="239"/>
    </row>
    <row r="797" spans="1:8">
      <c r="A797" s="239"/>
      <c r="B797" s="239"/>
      <c r="C797" s="239"/>
      <c r="D797" s="239"/>
      <c r="E797" s="239"/>
      <c r="F797" s="239"/>
      <c r="G797" s="239"/>
      <c r="H797" s="239"/>
    </row>
    <row r="798" spans="1:8">
      <c r="A798" s="239"/>
      <c r="B798" s="239"/>
      <c r="C798" s="239"/>
      <c r="D798" s="239"/>
      <c r="E798" s="239"/>
      <c r="F798" s="239"/>
      <c r="G798" s="239"/>
      <c r="H798" s="239"/>
    </row>
    <row r="799" spans="1:8">
      <c r="A799" s="239"/>
      <c r="B799" s="239"/>
      <c r="C799" s="239"/>
      <c r="D799" s="239"/>
      <c r="E799" s="239"/>
      <c r="F799" s="239"/>
      <c r="G799" s="239"/>
      <c r="H799" s="239"/>
    </row>
    <row r="800" spans="1:8">
      <c r="A800" s="239"/>
      <c r="B800" s="239"/>
      <c r="C800" s="239"/>
      <c r="D800" s="239"/>
      <c r="E800" s="239"/>
      <c r="F800" s="239"/>
      <c r="G800" s="239"/>
      <c r="H800" s="239"/>
    </row>
    <row r="801" spans="1:8">
      <c r="A801" s="239"/>
      <c r="B801" s="239"/>
      <c r="C801" s="239"/>
      <c r="D801" s="239"/>
      <c r="E801" s="239"/>
      <c r="F801" s="239"/>
      <c r="G801" s="239"/>
      <c r="H801" s="239"/>
    </row>
    <row r="802" spans="1:8">
      <c r="A802" s="239"/>
      <c r="B802" s="239"/>
      <c r="C802" s="239"/>
      <c r="D802" s="239"/>
      <c r="E802" s="239"/>
      <c r="F802" s="239"/>
      <c r="G802" s="239"/>
      <c r="H802" s="239"/>
    </row>
    <row r="803" spans="1:8">
      <c r="A803" s="239"/>
      <c r="B803" s="239"/>
      <c r="C803" s="239"/>
      <c r="D803" s="239"/>
      <c r="E803" s="239"/>
      <c r="F803" s="239"/>
      <c r="G803" s="239"/>
      <c r="H803" s="239"/>
    </row>
    <row r="804" spans="1:8">
      <c r="A804" s="239"/>
      <c r="B804" s="239"/>
      <c r="C804" s="239"/>
      <c r="D804" s="239"/>
      <c r="E804" s="239"/>
      <c r="F804" s="239"/>
      <c r="G804" s="239"/>
      <c r="H804" s="239"/>
    </row>
    <row r="805" spans="1:8">
      <c r="A805" s="239"/>
      <c r="B805" s="239"/>
      <c r="C805" s="239"/>
      <c r="D805" s="239"/>
      <c r="E805" s="239"/>
      <c r="F805" s="239"/>
      <c r="G805" s="239"/>
      <c r="H805" s="239"/>
    </row>
    <row r="806" spans="1:8">
      <c r="A806" s="239"/>
      <c r="B806" s="239"/>
      <c r="C806" s="239"/>
      <c r="D806" s="239"/>
      <c r="E806" s="239"/>
      <c r="F806" s="239"/>
      <c r="G806" s="239"/>
      <c r="H806" s="239"/>
    </row>
    <row r="807" spans="1:8">
      <c r="A807" s="239"/>
      <c r="B807" s="239"/>
      <c r="C807" s="239"/>
      <c r="D807" s="239"/>
      <c r="E807" s="239"/>
      <c r="F807" s="239"/>
      <c r="G807" s="239"/>
      <c r="H807" s="239"/>
    </row>
    <row r="808" spans="1:8">
      <c r="A808" s="239"/>
      <c r="B808" s="239"/>
      <c r="C808" s="239"/>
      <c r="D808" s="239"/>
      <c r="E808" s="239"/>
      <c r="F808" s="239"/>
      <c r="G808" s="239"/>
      <c r="H808" s="239"/>
    </row>
    <row r="809" spans="1:8">
      <c r="A809" s="239"/>
      <c r="B809" s="239"/>
      <c r="C809" s="239"/>
      <c r="D809" s="239"/>
      <c r="E809" s="239"/>
      <c r="F809" s="239"/>
      <c r="G809" s="239"/>
      <c r="H809" s="239"/>
    </row>
    <row r="810" spans="1:8">
      <c r="A810" s="239"/>
      <c r="B810" s="239"/>
      <c r="C810" s="239"/>
      <c r="D810" s="239"/>
      <c r="E810" s="239"/>
      <c r="F810" s="239"/>
      <c r="G810" s="239"/>
      <c r="H810" s="239"/>
    </row>
    <row r="811" spans="1:8">
      <c r="A811" s="239"/>
      <c r="B811" s="239"/>
      <c r="C811" s="239"/>
      <c r="D811" s="239"/>
      <c r="E811" s="239"/>
      <c r="F811" s="239"/>
      <c r="G811" s="239"/>
      <c r="H811" s="239"/>
    </row>
    <row r="812" spans="1:8">
      <c r="A812" s="239"/>
      <c r="B812" s="239"/>
      <c r="C812" s="239"/>
      <c r="D812" s="239"/>
      <c r="E812" s="239"/>
      <c r="F812" s="239"/>
      <c r="G812" s="239"/>
      <c r="H812" s="239"/>
    </row>
    <row r="813" spans="1:8">
      <c r="A813" s="239"/>
      <c r="B813" s="239"/>
      <c r="C813" s="239"/>
      <c r="D813" s="239"/>
      <c r="E813" s="239"/>
      <c r="F813" s="239"/>
      <c r="G813" s="239"/>
      <c r="H813" s="239"/>
    </row>
    <row r="814" spans="1:8">
      <c r="A814" s="239"/>
      <c r="B814" s="239"/>
      <c r="C814" s="239"/>
      <c r="D814" s="239"/>
      <c r="E814" s="239"/>
      <c r="F814" s="239"/>
      <c r="G814" s="239"/>
      <c r="H814" s="239"/>
    </row>
    <row r="815" spans="1:8">
      <c r="A815" s="239"/>
      <c r="B815" s="239"/>
      <c r="C815" s="239"/>
      <c r="D815" s="239"/>
      <c r="E815" s="239"/>
      <c r="F815" s="239"/>
      <c r="G815" s="239"/>
      <c r="H815" s="239"/>
    </row>
    <row r="816" spans="1:8">
      <c r="A816" s="239"/>
      <c r="B816" s="239"/>
      <c r="C816" s="239"/>
      <c r="D816" s="239"/>
      <c r="E816" s="239"/>
      <c r="F816" s="239"/>
      <c r="G816" s="239"/>
      <c r="H816" s="239"/>
    </row>
    <row r="817" spans="1:8">
      <c r="A817" s="239"/>
      <c r="B817" s="239"/>
      <c r="C817" s="239"/>
      <c r="D817" s="239"/>
      <c r="E817" s="239"/>
      <c r="F817" s="239"/>
      <c r="G817" s="239"/>
      <c r="H817" s="239"/>
    </row>
    <row r="818" spans="1:8">
      <c r="A818" s="239"/>
      <c r="B818" s="239"/>
      <c r="C818" s="239"/>
      <c r="D818" s="239"/>
      <c r="E818" s="239"/>
      <c r="F818" s="239"/>
      <c r="G818" s="239"/>
      <c r="H818" s="239"/>
    </row>
    <row r="819" spans="1:8">
      <c r="A819" s="239"/>
      <c r="B819" s="239"/>
      <c r="C819" s="239"/>
      <c r="D819" s="239"/>
      <c r="E819" s="239"/>
      <c r="F819" s="239"/>
      <c r="G819" s="239"/>
      <c r="H819" s="239"/>
    </row>
    <row r="820" spans="1:8">
      <c r="A820" s="239"/>
      <c r="B820" s="239"/>
      <c r="C820" s="239"/>
      <c r="D820" s="239"/>
      <c r="E820" s="239"/>
      <c r="F820" s="239"/>
      <c r="G820" s="239"/>
      <c r="H820" s="239"/>
    </row>
    <row r="821" spans="1:8">
      <c r="A821" s="239"/>
      <c r="B821" s="239"/>
      <c r="C821" s="239"/>
      <c r="D821" s="239"/>
      <c r="E821" s="239"/>
      <c r="F821" s="239"/>
      <c r="G821" s="239"/>
      <c r="H821" s="239"/>
    </row>
    <row r="822" spans="1:8">
      <c r="A822" s="239"/>
      <c r="B822" s="239"/>
      <c r="C822" s="239"/>
      <c r="D822" s="239"/>
      <c r="E822" s="239"/>
      <c r="F822" s="239"/>
      <c r="G822" s="239"/>
      <c r="H822" s="239"/>
    </row>
    <row r="823" spans="1:8">
      <c r="A823" s="239"/>
      <c r="B823" s="239"/>
      <c r="C823" s="239"/>
      <c r="D823" s="239"/>
      <c r="E823" s="239"/>
      <c r="F823" s="239"/>
      <c r="G823" s="239"/>
      <c r="H823" s="239"/>
    </row>
    <row r="824" spans="1:8">
      <c r="A824" s="239"/>
      <c r="B824" s="239"/>
      <c r="C824" s="239"/>
      <c r="D824" s="239"/>
      <c r="E824" s="239"/>
      <c r="F824" s="239"/>
      <c r="G824" s="239"/>
      <c r="H824" s="239"/>
    </row>
    <row r="825" spans="1:8">
      <c r="A825" s="239"/>
      <c r="B825" s="239"/>
      <c r="C825" s="239"/>
      <c r="D825" s="239"/>
      <c r="E825" s="239"/>
      <c r="F825" s="239"/>
      <c r="G825" s="239"/>
      <c r="H825" s="239"/>
    </row>
    <row r="826" spans="1:8">
      <c r="A826" s="239"/>
      <c r="B826" s="239"/>
      <c r="C826" s="239"/>
      <c r="D826" s="239"/>
      <c r="E826" s="239"/>
      <c r="F826" s="239"/>
      <c r="G826" s="239"/>
      <c r="H826" s="239"/>
    </row>
    <row r="827" spans="1:8">
      <c r="A827" s="239"/>
      <c r="B827" s="239"/>
      <c r="C827" s="239"/>
      <c r="D827" s="239"/>
      <c r="E827" s="239"/>
      <c r="F827" s="239"/>
      <c r="G827" s="239"/>
      <c r="H827" s="239"/>
    </row>
    <row r="828" spans="1:8">
      <c r="A828" s="239"/>
      <c r="B828" s="239"/>
      <c r="C828" s="239"/>
      <c r="D828" s="239"/>
      <c r="E828" s="239"/>
      <c r="F828" s="239"/>
      <c r="G828" s="239"/>
      <c r="H828" s="239"/>
    </row>
    <row r="829" spans="1:8">
      <c r="A829" s="239"/>
      <c r="B829" s="239"/>
      <c r="C829" s="239"/>
      <c r="D829" s="239"/>
      <c r="E829" s="239"/>
      <c r="F829" s="239"/>
      <c r="G829" s="239"/>
      <c r="H829" s="239"/>
    </row>
    <row r="830" spans="1:8">
      <c r="A830" s="239"/>
      <c r="B830" s="239"/>
      <c r="C830" s="239"/>
      <c r="D830" s="239"/>
      <c r="E830" s="239"/>
      <c r="F830" s="239"/>
      <c r="G830" s="239"/>
      <c r="H830" s="239"/>
    </row>
    <row r="831" spans="1:8">
      <c r="A831" s="239"/>
      <c r="B831" s="239"/>
      <c r="C831" s="239"/>
      <c r="D831" s="239"/>
      <c r="E831" s="239"/>
      <c r="F831" s="239"/>
      <c r="G831" s="239"/>
      <c r="H831" s="239"/>
    </row>
    <row r="832" spans="1:8">
      <c r="A832" s="239"/>
      <c r="B832" s="239"/>
      <c r="C832" s="239"/>
      <c r="D832" s="239"/>
      <c r="E832" s="239"/>
      <c r="F832" s="239"/>
      <c r="G832" s="239"/>
      <c r="H832" s="239"/>
    </row>
    <row r="833" spans="1:8">
      <c r="A833" s="239"/>
      <c r="B833" s="239"/>
      <c r="C833" s="239"/>
      <c r="D833" s="239"/>
      <c r="E833" s="239"/>
      <c r="F833" s="239"/>
      <c r="G833" s="239"/>
      <c r="H833" s="239"/>
    </row>
    <row r="834" spans="1:8">
      <c r="A834" s="239"/>
      <c r="B834" s="239"/>
      <c r="C834" s="239"/>
      <c r="D834" s="239"/>
      <c r="E834" s="239"/>
      <c r="F834" s="239"/>
      <c r="G834" s="239"/>
      <c r="H834" s="239"/>
    </row>
    <row r="835" spans="1:8">
      <c r="A835" s="239"/>
      <c r="B835" s="239"/>
      <c r="C835" s="239"/>
      <c r="D835" s="239"/>
      <c r="E835" s="239"/>
      <c r="F835" s="239"/>
      <c r="G835" s="239"/>
      <c r="H835" s="239"/>
    </row>
    <row r="836" spans="1:8">
      <c r="A836" s="239"/>
      <c r="B836" s="239"/>
      <c r="C836" s="239"/>
      <c r="D836" s="239"/>
      <c r="E836" s="239"/>
      <c r="F836" s="239"/>
      <c r="G836" s="239"/>
      <c r="H836" s="239"/>
    </row>
    <row r="837" spans="1:8">
      <c r="A837" s="239"/>
      <c r="B837" s="239"/>
      <c r="C837" s="239"/>
      <c r="D837" s="239"/>
      <c r="E837" s="239"/>
      <c r="F837" s="239"/>
      <c r="G837" s="239"/>
      <c r="H837" s="239"/>
    </row>
    <row r="838" spans="1:8">
      <c r="A838" s="239"/>
      <c r="B838" s="239"/>
      <c r="C838" s="239"/>
      <c r="D838" s="239"/>
      <c r="E838" s="239"/>
      <c r="F838" s="239"/>
      <c r="G838" s="239"/>
      <c r="H838" s="239"/>
    </row>
    <row r="839" spans="1:8">
      <c r="A839" s="239"/>
      <c r="B839" s="239"/>
      <c r="C839" s="239"/>
      <c r="D839" s="239"/>
      <c r="E839" s="239"/>
      <c r="F839" s="239"/>
      <c r="G839" s="239"/>
      <c r="H839" s="239"/>
    </row>
    <row r="840" spans="1:8">
      <c r="A840" s="239"/>
      <c r="B840" s="239"/>
      <c r="C840" s="239"/>
      <c r="D840" s="239"/>
      <c r="E840" s="239"/>
      <c r="F840" s="239"/>
      <c r="G840" s="239"/>
      <c r="H840" s="239"/>
    </row>
    <row r="841" spans="1:8">
      <c r="A841" s="239"/>
      <c r="B841" s="239"/>
      <c r="C841" s="239"/>
      <c r="D841" s="239"/>
      <c r="E841" s="239"/>
      <c r="F841" s="239"/>
      <c r="G841" s="239"/>
      <c r="H841" s="239"/>
    </row>
    <row r="842" spans="1:8">
      <c r="A842" s="239"/>
      <c r="B842" s="239"/>
      <c r="C842" s="239"/>
      <c r="D842" s="239"/>
      <c r="E842" s="239"/>
      <c r="F842" s="239"/>
      <c r="G842" s="239"/>
      <c r="H842" s="239"/>
    </row>
    <row r="843" spans="1:8">
      <c r="A843" s="239"/>
      <c r="B843" s="239"/>
      <c r="C843" s="239"/>
      <c r="D843" s="239"/>
      <c r="E843" s="239"/>
      <c r="F843" s="239"/>
      <c r="G843" s="239"/>
      <c r="H843" s="239"/>
    </row>
    <row r="844" spans="1:8">
      <c r="A844" s="239"/>
      <c r="B844" s="239"/>
      <c r="C844" s="239"/>
      <c r="D844" s="239"/>
      <c r="E844" s="239"/>
      <c r="F844" s="239"/>
      <c r="G844" s="239"/>
      <c r="H844" s="239"/>
    </row>
    <row r="845" spans="1:8">
      <c r="A845" s="239"/>
      <c r="B845" s="239"/>
      <c r="C845" s="239"/>
      <c r="D845" s="239"/>
      <c r="E845" s="239"/>
      <c r="F845" s="239"/>
      <c r="G845" s="239"/>
      <c r="H845" s="239"/>
    </row>
    <row r="846" spans="1:8">
      <c r="A846" s="239"/>
      <c r="B846" s="239"/>
      <c r="C846" s="239"/>
      <c r="D846" s="239"/>
      <c r="E846" s="239"/>
      <c r="F846" s="239"/>
      <c r="G846" s="239"/>
      <c r="H846" s="239"/>
    </row>
    <row r="847" spans="1:8">
      <c r="A847" s="239"/>
      <c r="B847" s="239"/>
      <c r="C847" s="239"/>
      <c r="D847" s="239"/>
      <c r="E847" s="239"/>
      <c r="F847" s="239"/>
      <c r="G847" s="239"/>
      <c r="H847" s="239"/>
    </row>
    <row r="848" spans="1:8">
      <c r="A848" s="239"/>
      <c r="B848" s="239"/>
      <c r="C848" s="239"/>
      <c r="D848" s="239"/>
      <c r="E848" s="239"/>
      <c r="F848" s="239"/>
      <c r="G848" s="239"/>
      <c r="H848" s="239"/>
    </row>
    <row r="849" spans="1:8">
      <c r="A849" s="239"/>
      <c r="B849" s="239"/>
      <c r="C849" s="239"/>
      <c r="D849" s="239"/>
      <c r="E849" s="239"/>
      <c r="F849" s="239"/>
      <c r="G849" s="239"/>
      <c r="H849" s="239"/>
    </row>
    <row r="850" spans="1:8">
      <c r="A850" s="239"/>
      <c r="B850" s="239"/>
      <c r="C850" s="239"/>
      <c r="D850" s="239"/>
      <c r="E850" s="239"/>
      <c r="F850" s="239"/>
      <c r="G850" s="239"/>
      <c r="H850" s="239"/>
    </row>
    <row r="851" spans="1:8">
      <c r="A851" s="239"/>
      <c r="B851" s="239"/>
      <c r="C851" s="239"/>
      <c r="D851" s="239"/>
      <c r="E851" s="239"/>
      <c r="F851" s="239"/>
      <c r="G851" s="239"/>
      <c r="H851" s="239"/>
    </row>
    <row r="852" spans="1:8">
      <c r="A852" s="239"/>
      <c r="B852" s="239"/>
      <c r="C852" s="239"/>
      <c r="D852" s="239"/>
      <c r="E852" s="239"/>
      <c r="F852" s="239"/>
      <c r="G852" s="239"/>
      <c r="H852" s="239"/>
    </row>
    <row r="853" spans="1:8">
      <c r="A853" s="239"/>
      <c r="B853" s="239"/>
      <c r="C853" s="239"/>
      <c r="D853" s="239"/>
      <c r="E853" s="239"/>
      <c r="F853" s="239"/>
      <c r="G853" s="239"/>
      <c r="H853" s="239"/>
    </row>
    <row r="854" spans="1:8">
      <c r="A854" s="239"/>
      <c r="B854" s="239"/>
      <c r="C854" s="239"/>
      <c r="D854" s="239"/>
      <c r="E854" s="239"/>
      <c r="F854" s="239"/>
      <c r="G854" s="239"/>
      <c r="H854" s="239"/>
    </row>
    <row r="855" spans="1:8">
      <c r="A855" s="239"/>
      <c r="B855" s="239"/>
      <c r="C855" s="239"/>
      <c r="D855" s="239"/>
      <c r="E855" s="239"/>
      <c r="F855" s="239"/>
      <c r="G855" s="239"/>
      <c r="H855" s="239"/>
    </row>
    <row r="856" spans="1:8">
      <c r="A856" s="239"/>
      <c r="B856" s="239"/>
      <c r="C856" s="239"/>
      <c r="D856" s="239"/>
      <c r="E856" s="239"/>
      <c r="F856" s="239"/>
      <c r="G856" s="239"/>
      <c r="H856" s="239"/>
    </row>
    <row r="857" spans="1:8">
      <c r="A857" s="239"/>
      <c r="B857" s="239"/>
      <c r="C857" s="239"/>
      <c r="D857" s="239"/>
      <c r="E857" s="239"/>
      <c r="F857" s="239"/>
      <c r="G857" s="239"/>
      <c r="H857" s="239"/>
    </row>
    <row r="858" spans="1:8">
      <c r="A858" s="239"/>
      <c r="B858" s="239"/>
      <c r="C858" s="239"/>
      <c r="D858" s="239"/>
      <c r="E858" s="239"/>
      <c r="F858" s="239"/>
      <c r="G858" s="239"/>
      <c r="H858" s="239"/>
    </row>
    <row r="859" spans="1:8">
      <c r="A859" s="239"/>
      <c r="B859" s="239"/>
      <c r="C859" s="239"/>
      <c r="D859" s="239"/>
      <c r="E859" s="239"/>
      <c r="F859" s="239"/>
      <c r="G859" s="239"/>
      <c r="H859" s="239"/>
    </row>
    <row r="860" spans="1:8">
      <c r="A860" s="239"/>
      <c r="B860" s="239"/>
      <c r="C860" s="239"/>
      <c r="D860" s="239"/>
      <c r="E860" s="239"/>
      <c r="F860" s="239"/>
      <c r="G860" s="239"/>
      <c r="H860" s="239"/>
    </row>
    <row r="861" spans="1:8">
      <c r="A861" s="239"/>
      <c r="B861" s="239"/>
      <c r="C861" s="239"/>
      <c r="D861" s="239"/>
      <c r="E861" s="239"/>
      <c r="F861" s="239"/>
      <c r="G861" s="239"/>
      <c r="H861" s="239"/>
    </row>
    <row r="862" spans="1:8">
      <c r="A862" s="239"/>
      <c r="B862" s="239"/>
      <c r="C862" s="239"/>
      <c r="D862" s="239"/>
      <c r="E862" s="239"/>
      <c r="F862" s="239"/>
      <c r="G862" s="239"/>
      <c r="H862" s="239"/>
    </row>
    <row r="863" spans="1:8">
      <c r="A863" s="239"/>
      <c r="B863" s="239"/>
      <c r="C863" s="239"/>
      <c r="D863" s="239"/>
      <c r="E863" s="239"/>
      <c r="F863" s="239"/>
      <c r="G863" s="239"/>
      <c r="H863" s="239"/>
    </row>
    <row r="864" spans="1:8">
      <c r="A864" s="239"/>
      <c r="B864" s="239"/>
      <c r="C864" s="239"/>
      <c r="D864" s="239"/>
      <c r="E864" s="239"/>
      <c r="F864" s="239"/>
      <c r="G864" s="239"/>
      <c r="H864" s="239"/>
    </row>
    <row r="865" spans="1:8">
      <c r="A865" s="239"/>
      <c r="B865" s="239"/>
      <c r="C865" s="239"/>
      <c r="D865" s="239"/>
      <c r="E865" s="239"/>
      <c r="F865" s="239"/>
      <c r="G865" s="239"/>
      <c r="H865" s="239"/>
    </row>
    <row r="866" spans="1:8">
      <c r="A866" s="239"/>
      <c r="B866" s="239"/>
      <c r="C866" s="239"/>
      <c r="D866" s="239"/>
      <c r="E866" s="239"/>
      <c r="F866" s="239"/>
      <c r="G866" s="239"/>
      <c r="H866" s="239"/>
    </row>
    <row r="867" spans="1:8">
      <c r="A867" s="239"/>
      <c r="B867" s="239"/>
      <c r="C867" s="239"/>
      <c r="D867" s="239"/>
      <c r="E867" s="239"/>
      <c r="F867" s="239"/>
      <c r="G867" s="239"/>
      <c r="H867" s="239"/>
    </row>
    <row r="868" spans="1:8">
      <c r="A868" s="239"/>
      <c r="B868" s="239"/>
      <c r="C868" s="239"/>
      <c r="D868" s="239"/>
      <c r="E868" s="239"/>
      <c r="F868" s="239"/>
      <c r="G868" s="239"/>
      <c r="H868" s="239"/>
    </row>
    <row r="869" spans="1:8">
      <c r="A869" s="239"/>
      <c r="B869" s="239"/>
      <c r="C869" s="239"/>
      <c r="D869" s="239"/>
      <c r="E869" s="239"/>
      <c r="F869" s="239"/>
      <c r="G869" s="239"/>
      <c r="H869" s="239"/>
    </row>
    <row r="870" spans="1:8">
      <c r="A870" s="239"/>
      <c r="B870" s="239"/>
      <c r="C870" s="239"/>
      <c r="D870" s="239"/>
      <c r="E870" s="239"/>
      <c r="F870" s="239"/>
      <c r="G870" s="239"/>
      <c r="H870" s="239"/>
    </row>
    <row r="871" spans="1:8">
      <c r="A871" s="239"/>
      <c r="B871" s="239"/>
      <c r="C871" s="239"/>
      <c r="D871" s="239"/>
      <c r="E871" s="239"/>
      <c r="F871" s="239"/>
      <c r="G871" s="239"/>
      <c r="H871" s="239"/>
    </row>
    <row r="872" spans="1:8">
      <c r="A872" s="239"/>
      <c r="B872" s="239"/>
      <c r="C872" s="239"/>
      <c r="D872" s="239"/>
      <c r="E872" s="239"/>
      <c r="F872" s="239"/>
      <c r="G872" s="239"/>
      <c r="H872" s="239"/>
    </row>
    <row r="873" spans="1:8">
      <c r="A873" s="239"/>
      <c r="B873" s="239"/>
      <c r="C873" s="239"/>
      <c r="D873" s="239"/>
      <c r="E873" s="239"/>
      <c r="F873" s="239"/>
      <c r="G873" s="239"/>
      <c r="H873" s="239"/>
    </row>
    <row r="874" spans="1:8">
      <c r="A874" s="239"/>
      <c r="B874" s="239"/>
      <c r="C874" s="239"/>
      <c r="D874" s="239"/>
      <c r="E874" s="239"/>
      <c r="F874" s="239"/>
      <c r="G874" s="239"/>
      <c r="H874" s="239"/>
    </row>
    <row r="875" spans="1:8">
      <c r="A875" s="239"/>
      <c r="B875" s="239"/>
      <c r="C875" s="239"/>
      <c r="D875" s="239"/>
      <c r="E875" s="239"/>
      <c r="F875" s="239"/>
      <c r="G875" s="239"/>
      <c r="H875" s="239"/>
    </row>
    <row r="876" spans="1:8">
      <c r="A876" s="239"/>
      <c r="B876" s="239"/>
      <c r="C876" s="239"/>
      <c r="D876" s="239"/>
      <c r="E876" s="239"/>
      <c r="F876" s="239"/>
      <c r="G876" s="239"/>
      <c r="H876" s="239"/>
    </row>
    <row r="877" spans="1:8">
      <c r="A877" s="239"/>
      <c r="B877" s="239"/>
      <c r="C877" s="239"/>
      <c r="D877" s="239"/>
      <c r="E877" s="239"/>
      <c r="F877" s="239"/>
      <c r="G877" s="239"/>
      <c r="H877" s="239"/>
    </row>
    <row r="878" spans="1:8">
      <c r="A878" s="239"/>
      <c r="B878" s="239"/>
      <c r="C878" s="239"/>
      <c r="D878" s="239"/>
      <c r="E878" s="239"/>
      <c r="F878" s="239"/>
      <c r="G878" s="239"/>
      <c r="H878" s="239"/>
    </row>
    <row r="879" spans="1:8">
      <c r="A879" s="239"/>
      <c r="B879" s="239"/>
      <c r="C879" s="239"/>
      <c r="D879" s="239"/>
      <c r="E879" s="239"/>
      <c r="F879" s="239"/>
      <c r="G879" s="239"/>
      <c r="H879" s="239"/>
    </row>
    <row r="880" spans="1:8">
      <c r="A880" s="239"/>
      <c r="B880" s="239"/>
      <c r="C880" s="239"/>
      <c r="D880" s="239"/>
      <c r="E880" s="239"/>
      <c r="F880" s="239"/>
      <c r="G880" s="239"/>
      <c r="H880" s="239"/>
    </row>
    <row r="881" spans="1:8">
      <c r="A881" s="239"/>
      <c r="B881" s="239"/>
      <c r="C881" s="239"/>
      <c r="D881" s="239"/>
      <c r="E881" s="239"/>
      <c r="F881" s="239"/>
      <c r="G881" s="239"/>
      <c r="H881" s="239"/>
    </row>
    <row r="882" spans="1:8">
      <c r="A882" s="239"/>
      <c r="B882" s="239"/>
      <c r="C882" s="239"/>
      <c r="D882" s="239"/>
      <c r="E882" s="239"/>
      <c r="F882" s="239"/>
      <c r="G882" s="239"/>
      <c r="H882" s="239"/>
    </row>
    <row r="883" spans="1:8">
      <c r="A883" s="239"/>
      <c r="B883" s="239"/>
      <c r="C883" s="239"/>
      <c r="D883" s="239"/>
      <c r="E883" s="239"/>
      <c r="F883" s="239"/>
      <c r="G883" s="239"/>
      <c r="H883" s="239"/>
    </row>
    <row r="884" spans="1:8">
      <c r="A884" s="239"/>
      <c r="B884" s="239"/>
      <c r="C884" s="239"/>
      <c r="D884" s="239"/>
      <c r="E884" s="239"/>
      <c r="F884" s="239"/>
      <c r="G884" s="239"/>
      <c r="H884" s="239"/>
    </row>
    <row r="885" spans="1:8">
      <c r="A885" s="239"/>
      <c r="B885" s="239"/>
      <c r="C885" s="239"/>
      <c r="D885" s="239"/>
      <c r="E885" s="239"/>
      <c r="F885" s="239"/>
      <c r="G885" s="239"/>
      <c r="H885" s="239"/>
    </row>
    <row r="886" spans="1:8">
      <c r="A886" s="239"/>
      <c r="B886" s="239"/>
      <c r="C886" s="239"/>
      <c r="D886" s="239"/>
      <c r="E886" s="239"/>
      <c r="F886" s="239"/>
      <c r="G886" s="239"/>
      <c r="H886" s="239"/>
    </row>
    <row r="887" spans="1:8">
      <c r="A887" s="239"/>
      <c r="B887" s="239"/>
      <c r="C887" s="239"/>
      <c r="D887" s="239"/>
      <c r="E887" s="239"/>
      <c r="F887" s="239"/>
      <c r="G887" s="239"/>
      <c r="H887" s="239"/>
    </row>
    <row r="888" spans="1:8">
      <c r="A888" s="239"/>
      <c r="B888" s="239"/>
      <c r="C888" s="239"/>
      <c r="D888" s="239"/>
      <c r="E888" s="239"/>
      <c r="F888" s="239"/>
      <c r="G888" s="239"/>
      <c r="H888" s="239"/>
    </row>
    <row r="889" spans="1:8">
      <c r="A889" s="239"/>
      <c r="B889" s="239"/>
      <c r="C889" s="239"/>
      <c r="D889" s="239"/>
      <c r="E889" s="239"/>
      <c r="F889" s="239"/>
      <c r="G889" s="239"/>
      <c r="H889" s="239"/>
    </row>
    <row r="890" spans="1:8">
      <c r="A890" s="239"/>
      <c r="B890" s="239"/>
      <c r="C890" s="239"/>
      <c r="D890" s="239"/>
      <c r="E890" s="239"/>
      <c r="F890" s="239"/>
      <c r="G890" s="239"/>
      <c r="H890" s="239"/>
    </row>
    <row r="891" spans="1:8">
      <c r="A891" s="239"/>
      <c r="B891" s="239"/>
      <c r="C891" s="239"/>
      <c r="D891" s="239"/>
      <c r="E891" s="239"/>
      <c r="F891" s="239"/>
      <c r="G891" s="239"/>
      <c r="H891" s="239"/>
    </row>
    <row r="892" spans="1:8">
      <c r="A892" s="239"/>
      <c r="B892" s="239"/>
      <c r="C892" s="239"/>
      <c r="D892" s="239"/>
      <c r="E892" s="239"/>
      <c r="F892" s="239"/>
      <c r="G892" s="239"/>
      <c r="H892" s="239"/>
    </row>
    <row r="893" spans="1:8">
      <c r="A893" s="239"/>
      <c r="B893" s="239"/>
      <c r="C893" s="239"/>
      <c r="D893" s="239"/>
      <c r="E893" s="239"/>
      <c r="F893" s="239"/>
      <c r="G893" s="239"/>
      <c r="H893" s="239"/>
    </row>
    <row r="894" spans="1:8">
      <c r="A894" s="239"/>
      <c r="B894" s="239"/>
      <c r="C894" s="239"/>
      <c r="D894" s="239"/>
      <c r="E894" s="239"/>
      <c r="F894" s="239"/>
      <c r="G894" s="239"/>
      <c r="H894" s="239"/>
    </row>
    <row r="895" spans="1:8">
      <c r="A895" s="239"/>
      <c r="B895" s="239"/>
      <c r="C895" s="239"/>
      <c r="D895" s="239"/>
      <c r="E895" s="239"/>
      <c r="F895" s="239"/>
      <c r="G895" s="239"/>
      <c r="H895" s="239"/>
    </row>
    <row r="896" spans="1:8">
      <c r="A896" s="239"/>
      <c r="B896" s="239"/>
      <c r="C896" s="239"/>
      <c r="D896" s="239"/>
      <c r="E896" s="239"/>
      <c r="F896" s="239"/>
      <c r="G896" s="239"/>
      <c r="H896" s="239"/>
    </row>
    <row r="897" spans="1:8">
      <c r="A897" s="239"/>
      <c r="B897" s="239"/>
      <c r="C897" s="239"/>
      <c r="D897" s="239"/>
      <c r="E897" s="239"/>
      <c r="F897" s="239"/>
      <c r="G897" s="239"/>
      <c r="H897" s="239"/>
    </row>
    <row r="898" spans="1:8">
      <c r="A898" s="239"/>
      <c r="B898" s="239"/>
      <c r="C898" s="239"/>
      <c r="D898" s="239"/>
      <c r="E898" s="239"/>
      <c r="F898" s="239"/>
      <c r="G898" s="239"/>
      <c r="H898" s="239"/>
    </row>
    <row r="899" spans="1:8">
      <c r="A899" s="239"/>
      <c r="B899" s="239"/>
      <c r="C899" s="239"/>
      <c r="D899" s="239"/>
      <c r="E899" s="239"/>
      <c r="F899" s="239"/>
      <c r="G899" s="239"/>
      <c r="H899" s="239"/>
    </row>
    <row r="900" spans="1:8">
      <c r="A900" s="239"/>
      <c r="B900" s="239"/>
      <c r="C900" s="239"/>
      <c r="D900" s="239"/>
      <c r="E900" s="239"/>
      <c r="F900" s="239"/>
      <c r="G900" s="239"/>
      <c r="H900" s="239"/>
    </row>
    <row r="901" spans="1:8">
      <c r="A901" s="239"/>
      <c r="B901" s="239"/>
      <c r="C901" s="239"/>
      <c r="D901" s="239"/>
      <c r="E901" s="239"/>
      <c r="F901" s="239"/>
      <c r="G901" s="239"/>
      <c r="H901" s="239"/>
    </row>
    <row r="902" spans="1:8">
      <c r="A902" s="239"/>
      <c r="B902" s="239"/>
      <c r="C902" s="239"/>
      <c r="D902" s="239"/>
      <c r="E902" s="239"/>
      <c r="F902" s="239"/>
      <c r="G902" s="239"/>
      <c r="H902" s="239"/>
    </row>
    <row r="903" spans="1:8">
      <c r="A903" s="239"/>
      <c r="B903" s="239"/>
      <c r="C903" s="239"/>
      <c r="D903" s="239"/>
      <c r="E903" s="239"/>
      <c r="F903" s="239"/>
      <c r="G903" s="239"/>
      <c r="H903" s="239"/>
    </row>
    <row r="904" spans="1:8">
      <c r="A904" s="239"/>
      <c r="B904" s="239"/>
      <c r="C904" s="239"/>
      <c r="D904" s="239"/>
      <c r="E904" s="239"/>
      <c r="F904" s="239"/>
      <c r="G904" s="239"/>
      <c r="H904" s="239"/>
    </row>
    <row r="905" spans="1:8">
      <c r="A905" s="239"/>
      <c r="B905" s="239"/>
      <c r="C905" s="239"/>
      <c r="D905" s="239"/>
      <c r="E905" s="239"/>
      <c r="F905" s="239"/>
      <c r="G905" s="239"/>
      <c r="H905" s="239"/>
    </row>
    <row r="906" spans="1:8">
      <c r="A906" s="239"/>
      <c r="B906" s="239"/>
      <c r="C906" s="239"/>
      <c r="D906" s="239"/>
      <c r="E906" s="239"/>
      <c r="F906" s="239"/>
      <c r="G906" s="239"/>
      <c r="H906" s="239"/>
    </row>
    <row r="907" spans="1:8">
      <c r="A907" s="239"/>
      <c r="B907" s="239"/>
      <c r="C907" s="239"/>
      <c r="D907" s="239"/>
      <c r="E907" s="239"/>
      <c r="F907" s="239"/>
      <c r="G907" s="239"/>
      <c r="H907" s="239"/>
    </row>
    <row r="908" spans="1:8">
      <c r="A908" s="239"/>
      <c r="B908" s="239"/>
      <c r="C908" s="239"/>
      <c r="D908" s="239"/>
      <c r="E908" s="239"/>
      <c r="F908" s="239"/>
      <c r="G908" s="239"/>
      <c r="H908" s="239"/>
    </row>
    <row r="909" spans="1:8">
      <c r="A909" s="239"/>
      <c r="B909" s="239"/>
      <c r="C909" s="239"/>
      <c r="D909" s="239"/>
      <c r="E909" s="239"/>
      <c r="F909" s="239"/>
      <c r="G909" s="239"/>
      <c r="H909" s="239"/>
    </row>
    <row r="910" spans="1:8">
      <c r="A910" s="239"/>
      <c r="B910" s="239"/>
      <c r="C910" s="239"/>
      <c r="D910" s="239"/>
      <c r="E910" s="239"/>
      <c r="F910" s="239"/>
      <c r="G910" s="239"/>
      <c r="H910" s="239"/>
    </row>
    <row r="911" spans="1:8">
      <c r="A911" s="239"/>
      <c r="B911" s="239"/>
      <c r="C911" s="239"/>
      <c r="D911" s="239"/>
      <c r="E911" s="239"/>
      <c r="F911" s="239"/>
      <c r="G911" s="239"/>
      <c r="H911" s="239"/>
    </row>
    <row r="912" spans="1:8">
      <c r="A912" s="239"/>
      <c r="B912" s="239"/>
      <c r="C912" s="239"/>
      <c r="D912" s="239"/>
      <c r="E912" s="239"/>
      <c r="F912" s="239"/>
      <c r="G912" s="239"/>
      <c r="H912" s="239"/>
    </row>
    <row r="913" spans="1:8">
      <c r="A913" s="239"/>
      <c r="B913" s="239"/>
      <c r="C913" s="239"/>
      <c r="D913" s="239"/>
      <c r="E913" s="239"/>
      <c r="F913" s="239"/>
      <c r="G913" s="239"/>
      <c r="H913" s="239"/>
    </row>
    <row r="914" spans="1:8">
      <c r="A914" s="239"/>
      <c r="B914" s="239"/>
      <c r="C914" s="239"/>
      <c r="D914" s="239"/>
      <c r="E914" s="239"/>
      <c r="F914" s="239"/>
      <c r="G914" s="239"/>
      <c r="H914" s="239"/>
    </row>
    <row r="915" spans="1:8">
      <c r="A915" s="239"/>
      <c r="B915" s="239"/>
      <c r="C915" s="239"/>
      <c r="D915" s="239"/>
      <c r="E915" s="239"/>
      <c r="F915" s="239"/>
      <c r="G915" s="239"/>
      <c r="H915" s="239"/>
    </row>
    <row r="916" spans="1:8">
      <c r="A916" s="239"/>
      <c r="B916" s="239"/>
      <c r="C916" s="239"/>
      <c r="D916" s="239"/>
      <c r="E916" s="239"/>
      <c r="F916" s="239"/>
      <c r="G916" s="239"/>
      <c r="H916" s="239"/>
    </row>
    <row r="917" spans="1:8">
      <c r="A917" s="239"/>
      <c r="B917" s="239"/>
      <c r="C917" s="239"/>
      <c r="D917" s="239"/>
      <c r="E917" s="239"/>
      <c r="F917" s="239"/>
      <c r="G917" s="239"/>
      <c r="H917" s="239"/>
    </row>
    <row r="918" spans="1:8">
      <c r="A918" s="239"/>
      <c r="B918" s="239"/>
      <c r="C918" s="239"/>
      <c r="D918" s="239"/>
      <c r="E918" s="239"/>
      <c r="F918" s="239"/>
      <c r="G918" s="239"/>
      <c r="H918" s="239"/>
    </row>
    <row r="919" spans="1:8">
      <c r="A919" s="239"/>
      <c r="B919" s="239"/>
      <c r="C919" s="239"/>
      <c r="D919" s="239"/>
      <c r="E919" s="239"/>
      <c r="F919" s="239"/>
      <c r="G919" s="239"/>
      <c r="H919" s="239"/>
    </row>
    <row r="920" spans="1:8">
      <c r="A920" s="239"/>
      <c r="B920" s="239"/>
      <c r="C920" s="239"/>
      <c r="D920" s="239"/>
      <c r="E920" s="239"/>
      <c r="F920" s="239"/>
      <c r="G920" s="239"/>
      <c r="H920" s="239"/>
    </row>
    <row r="921" spans="1:8">
      <c r="A921" s="239"/>
      <c r="B921" s="239"/>
      <c r="C921" s="239"/>
      <c r="D921" s="239"/>
      <c r="E921" s="239"/>
      <c r="F921" s="239"/>
      <c r="G921" s="239"/>
      <c r="H921" s="239"/>
    </row>
    <row r="922" spans="1:8">
      <c r="A922" s="239"/>
      <c r="B922" s="239"/>
      <c r="C922" s="239"/>
      <c r="D922" s="239"/>
      <c r="E922" s="239"/>
      <c r="F922" s="239"/>
      <c r="G922" s="239"/>
      <c r="H922" s="239"/>
    </row>
    <row r="923" spans="1:8">
      <c r="A923" s="239"/>
      <c r="B923" s="239"/>
      <c r="C923" s="239"/>
      <c r="D923" s="239"/>
      <c r="E923" s="239"/>
      <c r="F923" s="239"/>
      <c r="G923" s="239"/>
      <c r="H923" s="239"/>
    </row>
    <row r="924" spans="1:8">
      <c r="A924" s="239"/>
      <c r="B924" s="239"/>
      <c r="C924" s="239"/>
      <c r="D924" s="239"/>
      <c r="E924" s="239"/>
      <c r="F924" s="239"/>
      <c r="G924" s="239"/>
      <c r="H924" s="239"/>
    </row>
    <row r="925" spans="1:8">
      <c r="A925" s="239"/>
      <c r="B925" s="239"/>
      <c r="C925" s="239"/>
      <c r="D925" s="239"/>
      <c r="E925" s="239"/>
      <c r="F925" s="239"/>
      <c r="G925" s="239"/>
      <c r="H925" s="239"/>
    </row>
    <row r="926" spans="1:8">
      <c r="A926" s="239"/>
      <c r="B926" s="239"/>
      <c r="C926" s="239"/>
      <c r="D926" s="239"/>
      <c r="E926" s="239"/>
      <c r="F926" s="239"/>
      <c r="G926" s="239"/>
      <c r="H926" s="239"/>
    </row>
    <row r="927" spans="1:8">
      <c r="A927" s="239"/>
      <c r="B927" s="239"/>
      <c r="C927" s="239"/>
      <c r="D927" s="239"/>
      <c r="E927" s="239"/>
      <c r="F927" s="239"/>
      <c r="G927" s="239"/>
      <c r="H927" s="239"/>
    </row>
    <row r="928" spans="1:8">
      <c r="A928" s="239"/>
      <c r="B928" s="239"/>
      <c r="C928" s="239"/>
      <c r="D928" s="239"/>
      <c r="E928" s="239"/>
      <c r="F928" s="239"/>
      <c r="G928" s="239"/>
      <c r="H928" s="239"/>
    </row>
    <row r="929" spans="1:8">
      <c r="A929" s="239"/>
      <c r="B929" s="239"/>
      <c r="C929" s="239"/>
      <c r="D929" s="239"/>
      <c r="E929" s="239"/>
      <c r="F929" s="239"/>
      <c r="G929" s="239"/>
      <c r="H929" s="239"/>
    </row>
    <row r="930" spans="1:8">
      <c r="A930" s="239"/>
      <c r="B930" s="239"/>
      <c r="C930" s="239"/>
      <c r="D930" s="239"/>
      <c r="E930" s="239"/>
      <c r="F930" s="239"/>
      <c r="G930" s="239"/>
      <c r="H930" s="239"/>
    </row>
    <row r="931" spans="1:8">
      <c r="A931" s="239"/>
      <c r="B931" s="239"/>
      <c r="C931" s="239"/>
      <c r="D931" s="239"/>
      <c r="E931" s="239"/>
      <c r="F931" s="239"/>
      <c r="G931" s="239"/>
      <c r="H931" s="239"/>
    </row>
    <row r="932" spans="1:8">
      <c r="A932" s="239"/>
      <c r="B932" s="239"/>
      <c r="C932" s="239"/>
      <c r="D932" s="239"/>
      <c r="E932" s="239"/>
      <c r="F932" s="239"/>
      <c r="G932" s="239"/>
      <c r="H932" s="239"/>
    </row>
    <row r="933" spans="1:8">
      <c r="A933" s="239"/>
      <c r="B933" s="239"/>
      <c r="C933" s="239"/>
      <c r="D933" s="239"/>
      <c r="E933" s="239"/>
      <c r="F933" s="239"/>
      <c r="G933" s="239"/>
      <c r="H933" s="239"/>
    </row>
    <row r="934" spans="1:8">
      <c r="A934" s="239"/>
      <c r="B934" s="239"/>
      <c r="C934" s="239"/>
      <c r="D934" s="239"/>
      <c r="E934" s="239"/>
      <c r="F934" s="239"/>
      <c r="G934" s="239"/>
      <c r="H934" s="239"/>
    </row>
    <row r="935" spans="1:8">
      <c r="A935" s="239"/>
      <c r="B935" s="239"/>
      <c r="C935" s="239"/>
      <c r="D935" s="239"/>
      <c r="E935" s="239"/>
      <c r="F935" s="239"/>
      <c r="G935" s="239"/>
      <c r="H935" s="239"/>
    </row>
    <row r="936" spans="1:8">
      <c r="A936" s="239"/>
      <c r="B936" s="239"/>
      <c r="C936" s="239"/>
      <c r="D936" s="239"/>
      <c r="E936" s="239"/>
      <c r="F936" s="239"/>
      <c r="G936" s="239"/>
      <c r="H936" s="239"/>
    </row>
    <row r="937" spans="1:8">
      <c r="A937" s="239"/>
      <c r="B937" s="239"/>
      <c r="C937" s="239"/>
      <c r="D937" s="239"/>
      <c r="E937" s="239"/>
      <c r="F937" s="239"/>
      <c r="G937" s="239"/>
      <c r="H937" s="239"/>
    </row>
    <row r="938" spans="1:8">
      <c r="A938" s="239"/>
      <c r="B938" s="239"/>
      <c r="C938" s="239"/>
      <c r="D938" s="239"/>
      <c r="E938" s="239"/>
      <c r="F938" s="239"/>
      <c r="G938" s="239"/>
      <c r="H938" s="239"/>
    </row>
    <row r="939" spans="1:8">
      <c r="A939" s="239"/>
      <c r="B939" s="239"/>
      <c r="C939" s="239"/>
      <c r="D939" s="239"/>
      <c r="E939" s="239"/>
      <c r="F939" s="239"/>
      <c r="G939" s="239"/>
      <c r="H939" s="239"/>
    </row>
    <row r="940" spans="1:8">
      <c r="A940" s="239"/>
      <c r="B940" s="239"/>
      <c r="C940" s="239"/>
      <c r="D940" s="239"/>
      <c r="E940" s="239"/>
      <c r="F940" s="239"/>
      <c r="G940" s="239"/>
      <c r="H940" s="239"/>
    </row>
    <row r="941" spans="1:8">
      <c r="A941" s="239"/>
      <c r="B941" s="239"/>
      <c r="C941" s="239"/>
      <c r="D941" s="239"/>
      <c r="E941" s="239"/>
      <c r="F941" s="239"/>
      <c r="G941" s="239"/>
      <c r="H941" s="239"/>
    </row>
    <row r="942" spans="1:8">
      <c r="A942" s="239"/>
      <c r="B942" s="239"/>
      <c r="C942" s="239"/>
      <c r="D942" s="239"/>
      <c r="E942" s="239"/>
      <c r="F942" s="239"/>
      <c r="G942" s="239"/>
      <c r="H942" s="239"/>
    </row>
    <row r="943" spans="1:8">
      <c r="A943" s="239"/>
      <c r="B943" s="239"/>
      <c r="C943" s="239"/>
      <c r="D943" s="239"/>
      <c r="E943" s="239"/>
      <c r="F943" s="239"/>
      <c r="G943" s="239"/>
      <c r="H943" s="239"/>
    </row>
    <row r="944" spans="1:8">
      <c r="A944" s="239"/>
      <c r="B944" s="239"/>
      <c r="C944" s="239"/>
      <c r="D944" s="239"/>
      <c r="E944" s="239"/>
      <c r="F944" s="239"/>
      <c r="G944" s="239"/>
      <c r="H944" s="239"/>
    </row>
    <row r="945" spans="1:8">
      <c r="A945" s="239"/>
      <c r="B945" s="239"/>
      <c r="C945" s="239"/>
      <c r="D945" s="239"/>
      <c r="E945" s="239"/>
      <c r="F945" s="239"/>
      <c r="G945" s="239"/>
      <c r="H945" s="239"/>
    </row>
    <row r="946" spans="1:8">
      <c r="A946" s="239"/>
      <c r="B946" s="239"/>
      <c r="C946" s="239"/>
      <c r="D946" s="239"/>
      <c r="E946" s="239"/>
      <c r="F946" s="239"/>
      <c r="G946" s="239"/>
      <c r="H946" s="239"/>
    </row>
    <row r="947" spans="1:8">
      <c r="A947" s="239"/>
      <c r="B947" s="239"/>
      <c r="C947" s="239"/>
      <c r="D947" s="239"/>
      <c r="E947" s="239"/>
      <c r="F947" s="239"/>
      <c r="G947" s="239"/>
      <c r="H947" s="239"/>
    </row>
    <row r="948" spans="1:8">
      <c r="A948" s="239"/>
      <c r="B948" s="239"/>
      <c r="C948" s="239"/>
      <c r="D948" s="239"/>
      <c r="E948" s="239"/>
      <c r="F948" s="239"/>
      <c r="G948" s="239"/>
      <c r="H948" s="239"/>
    </row>
    <row r="949" spans="1:8">
      <c r="A949" s="239"/>
      <c r="B949" s="239"/>
      <c r="C949" s="239"/>
      <c r="D949" s="239"/>
      <c r="E949" s="239"/>
      <c r="F949" s="239"/>
      <c r="G949" s="239"/>
      <c r="H949" s="239"/>
    </row>
    <row r="950" spans="1:8">
      <c r="A950" s="239"/>
      <c r="B950" s="239"/>
      <c r="C950" s="239"/>
      <c r="D950" s="239"/>
      <c r="E950" s="239"/>
      <c r="F950" s="239"/>
      <c r="G950" s="239"/>
      <c r="H950" s="239"/>
    </row>
    <row r="951" spans="1:8">
      <c r="A951" s="239"/>
      <c r="B951" s="239"/>
      <c r="C951" s="239"/>
      <c r="D951" s="239"/>
      <c r="E951" s="239"/>
      <c r="F951" s="239"/>
      <c r="G951" s="239"/>
      <c r="H951" s="239"/>
    </row>
    <row r="952" spans="1:8">
      <c r="A952" s="239"/>
      <c r="B952" s="239"/>
      <c r="C952" s="239"/>
      <c r="D952" s="239"/>
      <c r="E952" s="239"/>
      <c r="F952" s="239"/>
      <c r="G952" s="239"/>
      <c r="H952" s="239"/>
    </row>
    <row r="953" spans="1:8">
      <c r="A953" s="239"/>
      <c r="B953" s="239"/>
      <c r="C953" s="239"/>
      <c r="D953" s="239"/>
      <c r="E953" s="239"/>
      <c r="F953" s="239"/>
      <c r="G953" s="239"/>
      <c r="H953" s="239"/>
    </row>
    <row r="954" spans="1:8">
      <c r="A954" s="239"/>
      <c r="B954" s="239"/>
      <c r="C954" s="239"/>
      <c r="D954" s="239"/>
      <c r="E954" s="239"/>
      <c r="F954" s="239"/>
      <c r="G954" s="239"/>
      <c r="H954" s="239"/>
    </row>
    <row r="955" spans="1:8">
      <c r="A955" s="239"/>
      <c r="B955" s="239"/>
      <c r="C955" s="239"/>
      <c r="D955" s="239"/>
      <c r="E955" s="239"/>
      <c r="F955" s="239"/>
      <c r="G955" s="239"/>
      <c r="H955" s="239"/>
    </row>
    <row r="956" spans="1:8">
      <c r="A956" s="239"/>
      <c r="B956" s="239"/>
      <c r="C956" s="239"/>
      <c r="D956" s="239"/>
      <c r="E956" s="239"/>
      <c r="F956" s="239"/>
      <c r="G956" s="239"/>
      <c r="H956" s="239"/>
    </row>
    <row r="957" spans="1:8">
      <c r="A957" s="239"/>
      <c r="B957" s="239"/>
      <c r="C957" s="239"/>
      <c r="D957" s="239"/>
      <c r="E957" s="239"/>
      <c r="F957" s="239"/>
      <c r="G957" s="239"/>
      <c r="H957" s="239"/>
    </row>
    <row r="958" spans="1:8">
      <c r="A958" s="239"/>
      <c r="B958" s="239"/>
      <c r="C958" s="239"/>
      <c r="D958" s="239"/>
      <c r="E958" s="239"/>
      <c r="F958" s="239"/>
      <c r="G958" s="239"/>
      <c r="H958" s="239"/>
    </row>
    <row r="959" spans="1:8">
      <c r="A959" s="239"/>
      <c r="B959" s="239"/>
      <c r="C959" s="239"/>
      <c r="D959" s="239"/>
      <c r="E959" s="239"/>
      <c r="F959" s="239"/>
      <c r="G959" s="239"/>
      <c r="H959" s="239"/>
    </row>
    <row r="960" spans="1:8">
      <c r="A960" s="239"/>
      <c r="B960" s="239"/>
      <c r="C960" s="239"/>
      <c r="D960" s="239"/>
      <c r="E960" s="239"/>
      <c r="F960" s="239"/>
      <c r="G960" s="239"/>
      <c r="H960" s="239"/>
    </row>
    <row r="961" spans="1:8">
      <c r="A961" s="239"/>
      <c r="B961" s="239"/>
      <c r="C961" s="239"/>
      <c r="D961" s="239"/>
      <c r="E961" s="239"/>
      <c r="F961" s="239"/>
      <c r="G961" s="239"/>
      <c r="H961" s="239"/>
    </row>
    <row r="962" spans="1:8">
      <c r="A962" s="239"/>
      <c r="B962" s="239"/>
      <c r="C962" s="239"/>
      <c r="D962" s="239"/>
      <c r="E962" s="239"/>
      <c r="F962" s="239"/>
      <c r="G962" s="239"/>
      <c r="H962" s="239"/>
    </row>
    <row r="963" spans="1:8">
      <c r="A963" s="239"/>
      <c r="B963" s="239"/>
      <c r="C963" s="239"/>
      <c r="D963" s="239"/>
      <c r="E963" s="239"/>
      <c r="F963" s="239"/>
      <c r="G963" s="239"/>
      <c r="H963" s="239"/>
    </row>
    <row r="964" spans="1:8">
      <c r="A964" s="239"/>
      <c r="B964" s="239"/>
      <c r="C964" s="239"/>
      <c r="D964" s="239"/>
      <c r="E964" s="239"/>
      <c r="F964" s="239"/>
      <c r="G964" s="239"/>
      <c r="H964" s="239"/>
    </row>
    <row r="965" spans="1:8">
      <c r="A965" s="239"/>
      <c r="B965" s="239"/>
      <c r="C965" s="239"/>
      <c r="D965" s="239"/>
      <c r="E965" s="239"/>
      <c r="F965" s="239"/>
      <c r="G965" s="239"/>
      <c r="H965" s="239"/>
    </row>
    <row r="966" spans="1:8">
      <c r="A966" s="239"/>
      <c r="B966" s="239"/>
      <c r="C966" s="239"/>
      <c r="D966" s="239"/>
      <c r="E966" s="239"/>
      <c r="F966" s="239"/>
      <c r="G966" s="239"/>
      <c r="H966" s="239"/>
    </row>
    <row r="967" spans="1:8">
      <c r="A967" s="239"/>
      <c r="B967" s="239"/>
      <c r="C967" s="239"/>
      <c r="D967" s="239"/>
      <c r="E967" s="239"/>
      <c r="F967" s="239"/>
      <c r="G967" s="239"/>
      <c r="H967" s="239"/>
    </row>
    <row r="968" spans="1:8">
      <c r="A968" s="239"/>
      <c r="B968" s="239"/>
      <c r="C968" s="239"/>
      <c r="D968" s="239"/>
      <c r="E968" s="239"/>
      <c r="F968" s="239"/>
      <c r="G968" s="239"/>
      <c r="H968" s="239"/>
    </row>
    <row r="969" spans="1:8">
      <c r="A969" s="239"/>
      <c r="B969" s="239"/>
      <c r="C969" s="239"/>
      <c r="D969" s="239"/>
      <c r="E969" s="239"/>
      <c r="F969" s="239"/>
      <c r="G969" s="239"/>
      <c r="H969" s="239"/>
    </row>
    <row r="970" spans="1:8">
      <c r="A970" s="239"/>
      <c r="B970" s="239"/>
      <c r="C970" s="239"/>
      <c r="D970" s="239"/>
      <c r="E970" s="239"/>
      <c r="F970" s="239"/>
      <c r="G970" s="239"/>
      <c r="H970" s="239"/>
    </row>
    <row r="971" spans="1:8">
      <c r="A971" s="239"/>
      <c r="B971" s="239"/>
      <c r="C971" s="239"/>
      <c r="D971" s="239"/>
      <c r="E971" s="239"/>
      <c r="F971" s="239"/>
      <c r="G971" s="239"/>
      <c r="H971" s="239"/>
    </row>
    <row r="972" spans="1:8">
      <c r="A972" s="239"/>
      <c r="B972" s="239"/>
      <c r="C972" s="239"/>
      <c r="D972" s="239"/>
      <c r="E972" s="239"/>
      <c r="F972" s="239"/>
      <c r="G972" s="239"/>
      <c r="H972" s="239"/>
    </row>
    <row r="973" spans="1:8">
      <c r="A973" s="239"/>
      <c r="B973" s="239"/>
      <c r="C973" s="239"/>
      <c r="D973" s="239"/>
      <c r="E973" s="239"/>
      <c r="F973" s="239"/>
      <c r="G973" s="239"/>
      <c r="H973" s="239"/>
    </row>
    <row r="974" spans="1:8">
      <c r="A974" s="239"/>
      <c r="B974" s="239"/>
      <c r="C974" s="239"/>
      <c r="D974" s="239"/>
      <c r="E974" s="239"/>
      <c r="F974" s="239"/>
      <c r="G974" s="239"/>
      <c r="H974" s="239"/>
    </row>
    <row r="975" spans="1:8">
      <c r="A975" s="239"/>
      <c r="B975" s="239"/>
      <c r="C975" s="239"/>
      <c r="D975" s="239"/>
      <c r="E975" s="239"/>
      <c r="F975" s="239"/>
      <c r="G975" s="239"/>
      <c r="H975" s="239"/>
    </row>
    <row r="976" spans="1:8">
      <c r="A976" s="239"/>
      <c r="B976" s="239"/>
      <c r="C976" s="239"/>
      <c r="D976" s="239"/>
      <c r="E976" s="239"/>
      <c r="F976" s="239"/>
      <c r="G976" s="239"/>
      <c r="H976" s="239"/>
    </row>
    <row r="977" spans="1:8">
      <c r="A977" s="239"/>
      <c r="B977" s="239"/>
      <c r="C977" s="239"/>
      <c r="D977" s="239"/>
      <c r="E977" s="239"/>
      <c r="F977" s="239"/>
      <c r="G977" s="239"/>
      <c r="H977" s="239"/>
    </row>
    <row r="978" spans="1:8">
      <c r="A978" s="239"/>
      <c r="B978" s="239"/>
      <c r="C978" s="239"/>
      <c r="D978" s="239"/>
      <c r="E978" s="239"/>
      <c r="F978" s="239"/>
      <c r="G978" s="239"/>
      <c r="H978" s="239"/>
    </row>
    <row r="979" spans="1:8">
      <c r="A979" s="239"/>
      <c r="B979" s="239"/>
      <c r="C979" s="239"/>
      <c r="D979" s="239"/>
      <c r="E979" s="239"/>
      <c r="F979" s="239"/>
      <c r="G979" s="239"/>
      <c r="H979" s="239"/>
    </row>
    <row r="980" spans="1:8">
      <c r="A980" s="239"/>
      <c r="B980" s="239"/>
      <c r="C980" s="239"/>
      <c r="D980" s="239"/>
      <c r="E980" s="239"/>
      <c r="F980" s="239"/>
      <c r="G980" s="239"/>
      <c r="H980" s="239"/>
    </row>
    <row r="981" spans="1:8">
      <c r="A981" s="239"/>
      <c r="B981" s="239"/>
      <c r="C981" s="239"/>
      <c r="D981" s="239"/>
      <c r="E981" s="239"/>
      <c r="F981" s="239"/>
      <c r="G981" s="239"/>
      <c r="H981" s="239"/>
    </row>
    <row r="982" spans="1:8">
      <c r="A982" s="239"/>
      <c r="B982" s="239"/>
      <c r="C982" s="239"/>
      <c r="D982" s="239"/>
      <c r="E982" s="239"/>
      <c r="F982" s="239"/>
      <c r="G982" s="239"/>
      <c r="H982" s="239"/>
    </row>
    <row r="983" spans="1:8">
      <c r="A983" s="239"/>
      <c r="B983" s="239"/>
      <c r="C983" s="239"/>
      <c r="D983" s="239"/>
      <c r="E983" s="239"/>
      <c r="F983" s="239"/>
      <c r="G983" s="239"/>
      <c r="H983" s="239"/>
    </row>
    <row r="984" spans="1:8">
      <c r="A984" s="239"/>
      <c r="B984" s="239"/>
      <c r="C984" s="239"/>
      <c r="D984" s="239"/>
      <c r="E984" s="239"/>
      <c r="F984" s="239"/>
      <c r="G984" s="239"/>
      <c r="H984" s="239"/>
    </row>
    <row r="985" spans="1:8">
      <c r="A985" s="239"/>
      <c r="B985" s="239"/>
      <c r="C985" s="239"/>
      <c r="D985" s="239"/>
      <c r="E985" s="239"/>
      <c r="F985" s="239"/>
      <c r="G985" s="239"/>
      <c r="H985" s="239"/>
    </row>
    <row r="986" spans="1:8">
      <c r="A986" s="239"/>
      <c r="B986" s="239"/>
      <c r="C986" s="239"/>
      <c r="D986" s="239"/>
      <c r="E986" s="239"/>
      <c r="F986" s="239"/>
      <c r="G986" s="239"/>
      <c r="H986" s="239"/>
    </row>
    <row r="987" spans="1:8">
      <c r="A987" s="239"/>
      <c r="B987" s="239"/>
      <c r="C987" s="239"/>
      <c r="D987" s="239"/>
      <c r="E987" s="239"/>
      <c r="F987" s="239"/>
      <c r="G987" s="239"/>
      <c r="H987" s="239"/>
    </row>
    <row r="988" spans="1:8">
      <c r="A988" s="239"/>
      <c r="B988" s="239"/>
      <c r="C988" s="239"/>
      <c r="D988" s="239"/>
      <c r="E988" s="239"/>
      <c r="F988" s="239"/>
      <c r="G988" s="239"/>
      <c r="H988" s="239"/>
    </row>
    <row r="989" spans="1:8">
      <c r="A989" s="239"/>
      <c r="B989" s="239"/>
      <c r="C989" s="239"/>
      <c r="D989" s="239"/>
      <c r="E989" s="239"/>
      <c r="F989" s="239"/>
      <c r="G989" s="239"/>
      <c r="H989" s="239"/>
    </row>
    <row r="990" spans="1:8">
      <c r="A990" s="239"/>
      <c r="B990" s="239"/>
      <c r="C990" s="239"/>
      <c r="D990" s="239"/>
      <c r="E990" s="239"/>
      <c r="F990" s="239"/>
      <c r="G990" s="239"/>
      <c r="H990" s="239"/>
    </row>
    <row r="991" spans="1:8">
      <c r="A991" s="239"/>
      <c r="B991" s="239"/>
      <c r="C991" s="239"/>
      <c r="D991" s="239"/>
      <c r="E991" s="239"/>
      <c r="F991" s="239"/>
      <c r="G991" s="239"/>
      <c r="H991" s="239"/>
    </row>
    <row r="992" spans="1:8">
      <c r="A992" s="239"/>
      <c r="B992" s="239"/>
      <c r="C992" s="239"/>
      <c r="D992" s="239"/>
      <c r="E992" s="239"/>
      <c r="F992" s="239"/>
      <c r="G992" s="239"/>
      <c r="H992" s="239"/>
    </row>
    <row r="993" spans="1:11">
      <c r="A993" s="239"/>
      <c r="B993" s="239"/>
      <c r="C993" s="239"/>
      <c r="D993" s="239"/>
      <c r="E993" s="239"/>
      <c r="F993" s="239"/>
      <c r="G993" s="239"/>
      <c r="H993" s="239"/>
    </row>
    <row r="994" spans="1:11">
      <c r="A994" s="239"/>
      <c r="B994" s="239"/>
      <c r="C994" s="239"/>
      <c r="D994" s="239"/>
      <c r="E994" s="239"/>
      <c r="F994" s="239"/>
      <c r="G994" s="239"/>
      <c r="H994" s="239"/>
    </row>
    <row r="995" spans="1:11">
      <c r="A995" s="239"/>
      <c r="B995" s="239"/>
      <c r="C995" s="239"/>
      <c r="D995" s="239"/>
      <c r="E995" s="239"/>
      <c r="F995" s="239"/>
      <c r="G995" s="239"/>
      <c r="H995" s="239"/>
    </row>
    <row r="996" spans="1:11">
      <c r="A996" s="239"/>
      <c r="B996" s="239"/>
      <c r="C996" s="239"/>
      <c r="D996" s="239"/>
      <c r="E996" s="239"/>
      <c r="F996" s="239"/>
      <c r="G996" s="239"/>
      <c r="H996" s="239"/>
    </row>
    <row r="997" spans="1:11">
      <c r="A997" s="239"/>
      <c r="B997" s="239"/>
      <c r="C997" s="239"/>
      <c r="D997" s="239"/>
      <c r="E997" s="239"/>
      <c r="F997" s="239"/>
      <c r="G997" s="239"/>
      <c r="H997" s="239"/>
    </row>
    <row r="998" spans="1:11">
      <c r="A998" s="239"/>
      <c r="B998" s="239"/>
      <c r="C998" s="239"/>
      <c r="D998" s="239"/>
      <c r="E998" s="239"/>
      <c r="F998" s="239"/>
      <c r="G998" s="239"/>
      <c r="H998" s="239"/>
    </row>
    <row r="999" spans="1:11">
      <c r="A999" s="239"/>
      <c r="B999" s="239"/>
      <c r="C999" s="239"/>
      <c r="D999" s="239"/>
      <c r="E999" s="239"/>
      <c r="F999" s="239"/>
      <c r="G999" s="239"/>
      <c r="H999" s="239"/>
    </row>
    <row r="1000" spans="1:11">
      <c r="A1000" s="239"/>
      <c r="B1000" s="239"/>
      <c r="C1000" s="239"/>
      <c r="D1000" s="239"/>
      <c r="E1000" s="239"/>
      <c r="F1000" s="239"/>
      <c r="G1000" s="239"/>
      <c r="H1000" s="239"/>
    </row>
    <row r="1006" spans="1:11">
      <c r="K1006" s="273"/>
    </row>
    <row r="1007" spans="1:11">
      <c r="K1007" s="273"/>
    </row>
    <row r="1008" spans="1:11">
      <c r="K1008" s="273"/>
    </row>
  </sheetData>
  <sortState ref="A5:H1000">
    <sortCondition ref="A4:A1000"/>
  </sortState>
  <mergeCells count="8">
    <mergeCell ref="H3:H4"/>
    <mergeCell ref="A2:H2"/>
    <mergeCell ref="A3:A4"/>
    <mergeCell ref="D3:E3"/>
    <mergeCell ref="F3:F4"/>
    <mergeCell ref="G3:G4"/>
    <mergeCell ref="C3:C4"/>
    <mergeCell ref="B3:B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202"/>
  <sheetViews>
    <sheetView zoomScale="85" zoomScaleNormal="85" workbookViewId="0">
      <selection activeCell="B24" sqref="B24"/>
    </sheetView>
  </sheetViews>
  <sheetFormatPr defaultRowHeight="15"/>
  <cols>
    <col min="1" max="1" width="17.85546875" style="243" customWidth="1"/>
    <col min="2" max="2" width="97.140625" style="243" customWidth="1"/>
  </cols>
  <sheetData>
    <row r="2" spans="1:2" ht="26.25">
      <c r="A2" s="636" t="s">
        <v>664</v>
      </c>
      <c r="B2" s="636"/>
    </row>
    <row r="3" spans="1:2">
      <c r="A3" s="245" t="s">
        <v>9</v>
      </c>
      <c r="B3" s="245" t="s">
        <v>664</v>
      </c>
    </row>
    <row r="4" spans="1:2">
      <c r="A4" s="244" t="s">
        <v>725</v>
      </c>
      <c r="B4" s="244" t="s">
        <v>737</v>
      </c>
    </row>
    <row r="5" spans="1:2">
      <c r="A5" s="244" t="s">
        <v>548</v>
      </c>
      <c r="B5" s="244" t="s">
        <v>738</v>
      </c>
    </row>
    <row r="6" spans="1:2">
      <c r="A6" s="244" t="s">
        <v>721</v>
      </c>
      <c r="B6" s="244" t="s">
        <v>736</v>
      </c>
    </row>
    <row r="7" spans="1:2">
      <c r="A7" s="244"/>
      <c r="B7" s="244"/>
    </row>
    <row r="8" spans="1:2">
      <c r="A8" s="244"/>
      <c r="B8" s="244"/>
    </row>
    <row r="9" spans="1:2">
      <c r="A9" s="244"/>
      <c r="B9" s="244"/>
    </row>
    <row r="10" spans="1:2">
      <c r="A10" s="244"/>
      <c r="B10" s="244"/>
    </row>
    <row r="11" spans="1:2">
      <c r="A11" s="244"/>
      <c r="B11" s="244"/>
    </row>
    <row r="12" spans="1:2">
      <c r="A12" s="244"/>
      <c r="B12" s="244"/>
    </row>
    <row r="13" spans="1:2">
      <c r="A13" s="244"/>
      <c r="B13" s="244"/>
    </row>
    <row r="14" spans="1:2">
      <c r="A14" s="244"/>
      <c r="B14" s="244"/>
    </row>
    <row r="15" spans="1:2">
      <c r="A15" s="244"/>
      <c r="B15" s="244"/>
    </row>
    <row r="16" spans="1:2">
      <c r="A16" s="244"/>
      <c r="B16" s="244"/>
    </row>
    <row r="17" spans="1:2">
      <c r="A17" s="244"/>
      <c r="B17" s="244"/>
    </row>
    <row r="18" spans="1:2">
      <c r="A18" s="244"/>
      <c r="B18" s="244"/>
    </row>
    <row r="19" spans="1:2">
      <c r="A19" s="244"/>
      <c r="B19" s="244"/>
    </row>
    <row r="20" spans="1:2">
      <c r="A20" s="244"/>
      <c r="B20" s="244"/>
    </row>
    <row r="21" spans="1:2">
      <c r="A21" s="244"/>
      <c r="B21" s="244"/>
    </row>
    <row r="22" spans="1:2">
      <c r="A22" s="244"/>
      <c r="B22" s="244"/>
    </row>
    <row r="23" spans="1:2">
      <c r="A23" s="244"/>
      <c r="B23" s="244"/>
    </row>
    <row r="24" spans="1:2">
      <c r="A24" s="244"/>
      <c r="B24" s="244"/>
    </row>
    <row r="25" spans="1:2">
      <c r="A25" s="244"/>
      <c r="B25" s="244"/>
    </row>
    <row r="26" spans="1:2">
      <c r="A26" s="244"/>
      <c r="B26" s="244"/>
    </row>
    <row r="27" spans="1:2">
      <c r="A27" s="244"/>
      <c r="B27" s="244"/>
    </row>
    <row r="28" spans="1:2">
      <c r="A28" s="244"/>
      <c r="B28" s="244"/>
    </row>
    <row r="29" spans="1:2">
      <c r="A29" s="244"/>
      <c r="B29" s="244"/>
    </row>
    <row r="30" spans="1:2">
      <c r="A30" s="244"/>
      <c r="B30" s="244"/>
    </row>
    <row r="31" spans="1:2">
      <c r="A31" s="244"/>
      <c r="B31" s="244"/>
    </row>
    <row r="32" spans="1:2">
      <c r="A32" s="244"/>
      <c r="B32" s="244"/>
    </row>
    <row r="33" spans="1:2">
      <c r="A33" s="244"/>
      <c r="B33" s="244"/>
    </row>
    <row r="34" spans="1:2">
      <c r="A34" s="244"/>
      <c r="B34" s="244"/>
    </row>
    <row r="35" spans="1:2">
      <c r="A35" s="244"/>
      <c r="B35" s="244"/>
    </row>
    <row r="36" spans="1:2">
      <c r="A36" s="244"/>
      <c r="B36" s="244"/>
    </row>
    <row r="37" spans="1:2">
      <c r="A37" s="244"/>
      <c r="B37" s="244"/>
    </row>
    <row r="38" spans="1:2">
      <c r="A38" s="244"/>
      <c r="B38" s="244"/>
    </row>
    <row r="39" spans="1:2">
      <c r="A39" s="244"/>
      <c r="B39" s="244"/>
    </row>
    <row r="40" spans="1:2">
      <c r="A40" s="244"/>
      <c r="B40" s="244"/>
    </row>
    <row r="41" spans="1:2">
      <c r="A41" s="244"/>
      <c r="B41" s="244"/>
    </row>
    <row r="42" spans="1:2">
      <c r="A42" s="244"/>
      <c r="B42" s="244"/>
    </row>
    <row r="43" spans="1:2">
      <c r="A43" s="244"/>
      <c r="B43" s="244"/>
    </row>
    <row r="44" spans="1:2">
      <c r="A44" s="244"/>
      <c r="B44" s="244"/>
    </row>
    <row r="45" spans="1:2">
      <c r="A45" s="244"/>
      <c r="B45" s="244"/>
    </row>
    <row r="46" spans="1:2">
      <c r="A46" s="244"/>
      <c r="B46" s="244"/>
    </row>
    <row r="47" spans="1:2">
      <c r="A47" s="244"/>
      <c r="B47" s="244"/>
    </row>
    <row r="48" spans="1:2">
      <c r="A48" s="244"/>
      <c r="B48" s="244"/>
    </row>
    <row r="49" spans="1:16">
      <c r="A49" s="244"/>
      <c r="B49" s="244"/>
    </row>
    <row r="50" spans="1:16">
      <c r="A50" s="244"/>
      <c r="B50" s="244"/>
    </row>
    <row r="51" spans="1:16">
      <c r="A51" s="244"/>
      <c r="B51" s="244"/>
    </row>
    <row r="52" spans="1:16">
      <c r="A52" s="244"/>
      <c r="B52" s="244"/>
    </row>
    <row r="53" spans="1:16">
      <c r="A53" s="244"/>
      <c r="B53" s="244"/>
    </row>
    <row r="54" spans="1:16">
      <c r="A54" s="244"/>
      <c r="B54" s="244"/>
    </row>
    <row r="55" spans="1:16">
      <c r="A55" s="244"/>
      <c r="B55" s="244"/>
    </row>
    <row r="56" spans="1:16">
      <c r="A56" s="244"/>
      <c r="B56" s="244"/>
    </row>
    <row r="57" spans="1:16">
      <c r="A57" s="244"/>
      <c r="B57" s="244"/>
    </row>
    <row r="58" spans="1:16">
      <c r="A58" s="244"/>
      <c r="B58" s="244"/>
    </row>
    <row r="59" spans="1:16">
      <c r="A59" s="244"/>
      <c r="B59" s="244"/>
    </row>
    <row r="60" spans="1:16">
      <c r="A60" s="244"/>
      <c r="B60" s="244"/>
    </row>
    <row r="61" spans="1:16">
      <c r="A61" s="244"/>
      <c r="B61" s="244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</row>
    <row r="62" spans="1:16">
      <c r="A62" s="244"/>
      <c r="B62" s="244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</row>
    <row r="63" spans="1:16">
      <c r="A63" s="244"/>
      <c r="B63" s="244"/>
    </row>
    <row r="64" spans="1:16">
      <c r="A64" s="244"/>
      <c r="B64" s="244"/>
    </row>
    <row r="65" spans="1:2">
      <c r="A65" s="244"/>
      <c r="B65" s="244"/>
    </row>
    <row r="66" spans="1:2">
      <c r="A66" s="244"/>
      <c r="B66" s="244"/>
    </row>
    <row r="67" spans="1:2">
      <c r="A67" s="244"/>
      <c r="B67" s="244"/>
    </row>
    <row r="68" spans="1:2">
      <c r="A68" s="244"/>
      <c r="B68" s="244"/>
    </row>
    <row r="69" spans="1:2">
      <c r="A69" s="244"/>
      <c r="B69" s="244"/>
    </row>
    <row r="70" spans="1:2">
      <c r="A70" s="244"/>
      <c r="B70" s="244"/>
    </row>
    <row r="71" spans="1:2">
      <c r="A71" s="244"/>
      <c r="B71" s="244"/>
    </row>
    <row r="72" spans="1:2">
      <c r="A72" s="244"/>
      <c r="B72" s="244"/>
    </row>
    <row r="73" spans="1:2">
      <c r="A73" s="244"/>
      <c r="B73" s="244"/>
    </row>
    <row r="74" spans="1:2">
      <c r="A74" s="244"/>
      <c r="B74" s="244"/>
    </row>
    <row r="75" spans="1:2">
      <c r="A75" s="244"/>
      <c r="B75" s="244"/>
    </row>
    <row r="76" spans="1:2">
      <c r="A76" s="244"/>
      <c r="B76" s="244"/>
    </row>
    <row r="77" spans="1:2">
      <c r="A77" s="244"/>
      <c r="B77" s="244"/>
    </row>
    <row r="78" spans="1:2">
      <c r="A78" s="244"/>
      <c r="B78" s="244"/>
    </row>
    <row r="79" spans="1:2">
      <c r="A79" s="244"/>
      <c r="B79" s="244"/>
    </row>
    <row r="80" spans="1:2">
      <c r="A80" s="244"/>
      <c r="B80" s="244"/>
    </row>
    <row r="81" spans="1:2">
      <c r="A81" s="244"/>
      <c r="B81" s="244"/>
    </row>
    <row r="82" spans="1:2">
      <c r="A82" s="244"/>
      <c r="B82" s="244"/>
    </row>
    <row r="83" spans="1:2">
      <c r="A83" s="244"/>
      <c r="B83" s="244"/>
    </row>
    <row r="84" spans="1:2">
      <c r="A84" s="244"/>
      <c r="B84" s="244"/>
    </row>
    <row r="85" spans="1:2">
      <c r="A85" s="244"/>
      <c r="B85" s="244"/>
    </row>
    <row r="86" spans="1:2">
      <c r="A86" s="244"/>
      <c r="B86" s="244"/>
    </row>
    <row r="87" spans="1:2">
      <c r="A87" s="244"/>
      <c r="B87" s="244"/>
    </row>
    <row r="88" spans="1:2">
      <c r="A88" s="244"/>
      <c r="B88" s="244"/>
    </row>
    <row r="89" spans="1:2">
      <c r="A89" s="244"/>
      <c r="B89" s="244"/>
    </row>
    <row r="90" spans="1:2">
      <c r="A90" s="244"/>
      <c r="B90" s="244"/>
    </row>
    <row r="91" spans="1:2">
      <c r="A91" s="244"/>
      <c r="B91" s="244"/>
    </row>
    <row r="92" spans="1:2">
      <c r="A92" s="244"/>
      <c r="B92" s="244"/>
    </row>
    <row r="93" spans="1:2">
      <c r="A93" s="244"/>
      <c r="B93" s="244"/>
    </row>
    <row r="94" spans="1:2">
      <c r="A94" s="244"/>
      <c r="B94" s="244"/>
    </row>
    <row r="95" spans="1:2">
      <c r="A95" s="244"/>
      <c r="B95" s="244"/>
    </row>
    <row r="96" spans="1:2">
      <c r="A96" s="244"/>
      <c r="B96" s="244"/>
    </row>
    <row r="97" spans="1:2">
      <c r="A97" s="244"/>
      <c r="B97" s="244"/>
    </row>
    <row r="98" spans="1:2">
      <c r="A98" s="244"/>
      <c r="B98" s="244"/>
    </row>
    <row r="99" spans="1:2">
      <c r="A99" s="244"/>
      <c r="B99" s="244"/>
    </row>
    <row r="100" spans="1:2">
      <c r="A100" s="244"/>
      <c r="B100" s="244"/>
    </row>
    <row r="101" spans="1:2">
      <c r="A101" s="244"/>
      <c r="B101" s="244"/>
    </row>
    <row r="102" spans="1:2">
      <c r="A102" s="244"/>
      <c r="B102" s="244"/>
    </row>
    <row r="103" spans="1:2">
      <c r="A103" s="244"/>
      <c r="B103" s="244"/>
    </row>
    <row r="104" spans="1:2">
      <c r="A104" s="244"/>
      <c r="B104" s="244"/>
    </row>
    <row r="105" spans="1:2">
      <c r="A105" s="244"/>
      <c r="B105" s="244"/>
    </row>
    <row r="106" spans="1:2">
      <c r="A106" s="244"/>
      <c r="B106" s="244"/>
    </row>
    <row r="107" spans="1:2">
      <c r="A107" s="244"/>
      <c r="B107" s="244"/>
    </row>
    <row r="108" spans="1:2">
      <c r="A108" s="244"/>
      <c r="B108" s="244"/>
    </row>
    <row r="109" spans="1:2">
      <c r="A109" s="244"/>
      <c r="B109" s="244"/>
    </row>
    <row r="110" spans="1:2">
      <c r="A110" s="244"/>
      <c r="B110" s="244"/>
    </row>
    <row r="111" spans="1:2">
      <c r="A111" s="244"/>
      <c r="B111" s="244"/>
    </row>
    <row r="112" spans="1:2">
      <c r="A112" s="244"/>
      <c r="B112" s="244"/>
    </row>
    <row r="113" spans="1:2">
      <c r="A113" s="244"/>
      <c r="B113" s="244"/>
    </row>
    <row r="114" spans="1:2">
      <c r="A114" s="244"/>
      <c r="B114" s="244"/>
    </row>
    <row r="115" spans="1:2">
      <c r="A115" s="244"/>
      <c r="B115" s="244"/>
    </row>
    <row r="116" spans="1:2">
      <c r="A116" s="244"/>
      <c r="B116" s="244"/>
    </row>
    <row r="117" spans="1:2">
      <c r="A117" s="244"/>
      <c r="B117" s="244"/>
    </row>
    <row r="118" spans="1:2">
      <c r="A118" s="244"/>
      <c r="B118" s="244"/>
    </row>
    <row r="119" spans="1:2">
      <c r="A119" s="244"/>
      <c r="B119" s="244"/>
    </row>
    <row r="120" spans="1:2">
      <c r="A120" s="244"/>
      <c r="B120" s="244"/>
    </row>
    <row r="121" spans="1:2">
      <c r="A121" s="244"/>
      <c r="B121" s="244"/>
    </row>
    <row r="122" spans="1:2">
      <c r="A122" s="244"/>
      <c r="B122" s="244"/>
    </row>
    <row r="123" spans="1:2">
      <c r="A123" s="244"/>
      <c r="B123" s="244"/>
    </row>
    <row r="124" spans="1:2">
      <c r="A124" s="244"/>
      <c r="B124" s="244"/>
    </row>
    <row r="125" spans="1:2">
      <c r="A125" s="244"/>
      <c r="B125" s="244"/>
    </row>
    <row r="126" spans="1:2">
      <c r="A126" s="244"/>
      <c r="B126" s="244"/>
    </row>
    <row r="127" spans="1:2">
      <c r="A127" s="244"/>
      <c r="B127" s="244"/>
    </row>
    <row r="128" spans="1:2">
      <c r="A128" s="244"/>
      <c r="B128" s="244"/>
    </row>
    <row r="129" spans="1:2">
      <c r="A129" s="244"/>
      <c r="B129" s="244"/>
    </row>
    <row r="130" spans="1:2">
      <c r="A130" s="244"/>
      <c r="B130" s="244"/>
    </row>
    <row r="131" spans="1:2">
      <c r="A131" s="244"/>
      <c r="B131" s="244"/>
    </row>
    <row r="132" spans="1:2">
      <c r="A132" s="244"/>
      <c r="B132" s="244"/>
    </row>
    <row r="133" spans="1:2">
      <c r="A133" s="244"/>
      <c r="B133" s="244"/>
    </row>
    <row r="134" spans="1:2">
      <c r="A134" s="244"/>
      <c r="B134" s="244"/>
    </row>
    <row r="135" spans="1:2">
      <c r="A135" s="244"/>
      <c r="B135" s="244"/>
    </row>
    <row r="136" spans="1:2">
      <c r="A136" s="244"/>
      <c r="B136" s="244"/>
    </row>
    <row r="137" spans="1:2">
      <c r="A137" s="244"/>
      <c r="B137" s="244"/>
    </row>
    <row r="138" spans="1:2">
      <c r="A138" s="244"/>
      <c r="B138" s="244"/>
    </row>
    <row r="139" spans="1:2">
      <c r="A139" s="244"/>
      <c r="B139" s="244"/>
    </row>
    <row r="140" spans="1:2">
      <c r="A140" s="244"/>
      <c r="B140" s="244"/>
    </row>
    <row r="141" spans="1:2">
      <c r="A141" s="244"/>
      <c r="B141" s="244"/>
    </row>
    <row r="142" spans="1:2">
      <c r="A142" s="244"/>
      <c r="B142" s="244"/>
    </row>
    <row r="143" spans="1:2">
      <c r="A143" s="244"/>
      <c r="B143" s="244"/>
    </row>
    <row r="144" spans="1:2">
      <c r="A144" s="244"/>
      <c r="B144" s="244"/>
    </row>
    <row r="145" spans="1:2">
      <c r="A145" s="244"/>
      <c r="B145" s="244"/>
    </row>
    <row r="146" spans="1:2">
      <c r="A146" s="244"/>
      <c r="B146" s="244"/>
    </row>
    <row r="147" spans="1:2">
      <c r="A147" s="244"/>
      <c r="B147" s="244"/>
    </row>
    <row r="148" spans="1:2">
      <c r="A148" s="244"/>
      <c r="B148" s="244"/>
    </row>
    <row r="149" spans="1:2">
      <c r="A149" s="244"/>
      <c r="B149" s="244"/>
    </row>
    <row r="150" spans="1:2">
      <c r="A150" s="244"/>
      <c r="B150" s="244"/>
    </row>
    <row r="151" spans="1:2">
      <c r="A151" s="244"/>
      <c r="B151" s="244"/>
    </row>
    <row r="152" spans="1:2">
      <c r="A152" s="244"/>
      <c r="B152" s="244"/>
    </row>
    <row r="153" spans="1:2">
      <c r="A153" s="244"/>
      <c r="B153" s="244"/>
    </row>
    <row r="154" spans="1:2">
      <c r="A154" s="244"/>
      <c r="B154" s="244"/>
    </row>
    <row r="155" spans="1:2">
      <c r="A155" s="244"/>
      <c r="B155" s="244"/>
    </row>
    <row r="156" spans="1:2">
      <c r="A156" s="244"/>
      <c r="B156" s="244"/>
    </row>
    <row r="157" spans="1:2">
      <c r="A157" s="244"/>
      <c r="B157" s="244"/>
    </row>
    <row r="158" spans="1:2">
      <c r="A158" s="244"/>
      <c r="B158" s="244"/>
    </row>
    <row r="159" spans="1:2">
      <c r="A159" s="244"/>
      <c r="B159" s="244"/>
    </row>
    <row r="160" spans="1:2">
      <c r="A160" s="244"/>
      <c r="B160" s="244"/>
    </row>
    <row r="161" spans="1:2">
      <c r="A161" s="244"/>
      <c r="B161" s="244"/>
    </row>
    <row r="162" spans="1:2">
      <c r="A162" s="244"/>
      <c r="B162" s="244"/>
    </row>
    <row r="163" spans="1:2">
      <c r="A163" s="244"/>
      <c r="B163" s="244"/>
    </row>
    <row r="164" spans="1:2">
      <c r="A164" s="244"/>
      <c r="B164" s="244"/>
    </row>
    <row r="165" spans="1:2">
      <c r="A165" s="244"/>
      <c r="B165" s="244"/>
    </row>
    <row r="166" spans="1:2">
      <c r="A166" s="244"/>
      <c r="B166" s="244"/>
    </row>
    <row r="167" spans="1:2">
      <c r="A167" s="244"/>
      <c r="B167" s="244"/>
    </row>
    <row r="168" spans="1:2">
      <c r="A168" s="244"/>
      <c r="B168" s="244"/>
    </row>
    <row r="169" spans="1:2">
      <c r="A169" s="244"/>
      <c r="B169" s="244"/>
    </row>
    <row r="170" spans="1:2">
      <c r="A170" s="244"/>
      <c r="B170" s="244"/>
    </row>
    <row r="171" spans="1:2">
      <c r="A171" s="244"/>
      <c r="B171" s="244"/>
    </row>
    <row r="172" spans="1:2">
      <c r="A172" s="244"/>
      <c r="B172" s="244"/>
    </row>
    <row r="173" spans="1:2">
      <c r="A173" s="244"/>
      <c r="B173" s="244"/>
    </row>
    <row r="174" spans="1:2">
      <c r="A174" s="244"/>
      <c r="B174" s="244"/>
    </row>
    <row r="175" spans="1:2">
      <c r="A175" s="244"/>
      <c r="B175" s="244"/>
    </row>
    <row r="176" spans="1:2">
      <c r="A176" s="244"/>
      <c r="B176" s="244"/>
    </row>
    <row r="177" spans="1:2">
      <c r="A177" s="244"/>
      <c r="B177" s="244"/>
    </row>
    <row r="178" spans="1:2">
      <c r="A178" s="244"/>
      <c r="B178" s="244"/>
    </row>
    <row r="179" spans="1:2">
      <c r="A179" s="244"/>
      <c r="B179" s="244"/>
    </row>
    <row r="180" spans="1:2">
      <c r="A180" s="244"/>
      <c r="B180" s="244"/>
    </row>
    <row r="181" spans="1:2">
      <c r="A181" s="244"/>
      <c r="B181" s="244"/>
    </row>
    <row r="182" spans="1:2">
      <c r="A182" s="244"/>
      <c r="B182" s="244"/>
    </row>
    <row r="183" spans="1:2">
      <c r="A183" s="244"/>
      <c r="B183" s="244"/>
    </row>
    <row r="184" spans="1:2">
      <c r="A184" s="244"/>
      <c r="B184" s="244"/>
    </row>
    <row r="185" spans="1:2">
      <c r="A185" s="244"/>
      <c r="B185" s="244"/>
    </row>
    <row r="186" spans="1:2">
      <c r="A186" s="244"/>
      <c r="B186" s="244"/>
    </row>
    <row r="187" spans="1:2">
      <c r="A187" s="244"/>
      <c r="B187" s="244"/>
    </row>
    <row r="188" spans="1:2">
      <c r="A188" s="244"/>
      <c r="B188" s="244"/>
    </row>
    <row r="189" spans="1:2">
      <c r="A189" s="244"/>
      <c r="B189" s="244"/>
    </row>
    <row r="190" spans="1:2">
      <c r="A190" s="244"/>
      <c r="B190" s="244"/>
    </row>
    <row r="191" spans="1:2">
      <c r="A191" s="244"/>
      <c r="B191" s="244"/>
    </row>
    <row r="192" spans="1:2">
      <c r="A192" s="244"/>
      <c r="B192" s="244"/>
    </row>
    <row r="193" spans="1:2">
      <c r="A193" s="244"/>
      <c r="B193" s="244"/>
    </row>
    <row r="194" spans="1:2">
      <c r="A194" s="244"/>
      <c r="B194" s="244"/>
    </row>
    <row r="195" spans="1:2">
      <c r="A195" s="244"/>
      <c r="B195" s="244"/>
    </row>
    <row r="196" spans="1:2">
      <c r="A196" s="244"/>
      <c r="B196" s="244"/>
    </row>
    <row r="197" spans="1:2">
      <c r="A197" s="244"/>
      <c r="B197" s="244"/>
    </row>
    <row r="198" spans="1:2">
      <c r="A198" s="244"/>
      <c r="B198" s="244"/>
    </row>
    <row r="199" spans="1:2">
      <c r="A199" s="244"/>
      <c r="B199" s="244"/>
    </row>
    <row r="200" spans="1:2">
      <c r="A200" s="244"/>
      <c r="B200" s="244"/>
    </row>
    <row r="201" spans="1:2">
      <c r="A201" s="244"/>
      <c r="B201" s="244"/>
    </row>
    <row r="202" spans="1:2">
      <c r="A202" s="637" t="s">
        <v>667</v>
      </c>
      <c r="B202" s="637"/>
    </row>
  </sheetData>
  <sortState ref="A4:H200">
    <sortCondition ref="A4:A200"/>
  </sortState>
  <mergeCells count="2">
    <mergeCell ref="A2:B2"/>
    <mergeCell ref="A202:B20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D8" sqref="D8:J8"/>
    </sheetView>
  </sheetViews>
  <sheetFormatPr defaultRowHeight="15"/>
  <cols>
    <col min="1" max="1" width="23.5703125" style="302" customWidth="1"/>
    <col min="2" max="3" width="14.5703125" style="302" customWidth="1"/>
    <col min="4" max="4" width="18.140625" style="302" customWidth="1"/>
    <col min="5" max="6" width="9.140625" style="302"/>
    <col min="7" max="7" width="22.28515625" style="302" customWidth="1"/>
    <col min="8" max="11" width="9.140625" style="302"/>
    <col min="12" max="12" width="2.7109375" style="302" customWidth="1"/>
    <col min="13" max="16384" width="9.140625" style="302"/>
  </cols>
  <sheetData>
    <row r="1" spans="1:16" ht="58.5" customHeight="1"/>
    <row r="2" spans="1:16" ht="20.25" customHeight="1">
      <c r="A2" s="638" t="s">
        <v>729</v>
      </c>
      <c r="B2" s="639"/>
      <c r="C2" s="639"/>
      <c r="D2" s="639"/>
      <c r="E2" s="639"/>
      <c r="F2" s="639"/>
      <c r="G2" s="639"/>
      <c r="H2" s="639"/>
      <c r="I2" s="639"/>
      <c r="J2" s="639"/>
      <c r="K2" s="639"/>
      <c r="L2" s="640"/>
    </row>
    <row r="3" spans="1:16" ht="20.25" customHeight="1" thickBot="1">
      <c r="A3" s="641"/>
      <c r="B3" s="642"/>
      <c r="C3" s="642"/>
      <c r="D3" s="642"/>
      <c r="E3" s="642"/>
      <c r="F3" s="642"/>
      <c r="G3" s="642"/>
      <c r="H3" s="642"/>
      <c r="I3" s="642"/>
      <c r="J3" s="642"/>
      <c r="K3" s="642"/>
      <c r="L3" s="643"/>
    </row>
    <row r="4" spans="1:16" ht="20.25">
      <c r="A4" s="646" t="s">
        <v>174</v>
      </c>
      <c r="B4" s="354"/>
      <c r="C4" s="355"/>
      <c r="D4" s="355"/>
      <c r="E4" s="355"/>
      <c r="F4" s="355"/>
      <c r="G4" s="355"/>
      <c r="H4" s="355"/>
      <c r="I4" s="355"/>
      <c r="J4" s="355"/>
      <c r="K4" s="644"/>
      <c r="L4" s="645"/>
    </row>
    <row r="5" spans="1:16" ht="20.25">
      <c r="A5" s="646"/>
      <c r="B5" s="354"/>
      <c r="C5" s="356" t="s">
        <v>638</v>
      </c>
      <c r="D5" s="648" t="s">
        <v>725</v>
      </c>
      <c r="E5" s="648"/>
      <c r="F5" s="648"/>
      <c r="G5" s="649" t="s">
        <v>637</v>
      </c>
      <c r="H5" s="649"/>
      <c r="I5" s="649"/>
      <c r="J5" s="355"/>
      <c r="K5" s="645"/>
      <c r="L5" s="645"/>
    </row>
    <row r="6" spans="1:16" ht="20.25">
      <c r="A6" s="646"/>
      <c r="B6" s="354"/>
      <c r="C6" s="356"/>
      <c r="D6" s="242"/>
      <c r="E6" s="242"/>
      <c r="F6" s="242"/>
      <c r="G6" s="356"/>
      <c r="H6" s="356"/>
      <c r="I6" s="356"/>
      <c r="J6" s="355"/>
      <c r="K6" s="355"/>
      <c r="L6" s="357"/>
    </row>
    <row r="7" spans="1:16" ht="20.25">
      <c r="A7" s="646"/>
      <c r="B7" s="358"/>
      <c r="C7" s="359"/>
      <c r="D7" s="360"/>
      <c r="E7" s="360"/>
      <c r="F7" s="360"/>
      <c r="G7" s="360"/>
      <c r="H7" s="360"/>
      <c r="I7" s="360"/>
      <c r="J7" s="360"/>
      <c r="K7" s="361"/>
      <c r="L7" s="357"/>
    </row>
    <row r="8" spans="1:16" ht="178.5" customHeight="1">
      <c r="A8" s="646"/>
      <c r="B8" s="361"/>
      <c r="C8" s="359" t="s">
        <v>665</v>
      </c>
      <c r="D8" s="650"/>
      <c r="E8" s="650"/>
      <c r="F8" s="650"/>
      <c r="G8" s="650"/>
      <c r="H8" s="650"/>
      <c r="I8" s="650"/>
      <c r="J8" s="651"/>
      <c r="K8" s="361"/>
      <c r="L8" s="357"/>
      <c r="P8" s="346"/>
    </row>
    <row r="9" spans="1:16" ht="20.25">
      <c r="A9" s="646"/>
      <c r="B9" s="361"/>
      <c r="C9" s="361"/>
      <c r="D9" s="361"/>
      <c r="E9" s="361"/>
      <c r="F9" s="361"/>
      <c r="G9" s="361"/>
      <c r="H9" s="361"/>
      <c r="I9" s="361"/>
      <c r="J9" s="361"/>
      <c r="K9" s="361"/>
      <c r="L9" s="357"/>
    </row>
    <row r="10" spans="1:16" ht="20.25">
      <c r="A10" s="647"/>
      <c r="B10" s="362"/>
      <c r="C10" s="362"/>
      <c r="D10" s="362"/>
      <c r="E10" s="362"/>
      <c r="F10" s="362"/>
      <c r="G10" s="362"/>
      <c r="H10" s="362"/>
      <c r="I10" s="362"/>
      <c r="J10" s="362"/>
      <c r="K10" s="362"/>
      <c r="L10" s="363"/>
    </row>
    <row r="58" spans="2:17" ht="75">
      <c r="B58" s="346" t="s">
        <v>666</v>
      </c>
      <c r="C58" s="346"/>
      <c r="D58" s="346"/>
      <c r="E58" s="346"/>
      <c r="F58" s="346"/>
      <c r="G58" s="346"/>
      <c r="H58" s="346"/>
      <c r="I58" s="346"/>
      <c r="J58" s="346"/>
      <c r="K58" s="346"/>
      <c r="L58" s="346"/>
      <c r="M58" s="346"/>
      <c r="N58" s="346"/>
      <c r="O58" s="346"/>
      <c r="P58" s="346"/>
      <c r="Q58" s="346"/>
    </row>
  </sheetData>
  <sheetProtection sheet="1" objects="1" scenarios="1"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502"/>
  <sheetViews>
    <sheetView workbookViewId="0"/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56" t="s">
        <v>668</v>
      </c>
      <c r="B2" s="656"/>
      <c r="C2" s="656"/>
      <c r="D2" s="656"/>
      <c r="E2" s="656"/>
    </row>
    <row r="3" spans="1:5" ht="15.75">
      <c r="A3" s="653" t="s">
        <v>589</v>
      </c>
      <c r="B3" s="654"/>
      <c r="C3" s="654"/>
      <c r="D3" s="654"/>
      <c r="E3" s="655"/>
    </row>
    <row r="4" spans="1:5" ht="15.75">
      <c r="A4" s="246" t="s">
        <v>669</v>
      </c>
      <c r="B4" s="246" t="s">
        <v>590</v>
      </c>
      <c r="C4" s="246" t="s">
        <v>670</v>
      </c>
      <c r="D4" s="246" t="s">
        <v>592</v>
      </c>
      <c r="E4" s="246" t="s">
        <v>593</v>
      </c>
    </row>
    <row r="5" spans="1:5">
      <c r="A5" s="239" t="s">
        <v>548</v>
      </c>
      <c r="B5" s="239" t="s">
        <v>694</v>
      </c>
      <c r="C5" s="239" t="s">
        <v>743</v>
      </c>
      <c r="D5" s="239">
        <v>1943</v>
      </c>
      <c r="E5" s="239" t="s">
        <v>741</v>
      </c>
    </row>
    <row r="6" spans="1:5">
      <c r="A6" s="239" t="s">
        <v>548</v>
      </c>
      <c r="B6" s="239" t="s">
        <v>695</v>
      </c>
      <c r="C6" s="239" t="s">
        <v>739</v>
      </c>
      <c r="D6" s="239">
        <v>1979</v>
      </c>
      <c r="E6" s="239" t="s">
        <v>741</v>
      </c>
    </row>
    <row r="7" spans="1:5">
      <c r="A7" s="239" t="s">
        <v>548</v>
      </c>
      <c r="B7" s="239" t="s">
        <v>677</v>
      </c>
      <c r="C7" s="239" t="s">
        <v>740</v>
      </c>
      <c r="D7" s="239">
        <v>2001</v>
      </c>
      <c r="E7" s="239" t="s">
        <v>678</v>
      </c>
    </row>
    <row r="8" spans="1:5">
      <c r="A8" s="239"/>
      <c r="B8" s="239"/>
      <c r="C8" s="239"/>
      <c r="D8" s="239"/>
      <c r="E8" s="239"/>
    </row>
    <row r="9" spans="1:5">
      <c r="A9" s="239"/>
      <c r="B9" s="239"/>
      <c r="C9" s="239"/>
      <c r="D9" s="239"/>
      <c r="E9" s="239"/>
    </row>
    <row r="10" spans="1:5">
      <c r="A10" s="239"/>
      <c r="B10" s="239"/>
      <c r="C10" s="239"/>
      <c r="D10" s="239"/>
      <c r="E10" s="239"/>
    </row>
    <row r="11" spans="1:5">
      <c r="A11" s="239"/>
      <c r="B11" s="239"/>
      <c r="C11" s="239"/>
      <c r="D11" s="239"/>
      <c r="E11" s="239"/>
    </row>
    <row r="12" spans="1:5">
      <c r="A12" s="239"/>
      <c r="B12" s="239"/>
      <c r="C12" s="239"/>
      <c r="D12" s="239"/>
      <c r="E12" s="239"/>
    </row>
    <row r="13" spans="1:5">
      <c r="A13" s="239"/>
      <c r="B13" s="239"/>
      <c r="C13" s="239"/>
      <c r="D13" s="239"/>
      <c r="E13" s="239"/>
    </row>
    <row r="14" spans="1:5">
      <c r="A14" s="239"/>
      <c r="B14" s="239"/>
      <c r="C14" s="239"/>
      <c r="D14" s="239"/>
      <c r="E14" s="239"/>
    </row>
    <row r="15" spans="1:5">
      <c r="A15" s="239"/>
      <c r="B15" s="239"/>
      <c r="C15" s="239"/>
      <c r="D15" s="239"/>
      <c r="E15" s="239"/>
    </row>
    <row r="16" spans="1:5">
      <c r="A16" s="239"/>
      <c r="B16" s="239"/>
      <c r="C16" s="239"/>
      <c r="D16" s="239"/>
      <c r="E16" s="239"/>
    </row>
    <row r="17" spans="1:5">
      <c r="A17" s="239"/>
      <c r="B17" s="239"/>
      <c r="C17" s="239"/>
      <c r="D17" s="239"/>
      <c r="E17" s="239"/>
    </row>
    <row r="18" spans="1:5">
      <c r="A18" s="239"/>
      <c r="B18" s="239"/>
      <c r="C18" s="239"/>
      <c r="D18" s="239"/>
      <c r="E18" s="239"/>
    </row>
    <row r="19" spans="1:5">
      <c r="A19" s="239"/>
      <c r="B19" s="239"/>
      <c r="C19" s="239"/>
      <c r="D19" s="239"/>
      <c r="E19" s="239"/>
    </row>
    <row r="20" spans="1:5">
      <c r="A20" s="239"/>
      <c r="B20" s="239"/>
      <c r="C20" s="239"/>
      <c r="D20" s="239"/>
      <c r="E20" s="239"/>
    </row>
    <row r="21" spans="1:5">
      <c r="A21" s="239"/>
      <c r="B21" s="239"/>
      <c r="C21" s="239"/>
      <c r="D21" s="239"/>
      <c r="E21" s="239"/>
    </row>
    <row r="22" spans="1:5">
      <c r="A22" s="239"/>
      <c r="B22" s="239"/>
      <c r="C22" s="239"/>
      <c r="D22" s="239"/>
      <c r="E22" s="239"/>
    </row>
    <row r="23" spans="1:5">
      <c r="A23" s="239"/>
      <c r="B23" s="239"/>
      <c r="C23" s="239"/>
      <c r="D23" s="239"/>
      <c r="E23" s="239"/>
    </row>
    <row r="24" spans="1:5">
      <c r="A24" s="239"/>
      <c r="B24" s="239"/>
      <c r="C24" s="239"/>
      <c r="D24" s="239"/>
      <c r="E24" s="239"/>
    </row>
    <row r="25" spans="1:5">
      <c r="A25" s="239"/>
      <c r="B25" s="239"/>
      <c r="C25" s="239"/>
      <c r="D25" s="239"/>
      <c r="E25" s="239"/>
    </row>
    <row r="26" spans="1:5">
      <c r="A26" s="239"/>
      <c r="B26" s="239"/>
      <c r="C26" s="239"/>
      <c r="D26" s="239"/>
      <c r="E26" s="239"/>
    </row>
    <row r="27" spans="1:5">
      <c r="A27" s="239"/>
      <c r="B27" s="239"/>
      <c r="C27" s="239"/>
      <c r="D27" s="239"/>
      <c r="E27" s="239"/>
    </row>
    <row r="28" spans="1:5">
      <c r="A28" s="239"/>
      <c r="B28" s="239"/>
      <c r="C28" s="239"/>
      <c r="D28" s="239"/>
      <c r="E28" s="239"/>
    </row>
    <row r="29" spans="1:5">
      <c r="A29" s="239"/>
      <c r="B29" s="239"/>
      <c r="C29" s="239"/>
      <c r="D29" s="239"/>
      <c r="E29" s="239"/>
    </row>
    <row r="30" spans="1:5">
      <c r="A30" s="239"/>
      <c r="B30" s="239"/>
      <c r="C30" s="239"/>
      <c r="D30" s="239"/>
      <c r="E30" s="239"/>
    </row>
    <row r="31" spans="1:5">
      <c r="A31" s="239"/>
      <c r="B31" s="239"/>
      <c r="C31" s="239"/>
      <c r="D31" s="239"/>
      <c r="E31" s="239"/>
    </row>
    <row r="32" spans="1:5">
      <c r="A32" s="239"/>
      <c r="B32" s="239"/>
      <c r="C32" s="239"/>
      <c r="D32" s="239"/>
      <c r="E32" s="239"/>
    </row>
    <row r="33" spans="1:5">
      <c r="A33" s="239"/>
      <c r="B33" s="239"/>
      <c r="C33" s="239"/>
      <c r="D33" s="239"/>
      <c r="E33" s="239"/>
    </row>
    <row r="34" spans="1:5">
      <c r="A34" s="239"/>
      <c r="B34" s="239"/>
      <c r="C34" s="239"/>
      <c r="D34" s="239"/>
      <c r="E34" s="239"/>
    </row>
    <row r="35" spans="1:5">
      <c r="A35" s="239"/>
      <c r="B35" s="239"/>
      <c r="C35" s="239"/>
      <c r="D35" s="239"/>
      <c r="E35" s="239"/>
    </row>
    <row r="36" spans="1:5">
      <c r="A36" s="239"/>
      <c r="B36" s="239"/>
      <c r="C36" s="239"/>
      <c r="D36" s="239"/>
      <c r="E36" s="239"/>
    </row>
    <row r="37" spans="1:5">
      <c r="A37" s="239"/>
      <c r="B37" s="239"/>
      <c r="C37" s="239"/>
      <c r="D37" s="239"/>
      <c r="E37" s="239"/>
    </row>
    <row r="38" spans="1:5">
      <c r="A38" s="239"/>
      <c r="B38" s="239"/>
      <c r="C38" s="239"/>
      <c r="D38" s="239"/>
      <c r="E38" s="239"/>
    </row>
    <row r="39" spans="1:5">
      <c r="A39" s="239"/>
      <c r="B39" s="239"/>
      <c r="C39" s="239"/>
      <c r="D39" s="239"/>
      <c r="E39" s="239"/>
    </row>
    <row r="40" spans="1:5">
      <c r="A40" s="239"/>
      <c r="B40" s="239"/>
      <c r="C40" s="239"/>
      <c r="D40" s="239"/>
      <c r="E40" s="239"/>
    </row>
    <row r="41" spans="1:5">
      <c r="A41" s="239"/>
      <c r="B41" s="239"/>
      <c r="C41" s="239"/>
      <c r="D41" s="239"/>
      <c r="E41" s="239"/>
    </row>
    <row r="42" spans="1:5">
      <c r="A42" s="239"/>
      <c r="B42" s="239"/>
      <c r="C42" s="239"/>
      <c r="D42" s="239"/>
      <c r="E42" s="239"/>
    </row>
    <row r="43" spans="1:5">
      <c r="A43" s="239"/>
      <c r="B43" s="239"/>
      <c r="C43" s="239"/>
      <c r="D43" s="239"/>
      <c r="E43" s="239"/>
    </row>
    <row r="44" spans="1:5">
      <c r="A44" s="239"/>
      <c r="B44" s="239"/>
      <c r="C44" s="239"/>
      <c r="D44" s="239"/>
      <c r="E44" s="239"/>
    </row>
    <row r="45" spans="1:5">
      <c r="A45" s="239"/>
      <c r="B45" s="239"/>
      <c r="C45" s="239"/>
      <c r="D45" s="239"/>
      <c r="E45" s="239"/>
    </row>
    <row r="46" spans="1:5">
      <c r="A46" s="239"/>
      <c r="B46" s="239"/>
      <c r="C46" s="239"/>
      <c r="D46" s="239"/>
      <c r="E46" s="239"/>
    </row>
    <row r="47" spans="1:5">
      <c r="A47" s="239"/>
      <c r="B47" s="239"/>
      <c r="C47" s="239"/>
      <c r="D47" s="239"/>
      <c r="E47" s="239"/>
    </row>
    <row r="48" spans="1:5">
      <c r="A48" s="239"/>
      <c r="B48" s="239"/>
      <c r="C48" s="239"/>
      <c r="D48" s="239"/>
      <c r="E48" s="239"/>
    </row>
    <row r="49" spans="1:5">
      <c r="A49" s="239"/>
      <c r="B49" s="239"/>
      <c r="C49" s="239"/>
      <c r="D49" s="239"/>
      <c r="E49" s="239"/>
    </row>
    <row r="50" spans="1:5">
      <c r="A50" s="239"/>
      <c r="B50" s="239"/>
      <c r="C50" s="239"/>
      <c r="D50" s="239"/>
      <c r="E50" s="239"/>
    </row>
    <row r="51" spans="1:5">
      <c r="A51" s="239"/>
      <c r="B51" s="239"/>
      <c r="C51" s="239"/>
      <c r="D51" s="239"/>
      <c r="E51" s="239"/>
    </row>
    <row r="52" spans="1:5">
      <c r="A52" s="239"/>
      <c r="B52" s="239"/>
      <c r="C52" s="239"/>
      <c r="D52" s="239"/>
      <c r="E52" s="239"/>
    </row>
    <row r="53" spans="1:5">
      <c r="A53" s="239"/>
      <c r="B53" s="239"/>
      <c r="C53" s="239"/>
      <c r="D53" s="239"/>
      <c r="E53" s="239"/>
    </row>
    <row r="54" spans="1:5">
      <c r="A54" s="239"/>
      <c r="B54" s="239"/>
      <c r="C54" s="239"/>
      <c r="D54" s="239"/>
      <c r="E54" s="239"/>
    </row>
    <row r="55" spans="1:5">
      <c r="A55" s="239"/>
      <c r="B55" s="239"/>
      <c r="C55" s="239"/>
      <c r="D55" s="239"/>
      <c r="E55" s="239"/>
    </row>
    <row r="56" spans="1:5">
      <c r="A56" s="239"/>
      <c r="B56" s="239"/>
      <c r="C56" s="239"/>
      <c r="D56" s="239"/>
      <c r="E56" s="239"/>
    </row>
    <row r="57" spans="1:5">
      <c r="A57" s="239"/>
      <c r="B57" s="239"/>
      <c r="C57" s="239"/>
      <c r="D57" s="239"/>
      <c r="E57" s="239"/>
    </row>
    <row r="58" spans="1:5">
      <c r="A58" s="239"/>
      <c r="B58" s="239"/>
      <c r="C58" s="239"/>
      <c r="D58" s="239"/>
      <c r="E58" s="239"/>
    </row>
    <row r="59" spans="1:5">
      <c r="A59" s="239"/>
      <c r="B59" s="239"/>
      <c r="C59" s="239"/>
      <c r="D59" s="239"/>
      <c r="E59" s="239"/>
    </row>
    <row r="60" spans="1:5">
      <c r="A60" s="239"/>
      <c r="B60" s="239"/>
      <c r="C60" s="239"/>
      <c r="D60" s="239"/>
      <c r="E60" s="239"/>
    </row>
    <row r="61" spans="1:5">
      <c r="A61" s="239"/>
      <c r="B61" s="239"/>
      <c r="C61" s="239"/>
      <c r="D61" s="239"/>
      <c r="E61" s="239"/>
    </row>
    <row r="62" spans="1:5">
      <c r="A62" s="239"/>
      <c r="B62" s="239"/>
      <c r="C62" s="239"/>
      <c r="D62" s="239"/>
      <c r="E62" s="239"/>
    </row>
    <row r="63" spans="1:5">
      <c r="A63" s="239"/>
      <c r="B63" s="239"/>
      <c r="C63" s="239"/>
      <c r="D63" s="239"/>
      <c r="E63" s="239"/>
    </row>
    <row r="64" spans="1:5">
      <c r="A64" s="239"/>
      <c r="B64" s="239"/>
      <c r="C64" s="239"/>
      <c r="D64" s="239"/>
      <c r="E64" s="239"/>
    </row>
    <row r="65" spans="1:5">
      <c r="A65" s="239"/>
      <c r="B65" s="239"/>
      <c r="C65" s="239"/>
      <c r="D65" s="239"/>
      <c r="E65" s="239"/>
    </row>
    <row r="66" spans="1:5">
      <c r="A66" s="239"/>
      <c r="B66" s="239"/>
      <c r="C66" s="239"/>
      <c r="D66" s="239"/>
      <c r="E66" s="239"/>
    </row>
    <row r="67" spans="1:5">
      <c r="A67" s="239"/>
      <c r="B67" s="239"/>
      <c r="C67" s="239"/>
      <c r="D67" s="239"/>
      <c r="E67" s="239"/>
    </row>
    <row r="68" spans="1:5">
      <c r="A68" s="239"/>
      <c r="B68" s="239"/>
      <c r="C68" s="239"/>
      <c r="D68" s="239"/>
      <c r="E68" s="239"/>
    </row>
    <row r="69" spans="1:5">
      <c r="A69" s="239"/>
      <c r="B69" s="239"/>
      <c r="C69" s="239"/>
      <c r="D69" s="239"/>
      <c r="E69" s="239"/>
    </row>
    <row r="70" spans="1:5">
      <c r="A70" s="239"/>
      <c r="B70" s="239"/>
      <c r="C70" s="239"/>
      <c r="D70" s="239"/>
      <c r="E70" s="239"/>
    </row>
    <row r="71" spans="1:5">
      <c r="A71" s="239"/>
      <c r="B71" s="239"/>
      <c r="C71" s="239"/>
      <c r="D71" s="239"/>
      <c r="E71" s="239"/>
    </row>
    <row r="72" spans="1:5">
      <c r="A72" s="239"/>
      <c r="B72" s="239"/>
      <c r="C72" s="239"/>
      <c r="D72" s="239"/>
      <c r="E72" s="239"/>
    </row>
    <row r="73" spans="1:5">
      <c r="A73" s="239"/>
      <c r="B73" s="239"/>
      <c r="C73" s="239"/>
      <c r="D73" s="239"/>
      <c r="E73" s="239"/>
    </row>
    <row r="74" spans="1:5">
      <c r="A74" s="239"/>
      <c r="B74" s="239"/>
      <c r="C74" s="239"/>
      <c r="D74" s="239"/>
      <c r="E74" s="239"/>
    </row>
    <row r="75" spans="1:5">
      <c r="A75" s="239"/>
      <c r="B75" s="239"/>
      <c r="C75" s="239"/>
      <c r="D75" s="239"/>
      <c r="E75" s="239"/>
    </row>
    <row r="76" spans="1:5">
      <c r="A76" s="239"/>
      <c r="B76" s="239"/>
      <c r="C76" s="239"/>
      <c r="D76" s="239"/>
      <c r="E76" s="239"/>
    </row>
    <row r="77" spans="1:5">
      <c r="A77" s="239"/>
      <c r="B77" s="239"/>
      <c r="C77" s="239"/>
      <c r="D77" s="239"/>
      <c r="E77" s="239"/>
    </row>
    <row r="78" spans="1:5">
      <c r="A78" s="239"/>
      <c r="B78" s="239"/>
      <c r="C78" s="239"/>
      <c r="D78" s="239"/>
      <c r="E78" s="239"/>
    </row>
    <row r="79" spans="1:5">
      <c r="A79" s="239"/>
      <c r="B79" s="239"/>
      <c r="C79" s="239"/>
      <c r="D79" s="239"/>
      <c r="E79" s="239"/>
    </row>
    <row r="80" spans="1:5">
      <c r="A80" s="239"/>
      <c r="B80" s="239"/>
      <c r="C80" s="239"/>
      <c r="D80" s="239"/>
      <c r="E80" s="239"/>
    </row>
    <row r="81" spans="1:5">
      <c r="A81" s="239"/>
      <c r="B81" s="239"/>
      <c r="C81" s="239"/>
      <c r="D81" s="239"/>
      <c r="E81" s="239"/>
    </row>
    <row r="82" spans="1:5">
      <c r="A82" s="239"/>
      <c r="B82" s="239"/>
      <c r="C82" s="239"/>
      <c r="D82" s="239"/>
      <c r="E82" s="239"/>
    </row>
    <row r="83" spans="1:5">
      <c r="A83" s="239"/>
      <c r="B83" s="239"/>
      <c r="C83" s="239"/>
      <c r="D83" s="239"/>
      <c r="E83" s="239"/>
    </row>
    <row r="84" spans="1:5">
      <c r="A84" s="239"/>
      <c r="B84" s="239"/>
      <c r="C84" s="239"/>
      <c r="D84" s="239"/>
      <c r="E84" s="239"/>
    </row>
    <row r="85" spans="1:5">
      <c r="A85" s="239"/>
      <c r="B85" s="239"/>
      <c r="C85" s="239"/>
      <c r="D85" s="239"/>
      <c r="E85" s="239"/>
    </row>
    <row r="86" spans="1:5">
      <c r="A86" s="239"/>
      <c r="B86" s="239"/>
      <c r="C86" s="239"/>
      <c r="D86" s="239"/>
      <c r="E86" s="239"/>
    </row>
    <row r="87" spans="1:5">
      <c r="A87" s="239"/>
      <c r="B87" s="239"/>
      <c r="C87" s="239"/>
      <c r="D87" s="239"/>
      <c r="E87" s="239"/>
    </row>
    <row r="88" spans="1:5">
      <c r="A88" s="239"/>
      <c r="B88" s="239"/>
      <c r="C88" s="239"/>
      <c r="D88" s="239"/>
      <c r="E88" s="239"/>
    </row>
    <row r="89" spans="1:5">
      <c r="A89" s="239"/>
      <c r="B89" s="239"/>
      <c r="C89" s="239"/>
      <c r="D89" s="239"/>
      <c r="E89" s="239"/>
    </row>
    <row r="90" spans="1:5">
      <c r="A90" s="239"/>
      <c r="B90" s="239"/>
      <c r="C90" s="239"/>
      <c r="D90" s="239"/>
      <c r="E90" s="239"/>
    </row>
    <row r="91" spans="1:5">
      <c r="A91" s="239"/>
      <c r="B91" s="239"/>
      <c r="C91" s="239"/>
      <c r="D91" s="239"/>
      <c r="E91" s="239"/>
    </row>
    <row r="92" spans="1:5">
      <c r="A92" s="239"/>
      <c r="B92" s="239"/>
      <c r="C92" s="239"/>
      <c r="D92" s="239"/>
      <c r="E92" s="239"/>
    </row>
    <row r="93" spans="1:5">
      <c r="A93" s="239"/>
      <c r="B93" s="239"/>
      <c r="C93" s="239"/>
      <c r="D93" s="239"/>
      <c r="E93" s="239"/>
    </row>
    <row r="94" spans="1:5">
      <c r="A94" s="239"/>
      <c r="B94" s="239"/>
      <c r="C94" s="239"/>
      <c r="D94" s="239"/>
      <c r="E94" s="239"/>
    </row>
    <row r="95" spans="1:5">
      <c r="A95" s="239"/>
      <c r="B95" s="239"/>
      <c r="C95" s="239"/>
      <c r="D95" s="239"/>
      <c r="E95" s="239"/>
    </row>
    <row r="96" spans="1:5">
      <c r="A96" s="239"/>
      <c r="B96" s="239"/>
      <c r="C96" s="239"/>
      <c r="D96" s="239"/>
      <c r="E96" s="239"/>
    </row>
    <row r="97" spans="1:5">
      <c r="A97" s="239"/>
      <c r="B97" s="239"/>
      <c r="C97" s="239"/>
      <c r="D97" s="239"/>
      <c r="E97" s="239"/>
    </row>
    <row r="98" spans="1:5">
      <c r="A98" s="239"/>
      <c r="B98" s="239"/>
      <c r="C98" s="239"/>
      <c r="D98" s="239"/>
      <c r="E98" s="239"/>
    </row>
    <row r="99" spans="1:5">
      <c r="A99" s="239"/>
      <c r="B99" s="239"/>
      <c r="C99" s="239"/>
      <c r="D99" s="239"/>
      <c r="E99" s="239"/>
    </row>
    <row r="100" spans="1:5">
      <c r="A100" s="239"/>
      <c r="B100" s="239"/>
      <c r="C100" s="239"/>
      <c r="D100" s="239"/>
      <c r="E100" s="239"/>
    </row>
    <row r="101" spans="1:5">
      <c r="A101" s="239"/>
      <c r="B101" s="239"/>
      <c r="C101" s="239"/>
      <c r="D101" s="239"/>
      <c r="E101" s="239"/>
    </row>
    <row r="102" spans="1:5">
      <c r="A102" s="239"/>
      <c r="B102" s="239"/>
      <c r="C102" s="239"/>
      <c r="D102" s="239"/>
      <c r="E102" s="239"/>
    </row>
    <row r="103" spans="1:5">
      <c r="A103" s="239"/>
      <c r="B103" s="239"/>
      <c r="C103" s="239"/>
      <c r="D103" s="239"/>
      <c r="E103" s="239"/>
    </row>
    <row r="104" spans="1:5">
      <c r="A104" s="239"/>
      <c r="B104" s="239"/>
      <c r="C104" s="239"/>
      <c r="D104" s="239"/>
      <c r="E104" s="239"/>
    </row>
    <row r="105" spans="1:5">
      <c r="A105" s="239"/>
      <c r="B105" s="239"/>
      <c r="C105" s="239"/>
      <c r="D105" s="239"/>
      <c r="E105" s="239"/>
    </row>
    <row r="106" spans="1:5">
      <c r="A106" s="239"/>
      <c r="B106" s="239"/>
      <c r="C106" s="239"/>
      <c r="D106" s="239"/>
      <c r="E106" s="239"/>
    </row>
    <row r="107" spans="1:5">
      <c r="A107" s="239"/>
      <c r="B107" s="239"/>
      <c r="C107" s="239"/>
      <c r="D107" s="239"/>
      <c r="E107" s="239"/>
    </row>
    <row r="108" spans="1:5">
      <c r="A108" s="239"/>
      <c r="B108" s="239"/>
      <c r="C108" s="239"/>
      <c r="D108" s="239"/>
      <c r="E108" s="239"/>
    </row>
    <row r="109" spans="1:5">
      <c r="A109" s="239"/>
      <c r="B109" s="239"/>
      <c r="C109" s="239"/>
      <c r="D109" s="239"/>
      <c r="E109" s="239"/>
    </row>
    <row r="110" spans="1:5">
      <c r="A110" s="239"/>
      <c r="B110" s="239"/>
      <c r="C110" s="239"/>
      <c r="D110" s="239"/>
      <c r="E110" s="239"/>
    </row>
    <row r="111" spans="1:5">
      <c r="A111" s="239"/>
      <c r="B111" s="239"/>
      <c r="C111" s="239"/>
      <c r="D111" s="239"/>
      <c r="E111" s="239"/>
    </row>
    <row r="112" spans="1:5">
      <c r="A112" s="239"/>
      <c r="B112" s="239"/>
      <c r="C112" s="239"/>
      <c r="D112" s="239"/>
      <c r="E112" s="239"/>
    </row>
    <row r="113" spans="1:5">
      <c r="A113" s="239"/>
      <c r="B113" s="239"/>
      <c r="C113" s="239"/>
      <c r="D113" s="239"/>
      <c r="E113" s="239"/>
    </row>
    <row r="114" spans="1:5">
      <c r="A114" s="239"/>
      <c r="B114" s="239"/>
      <c r="C114" s="239"/>
      <c r="D114" s="239"/>
      <c r="E114" s="239"/>
    </row>
    <row r="115" spans="1:5">
      <c r="A115" s="239"/>
      <c r="B115" s="239"/>
      <c r="C115" s="239"/>
      <c r="D115" s="239"/>
      <c r="E115" s="239"/>
    </row>
    <row r="116" spans="1:5">
      <c r="A116" s="239"/>
      <c r="B116" s="239"/>
      <c r="C116" s="239"/>
      <c r="D116" s="239"/>
      <c r="E116" s="239"/>
    </row>
    <row r="117" spans="1:5">
      <c r="A117" s="239"/>
      <c r="B117" s="239"/>
      <c r="C117" s="239"/>
      <c r="D117" s="239"/>
      <c r="E117" s="239"/>
    </row>
    <row r="118" spans="1:5">
      <c r="A118" s="239"/>
      <c r="B118" s="239"/>
      <c r="C118" s="239"/>
      <c r="D118" s="239"/>
      <c r="E118" s="239"/>
    </row>
    <row r="119" spans="1:5">
      <c r="A119" s="239"/>
      <c r="B119" s="239"/>
      <c r="C119" s="239"/>
      <c r="D119" s="239"/>
      <c r="E119" s="239"/>
    </row>
    <row r="120" spans="1:5">
      <c r="A120" s="239"/>
      <c r="B120" s="239"/>
      <c r="C120" s="239"/>
      <c r="D120" s="239"/>
      <c r="E120" s="239"/>
    </row>
    <row r="121" spans="1:5">
      <c r="A121" s="239"/>
      <c r="B121" s="239"/>
      <c r="C121" s="239"/>
      <c r="D121" s="239"/>
      <c r="E121" s="239"/>
    </row>
    <row r="122" spans="1:5">
      <c r="A122" s="239"/>
      <c r="B122" s="239"/>
      <c r="C122" s="239"/>
      <c r="D122" s="239"/>
      <c r="E122" s="239"/>
    </row>
    <row r="123" spans="1:5">
      <c r="A123" s="239"/>
      <c r="B123" s="239"/>
      <c r="C123" s="239"/>
      <c r="D123" s="239"/>
      <c r="E123" s="239"/>
    </row>
    <row r="124" spans="1:5">
      <c r="A124" s="239"/>
      <c r="B124" s="239"/>
      <c r="C124" s="239"/>
      <c r="D124" s="239"/>
      <c r="E124" s="239"/>
    </row>
    <row r="125" spans="1:5">
      <c r="A125" s="239"/>
      <c r="B125" s="239"/>
      <c r="C125" s="239"/>
      <c r="D125" s="239"/>
      <c r="E125" s="239"/>
    </row>
    <row r="126" spans="1:5">
      <c r="A126" s="239"/>
      <c r="B126" s="239"/>
      <c r="C126" s="239"/>
      <c r="D126" s="239"/>
      <c r="E126" s="239"/>
    </row>
    <row r="127" spans="1:5">
      <c r="A127" s="239"/>
      <c r="B127" s="239"/>
      <c r="C127" s="239"/>
      <c r="D127" s="239"/>
      <c r="E127" s="239"/>
    </row>
    <row r="128" spans="1:5">
      <c r="A128" s="239"/>
      <c r="B128" s="239"/>
      <c r="C128" s="239"/>
      <c r="D128" s="239"/>
      <c r="E128" s="239"/>
    </row>
    <row r="129" spans="1:5">
      <c r="A129" s="239"/>
      <c r="B129" s="239"/>
      <c r="C129" s="239"/>
      <c r="D129" s="239"/>
      <c r="E129" s="239"/>
    </row>
    <row r="130" spans="1:5">
      <c r="A130" s="239"/>
      <c r="B130" s="239"/>
      <c r="C130" s="239"/>
      <c r="D130" s="239"/>
      <c r="E130" s="239"/>
    </row>
    <row r="131" spans="1:5">
      <c r="A131" s="239"/>
      <c r="B131" s="239"/>
      <c r="C131" s="239"/>
      <c r="D131" s="239"/>
      <c r="E131" s="239"/>
    </row>
    <row r="132" spans="1:5">
      <c r="A132" s="239"/>
      <c r="B132" s="239"/>
      <c r="C132" s="239"/>
      <c r="D132" s="239"/>
      <c r="E132" s="239"/>
    </row>
    <row r="133" spans="1:5">
      <c r="A133" s="239"/>
      <c r="B133" s="239"/>
      <c r="C133" s="239"/>
      <c r="D133" s="239"/>
      <c r="E133" s="239"/>
    </row>
    <row r="134" spans="1:5">
      <c r="A134" s="239"/>
      <c r="B134" s="239"/>
      <c r="C134" s="239"/>
      <c r="D134" s="239"/>
      <c r="E134" s="239"/>
    </row>
    <row r="135" spans="1:5">
      <c r="A135" s="239"/>
      <c r="B135" s="239"/>
      <c r="C135" s="239"/>
      <c r="D135" s="239"/>
      <c r="E135" s="239"/>
    </row>
    <row r="136" spans="1:5">
      <c r="A136" s="239"/>
      <c r="B136" s="239"/>
      <c r="C136" s="239"/>
      <c r="D136" s="239"/>
      <c r="E136" s="239"/>
    </row>
    <row r="137" spans="1:5">
      <c r="A137" s="239"/>
      <c r="B137" s="239"/>
      <c r="C137" s="239"/>
      <c r="D137" s="239"/>
      <c r="E137" s="239"/>
    </row>
    <row r="138" spans="1:5">
      <c r="A138" s="239"/>
      <c r="B138" s="239"/>
      <c r="C138" s="239"/>
      <c r="D138" s="239"/>
      <c r="E138" s="239"/>
    </row>
    <row r="139" spans="1:5">
      <c r="A139" s="239"/>
      <c r="B139" s="239"/>
      <c r="C139" s="239"/>
      <c r="D139" s="239"/>
      <c r="E139" s="239"/>
    </row>
    <row r="140" spans="1:5">
      <c r="A140" s="239"/>
      <c r="B140" s="239"/>
      <c r="C140" s="239"/>
      <c r="D140" s="239"/>
      <c r="E140" s="239"/>
    </row>
    <row r="141" spans="1:5">
      <c r="A141" s="239"/>
      <c r="B141" s="239"/>
      <c r="C141" s="239"/>
      <c r="D141" s="239"/>
      <c r="E141" s="239"/>
    </row>
    <row r="142" spans="1:5">
      <c r="A142" s="239"/>
      <c r="B142" s="239"/>
      <c r="C142" s="239"/>
      <c r="D142" s="239"/>
      <c r="E142" s="239"/>
    </row>
    <row r="143" spans="1:5">
      <c r="A143" s="239"/>
      <c r="B143" s="239"/>
      <c r="C143" s="239"/>
      <c r="D143" s="239"/>
      <c r="E143" s="239"/>
    </row>
    <row r="144" spans="1:5">
      <c r="A144" s="239"/>
      <c r="B144" s="239"/>
      <c r="C144" s="239"/>
      <c r="D144" s="239"/>
      <c r="E144" s="239"/>
    </row>
    <row r="145" spans="1:5">
      <c r="A145" s="239"/>
      <c r="B145" s="239"/>
      <c r="C145" s="239"/>
      <c r="D145" s="239"/>
      <c r="E145" s="239"/>
    </row>
    <row r="146" spans="1:5">
      <c r="A146" s="239"/>
      <c r="B146" s="239"/>
      <c r="C146" s="239"/>
      <c r="D146" s="239"/>
      <c r="E146" s="239"/>
    </row>
    <row r="147" spans="1:5">
      <c r="A147" s="239"/>
      <c r="B147" s="239"/>
      <c r="C147" s="239"/>
      <c r="D147" s="239"/>
      <c r="E147" s="239"/>
    </row>
    <row r="148" spans="1:5">
      <c r="A148" s="239"/>
      <c r="B148" s="239"/>
      <c r="C148" s="239"/>
      <c r="D148" s="239"/>
      <c r="E148" s="239"/>
    </row>
    <row r="149" spans="1:5">
      <c r="A149" s="239"/>
      <c r="B149" s="239"/>
      <c r="C149" s="239"/>
      <c r="D149" s="239"/>
      <c r="E149" s="239"/>
    </row>
    <row r="150" spans="1:5">
      <c r="A150" s="239"/>
      <c r="B150" s="239"/>
      <c r="C150" s="239"/>
      <c r="D150" s="239"/>
      <c r="E150" s="239"/>
    </row>
    <row r="151" spans="1:5">
      <c r="A151" s="239"/>
      <c r="B151" s="239"/>
      <c r="C151" s="239"/>
      <c r="D151" s="239"/>
      <c r="E151" s="239"/>
    </row>
    <row r="152" spans="1:5">
      <c r="A152" s="239"/>
      <c r="B152" s="239"/>
      <c r="C152" s="239"/>
      <c r="D152" s="239"/>
      <c r="E152" s="239"/>
    </row>
    <row r="153" spans="1:5">
      <c r="A153" s="239"/>
      <c r="B153" s="239"/>
      <c r="C153" s="239"/>
      <c r="D153" s="239"/>
      <c r="E153" s="239"/>
    </row>
    <row r="154" spans="1:5">
      <c r="A154" s="239"/>
      <c r="B154" s="239"/>
      <c r="C154" s="239"/>
      <c r="D154" s="239"/>
      <c r="E154" s="239"/>
    </row>
    <row r="155" spans="1:5">
      <c r="A155" s="239"/>
      <c r="B155" s="239"/>
      <c r="C155" s="239"/>
      <c r="D155" s="239"/>
      <c r="E155" s="239"/>
    </row>
    <row r="156" spans="1:5">
      <c r="A156" s="239"/>
      <c r="B156" s="239"/>
      <c r="C156" s="239"/>
      <c r="D156" s="239"/>
      <c r="E156" s="239"/>
    </row>
    <row r="157" spans="1:5">
      <c r="A157" s="239"/>
      <c r="B157" s="239"/>
      <c r="C157" s="239"/>
      <c r="D157" s="239"/>
      <c r="E157" s="239"/>
    </row>
    <row r="158" spans="1:5">
      <c r="A158" s="239"/>
      <c r="B158" s="239"/>
      <c r="C158" s="239"/>
      <c r="D158" s="239"/>
      <c r="E158" s="239"/>
    </row>
    <row r="159" spans="1:5">
      <c r="A159" s="239"/>
      <c r="B159" s="239"/>
      <c r="C159" s="239"/>
      <c r="D159" s="239"/>
      <c r="E159" s="239"/>
    </row>
    <row r="160" spans="1:5">
      <c r="A160" s="239"/>
      <c r="B160" s="239"/>
      <c r="C160" s="239"/>
      <c r="D160" s="239"/>
      <c r="E160" s="239"/>
    </row>
    <row r="161" spans="1:5">
      <c r="A161" s="239"/>
      <c r="B161" s="239"/>
      <c r="C161" s="239"/>
      <c r="D161" s="239"/>
      <c r="E161" s="239"/>
    </row>
    <row r="162" spans="1:5">
      <c r="A162" s="239"/>
      <c r="B162" s="239"/>
      <c r="C162" s="239"/>
      <c r="D162" s="239"/>
      <c r="E162" s="239"/>
    </row>
    <row r="163" spans="1:5">
      <c r="A163" s="239"/>
      <c r="B163" s="239"/>
      <c r="C163" s="239"/>
      <c r="D163" s="239"/>
      <c r="E163" s="239"/>
    </row>
    <row r="164" spans="1:5">
      <c r="A164" s="239"/>
      <c r="B164" s="239"/>
      <c r="C164" s="239"/>
      <c r="D164" s="239"/>
      <c r="E164" s="239"/>
    </row>
    <row r="165" spans="1:5">
      <c r="A165" s="239"/>
      <c r="B165" s="239"/>
      <c r="C165" s="239"/>
      <c r="D165" s="239"/>
      <c r="E165" s="239"/>
    </row>
    <row r="166" spans="1:5">
      <c r="A166" s="239"/>
      <c r="B166" s="239"/>
      <c r="C166" s="239"/>
      <c r="D166" s="239"/>
      <c r="E166" s="239"/>
    </row>
    <row r="167" spans="1:5">
      <c r="A167" s="239"/>
      <c r="B167" s="239"/>
      <c r="C167" s="239"/>
      <c r="D167" s="239"/>
      <c r="E167" s="239"/>
    </row>
    <row r="168" spans="1:5">
      <c r="A168" s="239"/>
      <c r="B168" s="239"/>
      <c r="C168" s="239"/>
      <c r="D168" s="239"/>
      <c r="E168" s="239"/>
    </row>
    <row r="169" spans="1:5">
      <c r="A169" s="239"/>
      <c r="B169" s="239"/>
      <c r="C169" s="239"/>
      <c r="D169" s="239"/>
      <c r="E169" s="239"/>
    </row>
    <row r="170" spans="1:5">
      <c r="A170" s="239"/>
      <c r="B170" s="239"/>
      <c r="C170" s="239"/>
      <c r="D170" s="239"/>
      <c r="E170" s="239"/>
    </row>
    <row r="171" spans="1:5">
      <c r="A171" s="239"/>
      <c r="B171" s="239"/>
      <c r="C171" s="239"/>
      <c r="D171" s="239"/>
      <c r="E171" s="239"/>
    </row>
    <row r="172" spans="1:5">
      <c r="A172" s="239"/>
      <c r="B172" s="239"/>
      <c r="C172" s="239"/>
      <c r="D172" s="239"/>
      <c r="E172" s="239"/>
    </row>
    <row r="173" spans="1:5">
      <c r="A173" s="239"/>
      <c r="B173" s="239"/>
      <c r="C173" s="239"/>
      <c r="D173" s="239"/>
      <c r="E173" s="239"/>
    </row>
    <row r="174" spans="1:5">
      <c r="A174" s="239"/>
      <c r="B174" s="239"/>
      <c r="C174" s="239"/>
      <c r="D174" s="239"/>
      <c r="E174" s="239"/>
    </row>
    <row r="175" spans="1:5">
      <c r="A175" s="239"/>
      <c r="B175" s="239"/>
      <c r="C175" s="239"/>
      <c r="D175" s="239"/>
      <c r="E175" s="239"/>
    </row>
    <row r="176" spans="1:5">
      <c r="A176" s="239"/>
      <c r="B176" s="239"/>
      <c r="C176" s="239"/>
      <c r="D176" s="239"/>
      <c r="E176" s="239"/>
    </row>
    <row r="177" spans="1:5">
      <c r="A177" s="239"/>
      <c r="B177" s="239"/>
      <c r="C177" s="239"/>
      <c r="D177" s="239"/>
      <c r="E177" s="239"/>
    </row>
    <row r="178" spans="1:5">
      <c r="A178" s="239"/>
      <c r="B178" s="239"/>
      <c r="C178" s="239"/>
      <c r="D178" s="239"/>
      <c r="E178" s="239"/>
    </row>
    <row r="179" spans="1:5">
      <c r="A179" s="239"/>
      <c r="B179" s="239"/>
      <c r="C179" s="239"/>
      <c r="D179" s="239"/>
      <c r="E179" s="239"/>
    </row>
    <row r="180" spans="1:5">
      <c r="A180" s="239"/>
      <c r="B180" s="239"/>
      <c r="C180" s="239"/>
      <c r="D180" s="239"/>
      <c r="E180" s="239"/>
    </row>
    <row r="181" spans="1:5">
      <c r="A181" s="239"/>
      <c r="B181" s="239"/>
      <c r="C181" s="239"/>
      <c r="D181" s="239"/>
      <c r="E181" s="239"/>
    </row>
    <row r="182" spans="1:5">
      <c r="A182" s="239"/>
      <c r="B182" s="239"/>
      <c r="C182" s="239"/>
      <c r="D182" s="239"/>
      <c r="E182" s="239"/>
    </row>
    <row r="183" spans="1:5">
      <c r="A183" s="239"/>
      <c r="B183" s="239"/>
      <c r="C183" s="239"/>
      <c r="D183" s="239"/>
      <c r="E183" s="239"/>
    </row>
    <row r="184" spans="1:5">
      <c r="A184" s="239"/>
      <c r="B184" s="239"/>
      <c r="C184" s="239"/>
      <c r="D184" s="239"/>
      <c r="E184" s="239"/>
    </row>
    <row r="185" spans="1:5">
      <c r="A185" s="239"/>
      <c r="B185" s="239"/>
      <c r="C185" s="239"/>
      <c r="D185" s="239"/>
      <c r="E185" s="239"/>
    </row>
    <row r="186" spans="1:5">
      <c r="A186" s="239"/>
      <c r="B186" s="239"/>
      <c r="C186" s="239"/>
      <c r="D186" s="239"/>
      <c r="E186" s="239"/>
    </row>
    <row r="187" spans="1:5">
      <c r="A187" s="239"/>
      <c r="B187" s="239"/>
      <c r="C187" s="239"/>
      <c r="D187" s="239"/>
      <c r="E187" s="239"/>
    </row>
    <row r="188" spans="1:5">
      <c r="A188" s="239"/>
      <c r="B188" s="239"/>
      <c r="C188" s="239"/>
      <c r="D188" s="239"/>
      <c r="E188" s="239"/>
    </row>
    <row r="189" spans="1:5">
      <c r="A189" s="239"/>
      <c r="B189" s="239"/>
      <c r="C189" s="239"/>
      <c r="D189" s="239"/>
      <c r="E189" s="239"/>
    </row>
    <row r="190" spans="1:5">
      <c r="A190" s="239"/>
      <c r="B190" s="239"/>
      <c r="C190" s="239"/>
      <c r="D190" s="239"/>
      <c r="E190" s="239"/>
    </row>
    <row r="191" spans="1:5">
      <c r="A191" s="239"/>
      <c r="B191" s="239"/>
      <c r="C191" s="239"/>
      <c r="D191" s="239"/>
      <c r="E191" s="239"/>
    </row>
    <row r="192" spans="1:5">
      <c r="A192" s="239"/>
      <c r="B192" s="239"/>
      <c r="C192" s="239"/>
      <c r="D192" s="239"/>
      <c r="E192" s="239"/>
    </row>
    <row r="193" spans="1:5">
      <c r="A193" s="239"/>
      <c r="B193" s="239"/>
      <c r="C193" s="239"/>
      <c r="D193" s="239"/>
      <c r="E193" s="239"/>
    </row>
    <row r="194" spans="1:5">
      <c r="A194" s="239"/>
      <c r="B194" s="239"/>
      <c r="C194" s="239"/>
      <c r="D194" s="239"/>
      <c r="E194" s="239"/>
    </row>
    <row r="195" spans="1:5">
      <c r="A195" s="239"/>
      <c r="B195" s="239"/>
      <c r="C195" s="239"/>
      <c r="D195" s="239"/>
      <c r="E195" s="239"/>
    </row>
    <row r="196" spans="1:5">
      <c r="A196" s="239"/>
      <c r="B196" s="239"/>
      <c r="C196" s="239"/>
      <c r="D196" s="239"/>
      <c r="E196" s="239"/>
    </row>
    <row r="197" spans="1:5">
      <c r="A197" s="239"/>
      <c r="B197" s="239"/>
      <c r="C197" s="239"/>
      <c r="D197" s="239"/>
      <c r="E197" s="239"/>
    </row>
    <row r="198" spans="1:5">
      <c r="A198" s="239"/>
      <c r="B198" s="239"/>
      <c r="C198" s="239"/>
      <c r="D198" s="239"/>
      <c r="E198" s="239"/>
    </row>
    <row r="199" spans="1:5">
      <c r="A199" s="239"/>
      <c r="B199" s="239"/>
      <c r="C199" s="239"/>
      <c r="D199" s="239"/>
      <c r="E199" s="239"/>
    </row>
    <row r="200" spans="1:5">
      <c r="A200" s="239"/>
      <c r="B200" s="239"/>
      <c r="C200" s="239"/>
      <c r="D200" s="239"/>
      <c r="E200" s="239"/>
    </row>
    <row r="201" spans="1:5">
      <c r="A201" s="239"/>
      <c r="B201" s="239"/>
      <c r="C201" s="239"/>
      <c r="D201" s="239"/>
      <c r="E201" s="239"/>
    </row>
    <row r="202" spans="1:5">
      <c r="A202" s="239"/>
      <c r="B202" s="239"/>
      <c r="C202" s="239"/>
      <c r="D202" s="239"/>
      <c r="E202" s="239"/>
    </row>
    <row r="203" spans="1:5">
      <c r="A203" s="239"/>
      <c r="B203" s="239"/>
      <c r="C203" s="239"/>
      <c r="D203" s="239"/>
      <c r="E203" s="239"/>
    </row>
    <row r="204" spans="1:5">
      <c r="A204" s="239"/>
      <c r="B204" s="239"/>
      <c r="C204" s="239"/>
      <c r="D204" s="239"/>
      <c r="E204" s="239"/>
    </row>
    <row r="205" spans="1:5">
      <c r="A205" s="239"/>
      <c r="B205" s="239"/>
      <c r="C205" s="239"/>
      <c r="D205" s="239"/>
      <c r="E205" s="239"/>
    </row>
    <row r="206" spans="1:5">
      <c r="A206" s="239"/>
      <c r="B206" s="239"/>
      <c r="C206" s="239"/>
      <c r="D206" s="239"/>
      <c r="E206" s="239"/>
    </row>
    <row r="207" spans="1:5">
      <c r="A207" s="239"/>
      <c r="B207" s="239"/>
      <c r="C207" s="239"/>
      <c r="D207" s="239"/>
      <c r="E207" s="239"/>
    </row>
    <row r="208" spans="1:5">
      <c r="A208" s="239"/>
      <c r="B208" s="239"/>
      <c r="C208" s="239"/>
      <c r="D208" s="239"/>
      <c r="E208" s="239"/>
    </row>
    <row r="209" spans="1:5">
      <c r="A209" s="239"/>
      <c r="B209" s="239"/>
      <c r="C209" s="239"/>
      <c r="D209" s="239"/>
      <c r="E209" s="239"/>
    </row>
    <row r="210" spans="1:5">
      <c r="A210" s="239"/>
      <c r="B210" s="239"/>
      <c r="C210" s="239"/>
      <c r="D210" s="239"/>
      <c r="E210" s="239"/>
    </row>
    <row r="211" spans="1:5">
      <c r="A211" s="239"/>
      <c r="B211" s="239"/>
      <c r="C211" s="239"/>
      <c r="D211" s="239"/>
      <c r="E211" s="239"/>
    </row>
    <row r="212" spans="1:5">
      <c r="A212" s="239"/>
      <c r="B212" s="239"/>
      <c r="C212" s="239"/>
      <c r="D212" s="239"/>
      <c r="E212" s="239"/>
    </row>
    <row r="213" spans="1:5">
      <c r="A213" s="239"/>
      <c r="B213" s="239"/>
      <c r="C213" s="239"/>
      <c r="D213" s="239"/>
      <c r="E213" s="239"/>
    </row>
    <row r="214" spans="1:5">
      <c r="A214" s="239"/>
      <c r="B214" s="239"/>
      <c r="C214" s="239"/>
      <c r="D214" s="239"/>
      <c r="E214" s="239"/>
    </row>
    <row r="215" spans="1:5">
      <c r="A215" s="239"/>
      <c r="B215" s="239"/>
      <c r="C215" s="239"/>
      <c r="D215" s="239"/>
      <c r="E215" s="239"/>
    </row>
    <row r="216" spans="1:5">
      <c r="A216" s="239"/>
      <c r="B216" s="239"/>
      <c r="C216" s="239"/>
      <c r="D216" s="239"/>
      <c r="E216" s="239"/>
    </row>
    <row r="217" spans="1:5">
      <c r="A217" s="239"/>
      <c r="B217" s="239"/>
      <c r="C217" s="239"/>
      <c r="D217" s="239"/>
      <c r="E217" s="239"/>
    </row>
    <row r="218" spans="1:5">
      <c r="A218" s="239"/>
      <c r="B218" s="239"/>
      <c r="C218" s="239"/>
      <c r="D218" s="239"/>
      <c r="E218" s="239"/>
    </row>
    <row r="219" spans="1:5">
      <c r="A219" s="239"/>
      <c r="B219" s="239"/>
      <c r="C219" s="239"/>
      <c r="D219" s="239"/>
      <c r="E219" s="239"/>
    </row>
    <row r="220" spans="1:5">
      <c r="A220" s="239"/>
      <c r="B220" s="239"/>
      <c r="C220" s="239"/>
      <c r="D220" s="239"/>
      <c r="E220" s="239"/>
    </row>
    <row r="221" spans="1:5">
      <c r="A221" s="239"/>
      <c r="B221" s="239"/>
      <c r="C221" s="239"/>
      <c r="D221" s="239"/>
      <c r="E221" s="239"/>
    </row>
    <row r="222" spans="1:5">
      <c r="A222" s="239"/>
      <c r="B222" s="239"/>
      <c r="C222" s="239"/>
      <c r="D222" s="239"/>
      <c r="E222" s="239"/>
    </row>
    <row r="223" spans="1:5">
      <c r="A223" s="239"/>
      <c r="B223" s="239"/>
      <c r="C223" s="239"/>
      <c r="D223" s="239"/>
      <c r="E223" s="239"/>
    </row>
    <row r="224" spans="1:5">
      <c r="A224" s="239"/>
      <c r="B224" s="239"/>
      <c r="C224" s="239"/>
      <c r="D224" s="239"/>
      <c r="E224" s="239"/>
    </row>
    <row r="225" spans="1:5">
      <c r="A225" s="239"/>
      <c r="B225" s="239"/>
      <c r="C225" s="239"/>
      <c r="D225" s="239"/>
      <c r="E225" s="239"/>
    </row>
    <row r="226" spans="1:5">
      <c r="A226" s="239"/>
      <c r="B226" s="239"/>
      <c r="C226" s="239"/>
      <c r="D226" s="239"/>
      <c r="E226" s="239"/>
    </row>
    <row r="227" spans="1:5">
      <c r="A227" s="239"/>
      <c r="B227" s="239"/>
      <c r="C227" s="239"/>
      <c r="D227" s="239"/>
      <c r="E227" s="239"/>
    </row>
    <row r="228" spans="1:5">
      <c r="A228" s="239"/>
      <c r="B228" s="239"/>
      <c r="C228" s="239"/>
      <c r="D228" s="239"/>
      <c r="E228" s="239"/>
    </row>
    <row r="229" spans="1:5">
      <c r="A229" s="239"/>
      <c r="B229" s="239"/>
      <c r="C229" s="239"/>
      <c r="D229" s="239"/>
      <c r="E229" s="239"/>
    </row>
    <row r="230" spans="1:5">
      <c r="A230" s="239"/>
      <c r="B230" s="239"/>
      <c r="C230" s="239"/>
      <c r="D230" s="239"/>
      <c r="E230" s="239"/>
    </row>
    <row r="231" spans="1:5">
      <c r="A231" s="239"/>
      <c r="B231" s="239"/>
      <c r="C231" s="239"/>
      <c r="D231" s="239"/>
      <c r="E231" s="239"/>
    </row>
    <row r="232" spans="1:5">
      <c r="A232" s="239"/>
      <c r="B232" s="239"/>
      <c r="C232" s="239"/>
      <c r="D232" s="239"/>
      <c r="E232" s="239"/>
    </row>
    <row r="233" spans="1:5">
      <c r="A233" s="239"/>
      <c r="B233" s="239"/>
      <c r="C233" s="239"/>
      <c r="D233" s="239"/>
      <c r="E233" s="239"/>
    </row>
    <row r="234" spans="1:5">
      <c r="A234" s="239"/>
      <c r="B234" s="239"/>
      <c r="C234" s="239"/>
      <c r="D234" s="239"/>
      <c r="E234" s="239"/>
    </row>
    <row r="235" spans="1:5">
      <c r="A235" s="239"/>
      <c r="B235" s="239"/>
      <c r="C235" s="239"/>
      <c r="D235" s="239"/>
      <c r="E235" s="239"/>
    </row>
    <row r="236" spans="1:5">
      <c r="A236" s="239"/>
      <c r="B236" s="239"/>
      <c r="C236" s="239"/>
      <c r="D236" s="239"/>
      <c r="E236" s="239"/>
    </row>
    <row r="237" spans="1:5">
      <c r="A237" s="239"/>
      <c r="B237" s="239"/>
      <c r="C237" s="239"/>
      <c r="D237" s="239"/>
      <c r="E237" s="239"/>
    </row>
    <row r="238" spans="1:5">
      <c r="A238" s="239"/>
      <c r="B238" s="239"/>
      <c r="C238" s="239"/>
      <c r="D238" s="239"/>
      <c r="E238" s="239"/>
    </row>
    <row r="239" spans="1:5">
      <c r="A239" s="239"/>
      <c r="B239" s="239"/>
      <c r="C239" s="239"/>
      <c r="D239" s="239"/>
      <c r="E239" s="239"/>
    </row>
    <row r="240" spans="1:5">
      <c r="A240" s="239"/>
      <c r="B240" s="239"/>
      <c r="C240" s="239"/>
      <c r="D240" s="239"/>
      <c r="E240" s="239"/>
    </row>
    <row r="241" spans="1:5">
      <c r="A241" s="239"/>
      <c r="B241" s="239"/>
      <c r="C241" s="239"/>
      <c r="D241" s="239"/>
      <c r="E241" s="239"/>
    </row>
    <row r="242" spans="1:5">
      <c r="A242" s="239"/>
      <c r="B242" s="239"/>
      <c r="C242" s="239"/>
      <c r="D242" s="239"/>
      <c r="E242" s="239"/>
    </row>
    <row r="243" spans="1:5">
      <c r="A243" s="239"/>
      <c r="B243" s="239"/>
      <c r="C243" s="239"/>
      <c r="D243" s="239"/>
      <c r="E243" s="239"/>
    </row>
    <row r="244" spans="1:5">
      <c r="A244" s="239"/>
      <c r="B244" s="239"/>
      <c r="C244" s="239"/>
      <c r="D244" s="239"/>
      <c r="E244" s="239"/>
    </row>
    <row r="245" spans="1:5">
      <c r="A245" s="239"/>
      <c r="B245" s="239"/>
      <c r="C245" s="239"/>
      <c r="D245" s="239"/>
      <c r="E245" s="239"/>
    </row>
    <row r="246" spans="1:5">
      <c r="A246" s="239"/>
      <c r="B246" s="239"/>
      <c r="C246" s="239"/>
      <c r="D246" s="239"/>
      <c r="E246" s="239"/>
    </row>
    <row r="247" spans="1:5">
      <c r="A247" s="239"/>
      <c r="B247" s="239"/>
      <c r="C247" s="239"/>
      <c r="D247" s="239"/>
      <c r="E247" s="239"/>
    </row>
    <row r="248" spans="1:5">
      <c r="A248" s="239"/>
      <c r="B248" s="239"/>
      <c r="C248" s="239"/>
      <c r="D248" s="239"/>
      <c r="E248" s="239"/>
    </row>
    <row r="249" spans="1:5">
      <c r="A249" s="239"/>
      <c r="B249" s="239"/>
      <c r="C249" s="239"/>
      <c r="D249" s="239"/>
      <c r="E249" s="239"/>
    </row>
    <row r="250" spans="1:5">
      <c r="A250" s="239"/>
      <c r="B250" s="239"/>
      <c r="C250" s="239"/>
      <c r="D250" s="239"/>
      <c r="E250" s="239"/>
    </row>
    <row r="251" spans="1:5">
      <c r="A251" s="239"/>
      <c r="B251" s="239"/>
      <c r="C251" s="239"/>
      <c r="D251" s="239"/>
      <c r="E251" s="239"/>
    </row>
    <row r="252" spans="1:5">
      <c r="A252" s="239"/>
      <c r="B252" s="239"/>
      <c r="C252" s="239"/>
      <c r="D252" s="239"/>
      <c r="E252" s="239"/>
    </row>
    <row r="253" spans="1:5">
      <c r="A253" s="239"/>
      <c r="B253" s="239"/>
      <c r="C253" s="239"/>
      <c r="D253" s="239"/>
      <c r="E253" s="239"/>
    </row>
    <row r="254" spans="1:5">
      <c r="A254" s="239"/>
      <c r="B254" s="239"/>
      <c r="C254" s="239"/>
      <c r="D254" s="239"/>
      <c r="E254" s="239"/>
    </row>
    <row r="255" spans="1:5">
      <c r="A255" s="239"/>
      <c r="B255" s="239"/>
      <c r="C255" s="239"/>
      <c r="D255" s="239"/>
      <c r="E255" s="239"/>
    </row>
    <row r="256" spans="1:5">
      <c r="A256" s="239"/>
      <c r="B256" s="239"/>
      <c r="C256" s="239"/>
      <c r="D256" s="239"/>
      <c r="E256" s="239"/>
    </row>
    <row r="257" spans="1:5">
      <c r="A257" s="239"/>
      <c r="B257" s="239"/>
      <c r="C257" s="239"/>
      <c r="D257" s="239"/>
      <c r="E257" s="239"/>
    </row>
    <row r="258" spans="1:5">
      <c r="A258" s="239"/>
      <c r="B258" s="239"/>
      <c r="C258" s="239"/>
      <c r="D258" s="239"/>
      <c r="E258" s="239"/>
    </row>
    <row r="259" spans="1:5">
      <c r="A259" s="239"/>
      <c r="B259" s="239"/>
      <c r="C259" s="239"/>
      <c r="D259" s="239"/>
      <c r="E259" s="239"/>
    </row>
    <row r="260" spans="1:5">
      <c r="A260" s="239"/>
      <c r="B260" s="239"/>
      <c r="C260" s="239"/>
      <c r="D260" s="239"/>
      <c r="E260" s="239"/>
    </row>
    <row r="261" spans="1:5">
      <c r="A261" s="239"/>
      <c r="B261" s="239"/>
      <c r="C261" s="239"/>
      <c r="D261" s="239"/>
      <c r="E261" s="239"/>
    </row>
    <row r="262" spans="1:5">
      <c r="A262" s="239"/>
      <c r="B262" s="239"/>
      <c r="C262" s="239"/>
      <c r="D262" s="239"/>
      <c r="E262" s="239"/>
    </row>
    <row r="263" spans="1:5">
      <c r="A263" s="239"/>
      <c r="B263" s="239"/>
      <c r="C263" s="239"/>
      <c r="D263" s="239"/>
      <c r="E263" s="239"/>
    </row>
    <row r="264" spans="1:5">
      <c r="A264" s="239"/>
      <c r="B264" s="239"/>
      <c r="C264" s="239"/>
      <c r="D264" s="239"/>
      <c r="E264" s="239"/>
    </row>
    <row r="265" spans="1:5">
      <c r="A265" s="239"/>
      <c r="B265" s="239"/>
      <c r="C265" s="239"/>
      <c r="D265" s="239"/>
      <c r="E265" s="239"/>
    </row>
    <row r="266" spans="1:5">
      <c r="A266" s="239"/>
      <c r="B266" s="239"/>
      <c r="C266" s="239"/>
      <c r="D266" s="239"/>
      <c r="E266" s="239"/>
    </row>
    <row r="267" spans="1:5">
      <c r="A267" s="239"/>
      <c r="B267" s="239"/>
      <c r="C267" s="239"/>
      <c r="D267" s="239"/>
      <c r="E267" s="239"/>
    </row>
    <row r="268" spans="1:5">
      <c r="A268" s="239"/>
      <c r="B268" s="239"/>
      <c r="C268" s="239"/>
      <c r="D268" s="239"/>
      <c r="E268" s="239"/>
    </row>
    <row r="269" spans="1:5">
      <c r="A269" s="239"/>
      <c r="B269" s="239"/>
      <c r="C269" s="239"/>
      <c r="D269" s="239"/>
      <c r="E269" s="239"/>
    </row>
    <row r="270" spans="1:5">
      <c r="A270" s="239"/>
      <c r="B270" s="239"/>
      <c r="C270" s="239"/>
      <c r="D270" s="239"/>
      <c r="E270" s="239"/>
    </row>
    <row r="271" spans="1:5">
      <c r="A271" s="239"/>
      <c r="B271" s="239"/>
      <c r="C271" s="239"/>
      <c r="D271" s="239"/>
      <c r="E271" s="239"/>
    </row>
    <row r="272" spans="1:5">
      <c r="A272" s="239"/>
      <c r="B272" s="239"/>
      <c r="C272" s="239"/>
      <c r="D272" s="239"/>
      <c r="E272" s="239"/>
    </row>
    <row r="273" spans="1:5">
      <c r="A273" s="239"/>
      <c r="B273" s="239"/>
      <c r="C273" s="239"/>
      <c r="D273" s="239"/>
      <c r="E273" s="239"/>
    </row>
    <row r="274" spans="1:5">
      <c r="A274" s="239"/>
      <c r="B274" s="239"/>
      <c r="C274" s="239"/>
      <c r="D274" s="239"/>
      <c r="E274" s="239"/>
    </row>
    <row r="275" spans="1:5">
      <c r="A275" s="239"/>
      <c r="B275" s="239"/>
      <c r="C275" s="239"/>
      <c r="D275" s="239"/>
      <c r="E275" s="239"/>
    </row>
    <row r="276" spans="1:5">
      <c r="A276" s="239"/>
      <c r="B276" s="239"/>
      <c r="C276" s="239"/>
      <c r="D276" s="239"/>
      <c r="E276" s="239"/>
    </row>
    <row r="277" spans="1:5">
      <c r="A277" s="239"/>
      <c r="B277" s="239"/>
      <c r="C277" s="239"/>
      <c r="D277" s="239"/>
      <c r="E277" s="239"/>
    </row>
    <row r="278" spans="1:5">
      <c r="A278" s="239"/>
      <c r="B278" s="239"/>
      <c r="C278" s="239"/>
      <c r="D278" s="239"/>
      <c r="E278" s="239"/>
    </row>
    <row r="279" spans="1:5">
      <c r="A279" s="239"/>
      <c r="B279" s="239"/>
      <c r="C279" s="239"/>
      <c r="D279" s="239"/>
      <c r="E279" s="239"/>
    </row>
    <row r="280" spans="1:5">
      <c r="A280" s="239"/>
      <c r="B280" s="239"/>
      <c r="C280" s="239"/>
      <c r="D280" s="239"/>
      <c r="E280" s="239"/>
    </row>
    <row r="281" spans="1:5">
      <c r="A281" s="239"/>
      <c r="B281" s="239"/>
      <c r="C281" s="239"/>
      <c r="D281" s="239"/>
      <c r="E281" s="239"/>
    </row>
    <row r="282" spans="1:5">
      <c r="A282" s="239"/>
      <c r="B282" s="239"/>
      <c r="C282" s="239"/>
      <c r="D282" s="239"/>
      <c r="E282" s="239"/>
    </row>
    <row r="283" spans="1:5">
      <c r="A283" s="239"/>
      <c r="B283" s="239"/>
      <c r="C283" s="239"/>
      <c r="D283" s="239"/>
      <c r="E283" s="239"/>
    </row>
    <row r="284" spans="1:5">
      <c r="A284" s="239"/>
      <c r="B284" s="239"/>
      <c r="C284" s="239"/>
      <c r="D284" s="239"/>
      <c r="E284" s="239"/>
    </row>
    <row r="285" spans="1:5">
      <c r="A285" s="239"/>
      <c r="B285" s="239"/>
      <c r="C285" s="239"/>
      <c r="D285" s="239"/>
      <c r="E285" s="239"/>
    </row>
    <row r="286" spans="1:5">
      <c r="A286" s="239"/>
      <c r="B286" s="239"/>
      <c r="C286" s="239"/>
      <c r="D286" s="239"/>
      <c r="E286" s="239"/>
    </row>
    <row r="287" spans="1:5">
      <c r="A287" s="239"/>
      <c r="B287" s="239"/>
      <c r="C287" s="239"/>
      <c r="D287" s="239"/>
      <c r="E287" s="239"/>
    </row>
    <row r="288" spans="1:5">
      <c r="A288" s="239"/>
      <c r="B288" s="239"/>
      <c r="C288" s="239"/>
      <c r="D288" s="239"/>
      <c r="E288" s="239"/>
    </row>
    <row r="289" spans="1:5">
      <c r="A289" s="239"/>
      <c r="B289" s="239"/>
      <c r="C289" s="239"/>
      <c r="D289" s="239"/>
      <c r="E289" s="239"/>
    </row>
    <row r="290" spans="1:5">
      <c r="A290" s="239"/>
      <c r="B290" s="239"/>
      <c r="C290" s="239"/>
      <c r="D290" s="239"/>
      <c r="E290" s="239"/>
    </row>
    <row r="291" spans="1:5">
      <c r="A291" s="239"/>
      <c r="B291" s="239"/>
      <c r="C291" s="239"/>
      <c r="D291" s="239"/>
      <c r="E291" s="239"/>
    </row>
    <row r="292" spans="1:5">
      <c r="A292" s="239"/>
      <c r="B292" s="239"/>
      <c r="C292" s="239"/>
      <c r="D292" s="239"/>
      <c r="E292" s="239"/>
    </row>
    <row r="293" spans="1:5">
      <c r="A293" s="239"/>
      <c r="B293" s="239"/>
      <c r="C293" s="239"/>
      <c r="D293" s="239"/>
      <c r="E293" s="239"/>
    </row>
    <row r="294" spans="1:5">
      <c r="A294" s="239"/>
      <c r="B294" s="239"/>
      <c r="C294" s="239"/>
      <c r="D294" s="239"/>
      <c r="E294" s="239"/>
    </row>
    <row r="295" spans="1:5">
      <c r="A295" s="239"/>
      <c r="B295" s="239"/>
      <c r="C295" s="239"/>
      <c r="D295" s="239"/>
      <c r="E295" s="239"/>
    </row>
    <row r="296" spans="1:5">
      <c r="A296" s="239"/>
      <c r="B296" s="239"/>
      <c r="C296" s="239"/>
      <c r="D296" s="239"/>
      <c r="E296" s="239"/>
    </row>
    <row r="297" spans="1:5">
      <c r="A297" s="239"/>
      <c r="B297" s="239"/>
      <c r="C297" s="239"/>
      <c r="D297" s="239"/>
      <c r="E297" s="239"/>
    </row>
    <row r="298" spans="1:5">
      <c r="A298" s="239"/>
      <c r="B298" s="239"/>
      <c r="C298" s="239"/>
      <c r="D298" s="239"/>
      <c r="E298" s="239"/>
    </row>
    <row r="299" spans="1:5">
      <c r="A299" s="239"/>
      <c r="B299" s="239"/>
      <c r="C299" s="239"/>
      <c r="D299" s="239"/>
      <c r="E299" s="239"/>
    </row>
    <row r="300" spans="1:5">
      <c r="A300" s="239"/>
      <c r="B300" s="239"/>
      <c r="C300" s="239"/>
      <c r="D300" s="239"/>
      <c r="E300" s="239"/>
    </row>
    <row r="301" spans="1:5">
      <c r="A301" s="239"/>
      <c r="B301" s="239"/>
      <c r="C301" s="239"/>
      <c r="D301" s="239"/>
      <c r="E301" s="239"/>
    </row>
    <row r="302" spans="1:5">
      <c r="A302" s="239"/>
      <c r="B302" s="239"/>
      <c r="C302" s="239"/>
      <c r="D302" s="239"/>
      <c r="E302" s="239"/>
    </row>
    <row r="303" spans="1:5">
      <c r="A303" s="239"/>
      <c r="B303" s="239"/>
      <c r="C303" s="239"/>
      <c r="D303" s="239"/>
      <c r="E303" s="239"/>
    </row>
    <row r="304" spans="1:5">
      <c r="A304" s="239"/>
      <c r="B304" s="239"/>
      <c r="C304" s="239"/>
      <c r="D304" s="239"/>
      <c r="E304" s="239"/>
    </row>
    <row r="305" spans="1:5">
      <c r="A305" s="239"/>
      <c r="B305" s="239"/>
      <c r="C305" s="239"/>
      <c r="D305" s="239"/>
      <c r="E305" s="239"/>
    </row>
    <row r="306" spans="1:5">
      <c r="A306" s="239"/>
      <c r="B306" s="239"/>
      <c r="C306" s="239"/>
      <c r="D306" s="239"/>
      <c r="E306" s="239"/>
    </row>
    <row r="307" spans="1:5">
      <c r="A307" s="239"/>
      <c r="B307" s="239"/>
      <c r="C307" s="239"/>
      <c r="D307" s="239"/>
      <c r="E307" s="239"/>
    </row>
    <row r="308" spans="1:5">
      <c r="A308" s="239"/>
      <c r="B308" s="239"/>
      <c r="C308" s="239"/>
      <c r="D308" s="239"/>
      <c r="E308" s="239"/>
    </row>
    <row r="309" spans="1:5">
      <c r="A309" s="239"/>
      <c r="B309" s="239"/>
      <c r="C309" s="239"/>
      <c r="D309" s="239"/>
      <c r="E309" s="239"/>
    </row>
    <row r="310" spans="1:5">
      <c r="A310" s="239"/>
      <c r="B310" s="239"/>
      <c r="C310" s="239"/>
      <c r="D310" s="239"/>
      <c r="E310" s="239"/>
    </row>
    <row r="311" spans="1:5">
      <c r="A311" s="239"/>
      <c r="B311" s="239"/>
      <c r="C311" s="239"/>
      <c r="D311" s="239"/>
      <c r="E311" s="239"/>
    </row>
    <row r="312" spans="1:5">
      <c r="A312" s="239"/>
      <c r="B312" s="239"/>
      <c r="C312" s="239"/>
      <c r="D312" s="239"/>
      <c r="E312" s="239"/>
    </row>
    <row r="313" spans="1:5">
      <c r="A313" s="239"/>
      <c r="B313" s="239"/>
      <c r="C313" s="239"/>
      <c r="D313" s="239"/>
      <c r="E313" s="239"/>
    </row>
    <row r="314" spans="1:5">
      <c r="A314" s="239"/>
      <c r="B314" s="239"/>
      <c r="C314" s="239"/>
      <c r="D314" s="239"/>
      <c r="E314" s="239"/>
    </row>
    <row r="315" spans="1:5">
      <c r="A315" s="239"/>
      <c r="B315" s="239"/>
      <c r="C315" s="239"/>
      <c r="D315" s="239"/>
      <c r="E315" s="239"/>
    </row>
    <row r="316" spans="1:5">
      <c r="A316" s="239"/>
      <c r="B316" s="239"/>
      <c r="C316" s="239"/>
      <c r="D316" s="239"/>
      <c r="E316" s="239"/>
    </row>
    <row r="317" spans="1:5">
      <c r="A317" s="239"/>
      <c r="B317" s="239"/>
      <c r="C317" s="239"/>
      <c r="D317" s="239"/>
      <c r="E317" s="239"/>
    </row>
    <row r="318" spans="1:5">
      <c r="A318" s="239"/>
      <c r="B318" s="239"/>
      <c r="C318" s="239"/>
      <c r="D318" s="239"/>
      <c r="E318" s="239"/>
    </row>
    <row r="319" spans="1:5">
      <c r="A319" s="239"/>
      <c r="B319" s="239"/>
      <c r="C319" s="239"/>
      <c r="D319" s="239"/>
      <c r="E319" s="239"/>
    </row>
    <row r="320" spans="1:5">
      <c r="A320" s="239"/>
      <c r="B320" s="239"/>
      <c r="C320" s="239"/>
      <c r="D320" s="239"/>
      <c r="E320" s="239"/>
    </row>
    <row r="321" spans="1:5">
      <c r="A321" s="239"/>
      <c r="B321" s="239"/>
      <c r="C321" s="239"/>
      <c r="D321" s="239"/>
      <c r="E321" s="239"/>
    </row>
    <row r="322" spans="1:5">
      <c r="A322" s="239"/>
      <c r="B322" s="239"/>
      <c r="C322" s="239"/>
      <c r="D322" s="239"/>
      <c r="E322" s="239"/>
    </row>
    <row r="323" spans="1:5">
      <c r="A323" s="239"/>
      <c r="B323" s="239"/>
      <c r="C323" s="239"/>
      <c r="D323" s="239"/>
      <c r="E323" s="239"/>
    </row>
    <row r="324" spans="1:5">
      <c r="A324" s="239"/>
      <c r="B324" s="239"/>
      <c r="C324" s="239"/>
      <c r="D324" s="239"/>
      <c r="E324" s="239"/>
    </row>
    <row r="325" spans="1:5">
      <c r="A325" s="239"/>
      <c r="B325" s="239"/>
      <c r="C325" s="239"/>
      <c r="D325" s="239"/>
      <c r="E325" s="239"/>
    </row>
    <row r="326" spans="1:5">
      <c r="A326" s="239"/>
      <c r="B326" s="239"/>
      <c r="C326" s="239"/>
      <c r="D326" s="239"/>
      <c r="E326" s="239"/>
    </row>
    <row r="327" spans="1:5">
      <c r="A327" s="239"/>
      <c r="B327" s="239"/>
      <c r="C327" s="239"/>
      <c r="D327" s="239"/>
      <c r="E327" s="239"/>
    </row>
    <row r="328" spans="1:5">
      <c r="A328" s="239"/>
      <c r="B328" s="239"/>
      <c r="C328" s="239"/>
      <c r="D328" s="239"/>
      <c r="E328" s="239"/>
    </row>
    <row r="329" spans="1:5">
      <c r="A329" s="239"/>
      <c r="B329" s="239"/>
      <c r="C329" s="239"/>
      <c r="D329" s="239"/>
      <c r="E329" s="239"/>
    </row>
    <row r="330" spans="1:5">
      <c r="A330" s="239"/>
      <c r="B330" s="239"/>
      <c r="C330" s="239"/>
      <c r="D330" s="239"/>
      <c r="E330" s="239"/>
    </row>
    <row r="331" spans="1:5">
      <c r="A331" s="239"/>
      <c r="B331" s="239"/>
      <c r="C331" s="239"/>
      <c r="D331" s="239"/>
      <c r="E331" s="239"/>
    </row>
    <row r="332" spans="1:5">
      <c r="A332" s="239"/>
      <c r="B332" s="239"/>
      <c r="C332" s="239"/>
      <c r="D332" s="239"/>
      <c r="E332" s="239"/>
    </row>
    <row r="333" spans="1:5">
      <c r="A333" s="239"/>
      <c r="B333" s="239"/>
      <c r="C333" s="239"/>
      <c r="D333" s="239"/>
      <c r="E333" s="239"/>
    </row>
    <row r="334" spans="1:5">
      <c r="A334" s="239"/>
      <c r="B334" s="239"/>
      <c r="C334" s="239"/>
      <c r="D334" s="239"/>
      <c r="E334" s="239"/>
    </row>
    <row r="335" spans="1:5">
      <c r="A335" s="239"/>
      <c r="B335" s="239"/>
      <c r="C335" s="239"/>
      <c r="D335" s="239"/>
      <c r="E335" s="239"/>
    </row>
    <row r="336" spans="1:5">
      <c r="A336" s="239"/>
      <c r="B336" s="239"/>
      <c r="C336" s="239"/>
      <c r="D336" s="239"/>
      <c r="E336" s="239"/>
    </row>
    <row r="337" spans="1:5">
      <c r="A337" s="239"/>
      <c r="B337" s="239"/>
      <c r="C337" s="239"/>
      <c r="D337" s="239"/>
      <c r="E337" s="239"/>
    </row>
    <row r="338" spans="1:5">
      <c r="A338" s="239"/>
      <c r="B338" s="239"/>
      <c r="C338" s="239"/>
      <c r="D338" s="239"/>
      <c r="E338" s="239"/>
    </row>
    <row r="339" spans="1:5">
      <c r="A339" s="239"/>
      <c r="B339" s="239"/>
      <c r="C339" s="239"/>
      <c r="D339" s="239"/>
      <c r="E339" s="239"/>
    </row>
    <row r="340" spans="1:5">
      <c r="A340" s="239"/>
      <c r="B340" s="239"/>
      <c r="C340" s="239"/>
      <c r="D340" s="239"/>
      <c r="E340" s="239"/>
    </row>
    <row r="341" spans="1:5">
      <c r="A341" s="239"/>
      <c r="B341" s="239"/>
      <c r="C341" s="239"/>
      <c r="D341" s="239"/>
      <c r="E341" s="239"/>
    </row>
    <row r="342" spans="1:5">
      <c r="A342" s="239"/>
      <c r="B342" s="239"/>
      <c r="C342" s="239"/>
      <c r="D342" s="239"/>
      <c r="E342" s="239"/>
    </row>
    <row r="343" spans="1:5">
      <c r="A343" s="239"/>
      <c r="B343" s="239"/>
      <c r="C343" s="239"/>
      <c r="D343" s="239"/>
      <c r="E343" s="239"/>
    </row>
    <row r="344" spans="1:5">
      <c r="A344" s="239"/>
      <c r="B344" s="239"/>
      <c r="C344" s="239"/>
      <c r="D344" s="239"/>
      <c r="E344" s="239"/>
    </row>
    <row r="345" spans="1:5">
      <c r="A345" s="239"/>
      <c r="B345" s="239"/>
      <c r="C345" s="239"/>
      <c r="D345" s="239"/>
      <c r="E345" s="239"/>
    </row>
    <row r="346" spans="1:5">
      <c r="A346" s="239"/>
      <c r="B346" s="239"/>
      <c r="C346" s="239"/>
      <c r="D346" s="239"/>
      <c r="E346" s="239"/>
    </row>
    <row r="347" spans="1:5">
      <c r="A347" s="239"/>
      <c r="B347" s="239"/>
      <c r="C347" s="239"/>
      <c r="D347" s="239"/>
      <c r="E347" s="239"/>
    </row>
    <row r="348" spans="1:5">
      <c r="A348" s="239"/>
      <c r="B348" s="239"/>
      <c r="C348" s="239"/>
      <c r="D348" s="239"/>
      <c r="E348" s="239"/>
    </row>
    <row r="349" spans="1:5">
      <c r="A349" s="239"/>
      <c r="B349" s="239"/>
      <c r="C349" s="239"/>
      <c r="D349" s="239"/>
      <c r="E349" s="239"/>
    </row>
    <row r="350" spans="1:5">
      <c r="A350" s="239"/>
      <c r="B350" s="239"/>
      <c r="C350" s="239"/>
      <c r="D350" s="239"/>
      <c r="E350" s="239"/>
    </row>
    <row r="351" spans="1:5">
      <c r="A351" s="239"/>
      <c r="B351" s="239"/>
      <c r="C351" s="239"/>
      <c r="D351" s="239"/>
      <c r="E351" s="239"/>
    </row>
    <row r="352" spans="1:5">
      <c r="A352" s="239"/>
      <c r="B352" s="239"/>
      <c r="C352" s="239"/>
      <c r="D352" s="239"/>
      <c r="E352" s="239"/>
    </row>
    <row r="353" spans="1:5">
      <c r="A353" s="239"/>
      <c r="B353" s="239"/>
      <c r="C353" s="239"/>
      <c r="D353" s="239"/>
      <c r="E353" s="239"/>
    </row>
    <row r="354" spans="1:5">
      <c r="A354" s="239"/>
      <c r="B354" s="239"/>
      <c r="C354" s="239"/>
      <c r="D354" s="239"/>
      <c r="E354" s="239"/>
    </row>
    <row r="355" spans="1:5">
      <c r="A355" s="239"/>
      <c r="B355" s="239"/>
      <c r="C355" s="239"/>
      <c r="D355" s="239"/>
      <c r="E355" s="239"/>
    </row>
    <row r="356" spans="1:5">
      <c r="A356" s="239"/>
      <c r="B356" s="239"/>
      <c r="C356" s="239"/>
      <c r="D356" s="239"/>
      <c r="E356" s="239"/>
    </row>
    <row r="357" spans="1:5">
      <c r="A357" s="239"/>
      <c r="B357" s="239"/>
      <c r="C357" s="239"/>
      <c r="D357" s="239"/>
      <c r="E357" s="239"/>
    </row>
    <row r="358" spans="1:5">
      <c r="A358" s="239"/>
      <c r="B358" s="239"/>
      <c r="C358" s="239"/>
      <c r="D358" s="239"/>
      <c r="E358" s="239"/>
    </row>
    <row r="359" spans="1:5">
      <c r="A359" s="239"/>
      <c r="B359" s="239"/>
      <c r="C359" s="239"/>
      <c r="D359" s="239"/>
      <c r="E359" s="239"/>
    </row>
    <row r="360" spans="1:5">
      <c r="A360" s="239"/>
      <c r="B360" s="239"/>
      <c r="C360" s="239"/>
      <c r="D360" s="239"/>
      <c r="E360" s="239"/>
    </row>
    <row r="361" spans="1:5">
      <c r="A361" s="239"/>
      <c r="B361" s="239"/>
      <c r="C361" s="239"/>
      <c r="D361" s="239"/>
      <c r="E361" s="239"/>
    </row>
    <row r="362" spans="1:5">
      <c r="A362" s="239"/>
      <c r="B362" s="239"/>
      <c r="C362" s="239"/>
      <c r="D362" s="239"/>
      <c r="E362" s="239"/>
    </row>
    <row r="363" spans="1:5">
      <c r="A363" s="239"/>
      <c r="B363" s="239"/>
      <c r="C363" s="239"/>
      <c r="D363" s="239"/>
      <c r="E363" s="239"/>
    </row>
    <row r="364" spans="1:5">
      <c r="A364" s="239"/>
      <c r="B364" s="239"/>
      <c r="C364" s="239"/>
      <c r="D364" s="239"/>
      <c r="E364" s="239"/>
    </row>
    <row r="365" spans="1:5">
      <c r="A365" s="239"/>
      <c r="B365" s="239"/>
      <c r="C365" s="239"/>
      <c r="D365" s="239"/>
      <c r="E365" s="239"/>
    </row>
    <row r="366" spans="1:5">
      <c r="A366" s="239"/>
      <c r="B366" s="239"/>
      <c r="C366" s="239"/>
      <c r="D366" s="239"/>
      <c r="E366" s="239"/>
    </row>
    <row r="367" spans="1:5">
      <c r="A367" s="239"/>
      <c r="B367" s="239"/>
      <c r="C367" s="239"/>
      <c r="D367" s="239"/>
      <c r="E367" s="239"/>
    </row>
    <row r="368" spans="1:5">
      <c r="A368" s="239"/>
      <c r="B368" s="239"/>
      <c r="C368" s="239"/>
      <c r="D368" s="239"/>
      <c r="E368" s="239"/>
    </row>
    <row r="369" spans="1:5">
      <c r="A369" s="239"/>
      <c r="B369" s="239"/>
      <c r="C369" s="239"/>
      <c r="D369" s="239"/>
      <c r="E369" s="239"/>
    </row>
    <row r="370" spans="1:5">
      <c r="A370" s="239"/>
      <c r="B370" s="239"/>
      <c r="C370" s="239"/>
      <c r="D370" s="239"/>
      <c r="E370" s="239"/>
    </row>
    <row r="371" spans="1:5">
      <c r="A371" s="239"/>
      <c r="B371" s="239"/>
      <c r="C371" s="239"/>
      <c r="D371" s="239"/>
      <c r="E371" s="239"/>
    </row>
    <row r="372" spans="1:5">
      <c r="A372" s="239"/>
      <c r="B372" s="239"/>
      <c r="C372" s="239"/>
      <c r="D372" s="239"/>
      <c r="E372" s="239"/>
    </row>
    <row r="373" spans="1:5">
      <c r="A373" s="239"/>
      <c r="B373" s="239"/>
      <c r="C373" s="239"/>
      <c r="D373" s="239"/>
      <c r="E373" s="239"/>
    </row>
    <row r="374" spans="1:5">
      <c r="A374" s="239"/>
      <c r="B374" s="239"/>
      <c r="C374" s="239"/>
      <c r="D374" s="239"/>
      <c r="E374" s="239"/>
    </row>
    <row r="375" spans="1:5">
      <c r="A375" s="239"/>
      <c r="B375" s="239"/>
      <c r="C375" s="239"/>
      <c r="D375" s="239"/>
      <c r="E375" s="239"/>
    </row>
    <row r="376" spans="1:5">
      <c r="A376" s="239"/>
      <c r="B376" s="239"/>
      <c r="C376" s="239"/>
      <c r="D376" s="239"/>
      <c r="E376" s="239"/>
    </row>
    <row r="377" spans="1:5">
      <c r="A377" s="239"/>
      <c r="B377" s="239"/>
      <c r="C377" s="239"/>
      <c r="D377" s="239"/>
      <c r="E377" s="239"/>
    </row>
    <row r="378" spans="1:5">
      <c r="A378" s="239"/>
      <c r="B378" s="239"/>
      <c r="C378" s="239"/>
      <c r="D378" s="239"/>
      <c r="E378" s="239"/>
    </row>
    <row r="379" spans="1:5">
      <c r="A379" s="239"/>
      <c r="B379" s="239"/>
      <c r="C379" s="239"/>
      <c r="D379" s="239"/>
      <c r="E379" s="239"/>
    </row>
    <row r="380" spans="1:5">
      <c r="A380" s="239"/>
      <c r="B380" s="239"/>
      <c r="C380" s="239"/>
      <c r="D380" s="239"/>
      <c r="E380" s="239"/>
    </row>
    <row r="381" spans="1:5">
      <c r="A381" s="239"/>
      <c r="B381" s="239"/>
      <c r="C381" s="239"/>
      <c r="D381" s="239"/>
      <c r="E381" s="239"/>
    </row>
    <row r="382" spans="1:5">
      <c r="A382" s="239"/>
      <c r="B382" s="239"/>
      <c r="C382" s="239"/>
      <c r="D382" s="239"/>
      <c r="E382" s="239"/>
    </row>
    <row r="383" spans="1:5">
      <c r="A383" s="239"/>
      <c r="B383" s="239"/>
      <c r="C383" s="239"/>
      <c r="D383" s="239"/>
      <c r="E383" s="239"/>
    </row>
    <row r="384" spans="1:5">
      <c r="A384" s="239"/>
      <c r="B384" s="239"/>
      <c r="C384" s="239"/>
      <c r="D384" s="239"/>
      <c r="E384" s="239"/>
    </row>
    <row r="385" spans="1:5">
      <c r="A385" s="239"/>
      <c r="B385" s="239"/>
      <c r="C385" s="239"/>
      <c r="D385" s="239"/>
      <c r="E385" s="239"/>
    </row>
    <row r="386" spans="1:5">
      <c r="A386" s="239"/>
      <c r="B386" s="239"/>
      <c r="C386" s="239"/>
      <c r="D386" s="239"/>
      <c r="E386" s="239"/>
    </row>
    <row r="387" spans="1:5">
      <c r="A387" s="239"/>
      <c r="B387" s="239"/>
      <c r="C387" s="239"/>
      <c r="D387" s="239"/>
      <c r="E387" s="239"/>
    </row>
    <row r="388" spans="1:5">
      <c r="A388" s="239"/>
      <c r="B388" s="239"/>
      <c r="C388" s="239"/>
      <c r="D388" s="239"/>
      <c r="E388" s="239"/>
    </row>
    <row r="389" spans="1:5">
      <c r="A389" s="239"/>
      <c r="B389" s="239"/>
      <c r="C389" s="239"/>
      <c r="D389" s="239"/>
      <c r="E389" s="239"/>
    </row>
    <row r="390" spans="1:5">
      <c r="A390" s="239"/>
      <c r="B390" s="239"/>
      <c r="C390" s="239"/>
      <c r="D390" s="239"/>
      <c r="E390" s="239"/>
    </row>
    <row r="391" spans="1:5">
      <c r="A391" s="239"/>
      <c r="B391" s="239"/>
      <c r="C391" s="239"/>
      <c r="D391" s="239"/>
      <c r="E391" s="239"/>
    </row>
    <row r="392" spans="1:5">
      <c r="A392" s="239"/>
      <c r="B392" s="239"/>
      <c r="C392" s="239"/>
      <c r="D392" s="239"/>
      <c r="E392" s="239"/>
    </row>
    <row r="393" spans="1:5">
      <c r="A393" s="239"/>
      <c r="B393" s="239"/>
      <c r="C393" s="239"/>
      <c r="D393" s="239"/>
      <c r="E393" s="239"/>
    </row>
    <row r="394" spans="1:5">
      <c r="A394" s="239"/>
      <c r="B394" s="239"/>
      <c r="C394" s="239"/>
      <c r="D394" s="239"/>
      <c r="E394" s="239"/>
    </row>
    <row r="395" spans="1:5">
      <c r="A395" s="239"/>
      <c r="B395" s="239"/>
      <c r="C395" s="239"/>
      <c r="D395" s="239"/>
      <c r="E395" s="239"/>
    </row>
    <row r="396" spans="1:5">
      <c r="A396" s="239"/>
      <c r="B396" s="239"/>
      <c r="C396" s="239"/>
      <c r="D396" s="239"/>
      <c r="E396" s="239"/>
    </row>
    <row r="397" spans="1:5">
      <c r="A397" s="239"/>
      <c r="B397" s="239"/>
      <c r="C397" s="239"/>
      <c r="D397" s="239"/>
      <c r="E397" s="239"/>
    </row>
    <row r="398" spans="1:5">
      <c r="A398" s="239"/>
      <c r="B398" s="239"/>
      <c r="C398" s="239"/>
      <c r="D398" s="239"/>
      <c r="E398" s="239"/>
    </row>
    <row r="399" spans="1:5">
      <c r="A399" s="239"/>
      <c r="B399" s="239"/>
      <c r="C399" s="239"/>
      <c r="D399" s="239"/>
      <c r="E399" s="239"/>
    </row>
    <row r="400" spans="1:5">
      <c r="A400" s="239"/>
      <c r="B400" s="239"/>
      <c r="C400" s="239"/>
      <c r="D400" s="239"/>
      <c r="E400" s="239"/>
    </row>
    <row r="401" spans="1:5">
      <c r="A401" s="239"/>
      <c r="B401" s="239"/>
      <c r="C401" s="239"/>
      <c r="D401" s="239"/>
      <c r="E401" s="239"/>
    </row>
    <row r="402" spans="1:5">
      <c r="A402" s="239"/>
      <c r="B402" s="239"/>
      <c r="C402" s="239"/>
      <c r="D402" s="239"/>
      <c r="E402" s="239"/>
    </row>
    <row r="403" spans="1:5">
      <c r="A403" s="239"/>
      <c r="B403" s="239"/>
      <c r="C403" s="239"/>
      <c r="D403" s="239"/>
      <c r="E403" s="239"/>
    </row>
    <row r="404" spans="1:5">
      <c r="A404" s="239"/>
      <c r="B404" s="239"/>
      <c r="C404" s="239"/>
      <c r="D404" s="239"/>
      <c r="E404" s="239"/>
    </row>
    <row r="405" spans="1:5">
      <c r="A405" s="239"/>
      <c r="B405" s="239"/>
      <c r="C405" s="239"/>
      <c r="D405" s="239"/>
      <c r="E405" s="239"/>
    </row>
    <row r="406" spans="1:5">
      <c r="A406" s="239"/>
      <c r="B406" s="239"/>
      <c r="C406" s="239"/>
      <c r="D406" s="239"/>
      <c r="E406" s="239"/>
    </row>
    <row r="407" spans="1:5">
      <c r="A407" s="239"/>
      <c r="B407" s="239"/>
      <c r="C407" s="239"/>
      <c r="D407" s="239"/>
      <c r="E407" s="239"/>
    </row>
    <row r="408" spans="1:5">
      <c r="A408" s="239"/>
      <c r="B408" s="239"/>
      <c r="C408" s="239"/>
      <c r="D408" s="239"/>
      <c r="E408" s="239"/>
    </row>
    <row r="409" spans="1:5">
      <c r="A409" s="239"/>
      <c r="B409" s="239"/>
      <c r="C409" s="239"/>
      <c r="D409" s="239"/>
      <c r="E409" s="239"/>
    </row>
    <row r="410" spans="1:5">
      <c r="A410" s="239"/>
      <c r="B410" s="239"/>
      <c r="C410" s="239"/>
      <c r="D410" s="239"/>
      <c r="E410" s="239"/>
    </row>
    <row r="411" spans="1:5">
      <c r="A411" s="239"/>
      <c r="B411" s="239"/>
      <c r="C411" s="239"/>
      <c r="D411" s="239"/>
      <c r="E411" s="239"/>
    </row>
    <row r="412" spans="1:5">
      <c r="A412" s="239"/>
      <c r="B412" s="239"/>
      <c r="C412" s="239"/>
      <c r="D412" s="239"/>
      <c r="E412" s="239"/>
    </row>
    <row r="413" spans="1:5">
      <c r="A413" s="239"/>
      <c r="B413" s="239"/>
      <c r="C413" s="239"/>
      <c r="D413" s="239"/>
      <c r="E413" s="239"/>
    </row>
    <row r="414" spans="1:5">
      <c r="A414" s="239"/>
      <c r="B414" s="239"/>
      <c r="C414" s="239"/>
      <c r="D414" s="239"/>
      <c r="E414" s="239"/>
    </row>
    <row r="415" spans="1:5">
      <c r="A415" s="239"/>
      <c r="B415" s="239"/>
      <c r="C415" s="239"/>
      <c r="D415" s="239"/>
      <c r="E415" s="239"/>
    </row>
    <row r="416" spans="1:5">
      <c r="A416" s="239"/>
      <c r="B416" s="239"/>
      <c r="C416" s="239"/>
      <c r="D416" s="239"/>
      <c r="E416" s="239"/>
    </row>
    <row r="417" spans="1:5">
      <c r="A417" s="239"/>
      <c r="B417" s="239"/>
      <c r="C417" s="239"/>
      <c r="D417" s="239"/>
      <c r="E417" s="239"/>
    </row>
    <row r="418" spans="1:5">
      <c r="A418" s="239"/>
      <c r="B418" s="239"/>
      <c r="C418" s="239"/>
      <c r="D418" s="239"/>
      <c r="E418" s="239"/>
    </row>
    <row r="419" spans="1:5">
      <c r="A419" s="239"/>
      <c r="B419" s="239"/>
      <c r="C419" s="239"/>
      <c r="D419" s="239"/>
      <c r="E419" s="239"/>
    </row>
    <row r="420" spans="1:5">
      <c r="A420" s="239"/>
      <c r="B420" s="239"/>
      <c r="C420" s="239"/>
      <c r="D420" s="239"/>
      <c r="E420" s="239"/>
    </row>
    <row r="421" spans="1:5">
      <c r="A421" s="239"/>
      <c r="B421" s="239"/>
      <c r="C421" s="239"/>
      <c r="D421" s="239"/>
      <c r="E421" s="239"/>
    </row>
    <row r="422" spans="1:5">
      <c r="A422" s="239"/>
      <c r="B422" s="239"/>
      <c r="C422" s="239"/>
      <c r="D422" s="239"/>
      <c r="E422" s="239"/>
    </row>
    <row r="423" spans="1:5">
      <c r="A423" s="239"/>
      <c r="B423" s="239"/>
      <c r="C423" s="239"/>
      <c r="D423" s="239"/>
      <c r="E423" s="239"/>
    </row>
    <row r="424" spans="1:5">
      <c r="A424" s="239"/>
      <c r="B424" s="239"/>
      <c r="C424" s="239"/>
      <c r="D424" s="239"/>
      <c r="E424" s="239"/>
    </row>
    <row r="425" spans="1:5">
      <c r="A425" s="239"/>
      <c r="B425" s="239"/>
      <c r="C425" s="239"/>
      <c r="D425" s="239"/>
      <c r="E425" s="239"/>
    </row>
    <row r="426" spans="1:5">
      <c r="A426" s="239"/>
      <c r="B426" s="239"/>
      <c r="C426" s="239"/>
      <c r="D426" s="239"/>
      <c r="E426" s="239"/>
    </row>
    <row r="427" spans="1:5">
      <c r="A427" s="239"/>
      <c r="B427" s="239"/>
      <c r="C427" s="239"/>
      <c r="D427" s="239"/>
      <c r="E427" s="239"/>
    </row>
    <row r="428" spans="1:5">
      <c r="A428" s="239"/>
      <c r="B428" s="239"/>
      <c r="C428" s="239"/>
      <c r="D428" s="239"/>
      <c r="E428" s="239"/>
    </row>
    <row r="429" spans="1:5">
      <c r="A429" s="239"/>
      <c r="B429" s="239"/>
      <c r="C429" s="239"/>
      <c r="D429" s="239"/>
      <c r="E429" s="239"/>
    </row>
    <row r="430" spans="1:5">
      <c r="A430" s="239"/>
      <c r="B430" s="239"/>
      <c r="C430" s="239"/>
      <c r="D430" s="239"/>
      <c r="E430" s="239"/>
    </row>
    <row r="431" spans="1:5">
      <c r="A431" s="239"/>
      <c r="B431" s="239"/>
      <c r="C431" s="239"/>
      <c r="D431" s="239"/>
      <c r="E431" s="239"/>
    </row>
    <row r="432" spans="1:5">
      <c r="A432" s="239"/>
      <c r="B432" s="239"/>
      <c r="C432" s="239"/>
      <c r="D432" s="239"/>
      <c r="E432" s="239"/>
    </row>
    <row r="433" spans="1:5">
      <c r="A433" s="239"/>
      <c r="B433" s="239"/>
      <c r="C433" s="239"/>
      <c r="D433" s="239"/>
      <c r="E433" s="239"/>
    </row>
    <row r="434" spans="1:5">
      <c r="A434" s="239"/>
      <c r="B434" s="239"/>
      <c r="C434" s="239"/>
      <c r="D434" s="239"/>
      <c r="E434" s="239"/>
    </row>
    <row r="435" spans="1:5">
      <c r="A435" s="239"/>
      <c r="B435" s="239"/>
      <c r="C435" s="239"/>
      <c r="D435" s="239"/>
      <c r="E435" s="239"/>
    </row>
    <row r="436" spans="1:5">
      <c r="A436" s="239"/>
      <c r="B436" s="239"/>
      <c r="C436" s="239"/>
      <c r="D436" s="239"/>
      <c r="E436" s="239"/>
    </row>
    <row r="437" spans="1:5">
      <c r="A437" s="239"/>
      <c r="B437" s="239"/>
      <c r="C437" s="239"/>
      <c r="D437" s="239"/>
      <c r="E437" s="239"/>
    </row>
    <row r="438" spans="1:5">
      <c r="A438" s="239"/>
      <c r="B438" s="239"/>
      <c r="C438" s="239"/>
      <c r="D438" s="239"/>
      <c r="E438" s="239"/>
    </row>
    <row r="439" spans="1:5">
      <c r="A439" s="239"/>
      <c r="B439" s="239"/>
      <c r="C439" s="239"/>
      <c r="D439" s="239"/>
      <c r="E439" s="239"/>
    </row>
    <row r="440" spans="1:5">
      <c r="A440" s="239"/>
      <c r="B440" s="239"/>
      <c r="C440" s="239"/>
      <c r="D440" s="239"/>
      <c r="E440" s="239"/>
    </row>
    <row r="441" spans="1:5">
      <c r="A441" s="239"/>
      <c r="B441" s="239"/>
      <c r="C441" s="239"/>
      <c r="D441" s="239"/>
      <c r="E441" s="239"/>
    </row>
    <row r="442" spans="1:5">
      <c r="A442" s="239"/>
      <c r="B442" s="239"/>
      <c r="C442" s="239"/>
      <c r="D442" s="239"/>
      <c r="E442" s="239"/>
    </row>
    <row r="443" spans="1:5">
      <c r="A443" s="239"/>
      <c r="B443" s="239"/>
      <c r="C443" s="239"/>
      <c r="D443" s="239"/>
      <c r="E443" s="239"/>
    </row>
    <row r="444" spans="1:5">
      <c r="A444" s="239"/>
      <c r="B444" s="239"/>
      <c r="C444" s="239"/>
      <c r="D444" s="239"/>
      <c r="E444" s="239"/>
    </row>
    <row r="445" spans="1:5">
      <c r="A445" s="239"/>
      <c r="B445" s="239"/>
      <c r="C445" s="239"/>
      <c r="D445" s="239"/>
      <c r="E445" s="239"/>
    </row>
    <row r="446" spans="1:5">
      <c r="A446" s="239"/>
      <c r="B446" s="239"/>
      <c r="C446" s="239"/>
      <c r="D446" s="239"/>
      <c r="E446" s="239"/>
    </row>
    <row r="447" spans="1:5">
      <c r="A447" s="239"/>
      <c r="B447" s="239"/>
      <c r="C447" s="239"/>
      <c r="D447" s="239"/>
      <c r="E447" s="239"/>
    </row>
    <row r="448" spans="1:5">
      <c r="A448" s="239"/>
      <c r="B448" s="239"/>
      <c r="C448" s="239"/>
      <c r="D448" s="239"/>
      <c r="E448" s="239"/>
    </row>
    <row r="449" spans="1:5">
      <c r="A449" s="239"/>
      <c r="B449" s="239"/>
      <c r="C449" s="239"/>
      <c r="D449" s="239"/>
      <c r="E449" s="239"/>
    </row>
    <row r="450" spans="1:5">
      <c r="A450" s="239"/>
      <c r="B450" s="239"/>
      <c r="C450" s="239"/>
      <c r="D450" s="239"/>
      <c r="E450" s="239"/>
    </row>
    <row r="451" spans="1:5">
      <c r="A451" s="239"/>
      <c r="B451" s="239"/>
      <c r="C451" s="239"/>
      <c r="D451" s="239"/>
      <c r="E451" s="239"/>
    </row>
    <row r="452" spans="1:5">
      <c r="A452" s="239"/>
      <c r="B452" s="239"/>
      <c r="C452" s="239"/>
      <c r="D452" s="239"/>
      <c r="E452" s="239"/>
    </row>
    <row r="453" spans="1:5">
      <c r="A453" s="239"/>
      <c r="B453" s="239"/>
      <c r="C453" s="239"/>
      <c r="D453" s="239"/>
      <c r="E453" s="239"/>
    </row>
    <row r="454" spans="1:5">
      <c r="A454" s="239"/>
      <c r="B454" s="239"/>
      <c r="C454" s="239"/>
      <c r="D454" s="239"/>
      <c r="E454" s="239"/>
    </row>
    <row r="455" spans="1:5">
      <c r="A455" s="239"/>
      <c r="B455" s="239"/>
      <c r="C455" s="239"/>
      <c r="D455" s="239"/>
      <c r="E455" s="239"/>
    </row>
    <row r="456" spans="1:5">
      <c r="A456" s="239"/>
      <c r="B456" s="239"/>
      <c r="C456" s="239"/>
      <c r="D456" s="239"/>
      <c r="E456" s="239"/>
    </row>
    <row r="457" spans="1:5">
      <c r="A457" s="239"/>
      <c r="B457" s="239"/>
      <c r="C457" s="239"/>
      <c r="D457" s="239"/>
      <c r="E457" s="239"/>
    </row>
    <row r="458" spans="1:5">
      <c r="A458" s="239"/>
      <c r="B458" s="239"/>
      <c r="C458" s="239"/>
      <c r="D458" s="239"/>
      <c r="E458" s="239"/>
    </row>
    <row r="459" spans="1:5">
      <c r="A459" s="239"/>
      <c r="B459" s="239"/>
      <c r="C459" s="239"/>
      <c r="D459" s="239"/>
      <c r="E459" s="239"/>
    </row>
    <row r="460" spans="1:5">
      <c r="A460" s="239"/>
      <c r="B460" s="239"/>
      <c r="C460" s="239"/>
      <c r="D460" s="239"/>
      <c r="E460" s="239"/>
    </row>
    <row r="461" spans="1:5">
      <c r="A461" s="239"/>
      <c r="B461" s="239"/>
      <c r="C461" s="239"/>
      <c r="D461" s="239"/>
      <c r="E461" s="239"/>
    </row>
    <row r="462" spans="1:5">
      <c r="A462" s="239"/>
      <c r="B462" s="239"/>
      <c r="C462" s="239"/>
      <c r="D462" s="239"/>
      <c r="E462" s="239"/>
    </row>
    <row r="463" spans="1:5">
      <c r="A463" s="239"/>
      <c r="B463" s="239"/>
      <c r="C463" s="239"/>
      <c r="D463" s="239"/>
      <c r="E463" s="239"/>
    </row>
    <row r="464" spans="1:5">
      <c r="A464" s="239"/>
      <c r="B464" s="239"/>
      <c r="C464" s="239"/>
      <c r="D464" s="239"/>
      <c r="E464" s="239"/>
    </row>
    <row r="465" spans="1:5">
      <c r="A465" s="239"/>
      <c r="B465" s="239"/>
      <c r="C465" s="239"/>
      <c r="D465" s="239"/>
      <c r="E465" s="239"/>
    </row>
    <row r="466" spans="1:5">
      <c r="A466" s="239"/>
      <c r="B466" s="239"/>
      <c r="C466" s="239"/>
      <c r="D466" s="239"/>
      <c r="E466" s="239"/>
    </row>
    <row r="467" spans="1:5">
      <c r="A467" s="239"/>
      <c r="B467" s="239"/>
      <c r="C467" s="239"/>
      <c r="D467" s="239"/>
      <c r="E467" s="239"/>
    </row>
    <row r="468" spans="1:5">
      <c r="A468" s="239"/>
      <c r="B468" s="239"/>
      <c r="C468" s="239"/>
      <c r="D468" s="239"/>
      <c r="E468" s="239"/>
    </row>
    <row r="469" spans="1:5">
      <c r="A469" s="239"/>
      <c r="B469" s="239"/>
      <c r="C469" s="239"/>
      <c r="D469" s="239"/>
      <c r="E469" s="239"/>
    </row>
    <row r="470" spans="1:5">
      <c r="A470" s="239"/>
      <c r="B470" s="239"/>
      <c r="C470" s="239"/>
      <c r="D470" s="239"/>
      <c r="E470" s="239"/>
    </row>
    <row r="471" spans="1:5">
      <c r="A471" s="239"/>
      <c r="B471" s="239"/>
      <c r="C471" s="239"/>
      <c r="D471" s="239"/>
      <c r="E471" s="239"/>
    </row>
    <row r="472" spans="1:5">
      <c r="A472" s="239"/>
      <c r="B472" s="239"/>
      <c r="C472" s="239"/>
      <c r="D472" s="239"/>
      <c r="E472" s="239"/>
    </row>
    <row r="473" spans="1:5">
      <c r="A473" s="239"/>
      <c r="B473" s="239"/>
      <c r="C473" s="239"/>
      <c r="D473" s="239"/>
      <c r="E473" s="239"/>
    </row>
    <row r="474" spans="1:5">
      <c r="A474" s="239"/>
      <c r="B474" s="239"/>
      <c r="C474" s="239"/>
      <c r="D474" s="239"/>
      <c r="E474" s="239"/>
    </row>
    <row r="475" spans="1:5">
      <c r="A475" s="239"/>
      <c r="B475" s="239"/>
      <c r="C475" s="239"/>
      <c r="D475" s="239"/>
      <c r="E475" s="239"/>
    </row>
    <row r="476" spans="1:5">
      <c r="A476" s="239"/>
      <c r="B476" s="239"/>
      <c r="C476" s="239"/>
      <c r="D476" s="239"/>
      <c r="E476" s="239"/>
    </row>
    <row r="477" spans="1:5">
      <c r="A477" s="239"/>
      <c r="B477" s="239"/>
      <c r="C477" s="239"/>
      <c r="D477" s="239"/>
      <c r="E477" s="239"/>
    </row>
    <row r="478" spans="1:5">
      <c r="A478" s="239"/>
      <c r="B478" s="239"/>
      <c r="C478" s="239"/>
      <c r="D478" s="239"/>
      <c r="E478" s="239"/>
    </row>
    <row r="479" spans="1:5">
      <c r="A479" s="239"/>
      <c r="B479" s="239"/>
      <c r="C479" s="239"/>
      <c r="D479" s="239"/>
      <c r="E479" s="239"/>
    </row>
    <row r="480" spans="1:5">
      <c r="A480" s="239"/>
      <c r="B480" s="239"/>
      <c r="C480" s="239"/>
      <c r="D480" s="239"/>
      <c r="E480" s="239"/>
    </row>
    <row r="481" spans="1:5">
      <c r="A481" s="239"/>
      <c r="B481" s="239"/>
      <c r="C481" s="239"/>
      <c r="D481" s="239"/>
      <c r="E481" s="239"/>
    </row>
    <row r="482" spans="1:5">
      <c r="A482" s="239"/>
      <c r="B482" s="239"/>
      <c r="C482" s="239"/>
      <c r="D482" s="239"/>
      <c r="E482" s="239"/>
    </row>
    <row r="483" spans="1:5">
      <c r="A483" s="239"/>
      <c r="B483" s="239"/>
      <c r="C483" s="239"/>
      <c r="D483" s="239"/>
      <c r="E483" s="239"/>
    </row>
    <row r="484" spans="1:5">
      <c r="A484" s="239"/>
      <c r="B484" s="239"/>
      <c r="C484" s="239"/>
      <c r="D484" s="239"/>
      <c r="E484" s="239"/>
    </row>
    <row r="485" spans="1:5">
      <c r="A485" s="239"/>
      <c r="B485" s="239"/>
      <c r="C485" s="239"/>
      <c r="D485" s="239"/>
      <c r="E485" s="239"/>
    </row>
    <row r="486" spans="1:5">
      <c r="A486" s="239"/>
      <c r="B486" s="239"/>
      <c r="C486" s="239"/>
      <c r="D486" s="239"/>
      <c r="E486" s="239"/>
    </row>
    <row r="487" spans="1:5">
      <c r="A487" s="239"/>
      <c r="B487" s="239"/>
      <c r="C487" s="239"/>
      <c r="D487" s="239"/>
      <c r="E487" s="239"/>
    </row>
    <row r="488" spans="1:5">
      <c r="A488" s="239"/>
      <c r="B488" s="239"/>
      <c r="C488" s="239"/>
      <c r="D488" s="239"/>
      <c r="E488" s="239"/>
    </row>
    <row r="489" spans="1:5">
      <c r="A489" s="239"/>
      <c r="B489" s="239"/>
      <c r="C489" s="239"/>
      <c r="D489" s="239"/>
      <c r="E489" s="239"/>
    </row>
    <row r="490" spans="1:5">
      <c r="A490" s="239"/>
      <c r="B490" s="239"/>
      <c r="C490" s="239"/>
      <c r="D490" s="239"/>
      <c r="E490" s="239"/>
    </row>
    <row r="491" spans="1:5">
      <c r="A491" s="239"/>
      <c r="B491" s="239"/>
      <c r="C491" s="239"/>
      <c r="D491" s="239"/>
      <c r="E491" s="239"/>
    </row>
    <row r="492" spans="1:5">
      <c r="A492" s="239"/>
      <c r="B492" s="239"/>
      <c r="C492" s="239"/>
      <c r="D492" s="239"/>
      <c r="E492" s="239"/>
    </row>
    <row r="493" spans="1:5">
      <c r="A493" s="239"/>
      <c r="B493" s="239"/>
      <c r="C493" s="239"/>
      <c r="D493" s="239"/>
      <c r="E493" s="239"/>
    </row>
    <row r="494" spans="1:5">
      <c r="A494" s="239"/>
      <c r="B494" s="239"/>
      <c r="C494" s="239"/>
      <c r="D494" s="239"/>
      <c r="E494" s="239"/>
    </row>
    <row r="495" spans="1:5">
      <c r="A495" s="239"/>
      <c r="B495" s="239"/>
      <c r="C495" s="239"/>
      <c r="D495" s="239"/>
      <c r="E495" s="239"/>
    </row>
    <row r="496" spans="1:5">
      <c r="A496" s="239"/>
      <c r="B496" s="239"/>
      <c r="C496" s="239"/>
      <c r="D496" s="239"/>
      <c r="E496" s="239"/>
    </row>
    <row r="497" spans="1:5">
      <c r="A497" s="239"/>
      <c r="B497" s="239"/>
      <c r="C497" s="239"/>
      <c r="D497" s="239"/>
      <c r="E497" s="239"/>
    </row>
    <row r="498" spans="1:5">
      <c r="A498" s="239"/>
      <c r="B498" s="239"/>
      <c r="C498" s="239"/>
      <c r="D498" s="239"/>
      <c r="E498" s="239"/>
    </row>
    <row r="499" spans="1:5">
      <c r="A499" s="239"/>
      <c r="B499" s="239"/>
      <c r="C499" s="239"/>
      <c r="D499" s="239"/>
      <c r="E499" s="239"/>
    </row>
    <row r="500" spans="1:5">
      <c r="A500" s="239"/>
      <c r="B500" s="239"/>
      <c r="C500" s="239"/>
      <c r="D500" s="239"/>
      <c r="E500" s="239"/>
    </row>
    <row r="501" spans="1:5">
      <c r="A501" s="239"/>
      <c r="B501" s="239"/>
      <c r="C501" s="239"/>
      <c r="D501" s="239"/>
      <c r="E501" s="239"/>
    </row>
    <row r="502" spans="1:5">
      <c r="A502" s="652" t="s">
        <v>667</v>
      </c>
      <c r="B502" s="652"/>
      <c r="C502" s="652"/>
      <c r="D502" s="652"/>
      <c r="E502" s="652"/>
    </row>
  </sheetData>
  <mergeCells count="3">
    <mergeCell ref="A502:E502"/>
    <mergeCell ref="A3:E3"/>
    <mergeCell ref="A2:E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7" sqref="C7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410" customFormat="1" ht="25.5" customHeight="1">
      <c r="A2" s="657" t="s">
        <v>671</v>
      </c>
      <c r="B2" s="658"/>
      <c r="C2" s="658"/>
      <c r="D2" s="658"/>
      <c r="E2" s="658"/>
      <c r="F2" s="658"/>
      <c r="G2" s="659"/>
    </row>
    <row r="3" spans="1:7" s="410" customFormat="1">
      <c r="A3" s="663" t="s">
        <v>672</v>
      </c>
      <c r="B3" s="411"/>
      <c r="C3" s="411"/>
      <c r="D3" s="411"/>
      <c r="E3" s="411"/>
      <c r="F3" s="411"/>
      <c r="G3" s="412"/>
    </row>
    <row r="4" spans="1:7" s="410" customFormat="1" ht="18.75" customHeight="1">
      <c r="A4" s="664"/>
      <c r="B4" s="254" t="s">
        <v>692</v>
      </c>
      <c r="C4" s="409" t="s">
        <v>548</v>
      </c>
      <c r="D4" s="413"/>
      <c r="E4" s="254" t="s">
        <v>676</v>
      </c>
      <c r="F4" s="413"/>
      <c r="G4" s="414"/>
    </row>
    <row r="5" spans="1:7" s="410" customFormat="1" ht="15" customHeight="1">
      <c r="A5" s="666"/>
      <c r="B5" s="415"/>
      <c r="C5" s="415"/>
      <c r="D5" s="415"/>
      <c r="E5" s="415"/>
      <c r="F5" s="415"/>
      <c r="G5" s="416"/>
    </row>
    <row r="6" spans="1:7" s="410" customFormat="1" ht="15" customHeight="1">
      <c r="A6" s="663" t="s">
        <v>682</v>
      </c>
      <c r="B6" s="411"/>
      <c r="C6" s="411"/>
      <c r="D6" s="411"/>
      <c r="E6" s="411"/>
      <c r="F6" s="411"/>
      <c r="G6" s="412"/>
    </row>
    <row r="7" spans="1:7" s="410" customFormat="1" ht="18" customHeight="1">
      <c r="A7" s="664"/>
      <c r="B7" s="254" t="s">
        <v>692</v>
      </c>
      <c r="C7" s="255"/>
      <c r="D7" s="413"/>
      <c r="E7" s="254" t="s">
        <v>674</v>
      </c>
      <c r="F7" s="255"/>
      <c r="G7" s="414"/>
    </row>
    <row r="8" spans="1:7" s="410" customFormat="1">
      <c r="A8" s="664"/>
      <c r="B8" s="413"/>
      <c r="C8" s="413"/>
      <c r="D8" s="413"/>
      <c r="E8" s="413"/>
      <c r="F8" s="413"/>
      <c r="G8" s="414"/>
    </row>
    <row r="9" spans="1:7" s="410" customFormat="1" ht="19.5" customHeight="1">
      <c r="A9" s="664"/>
      <c r="B9" s="254" t="s">
        <v>675</v>
      </c>
      <c r="C9" s="255"/>
      <c r="D9" s="413"/>
      <c r="E9" s="413"/>
      <c r="F9" s="413"/>
      <c r="G9" s="414"/>
    </row>
    <row r="10" spans="1:7" s="410" customFormat="1">
      <c r="A10" s="664"/>
      <c r="B10" s="413"/>
      <c r="C10" s="413"/>
      <c r="D10" s="413"/>
      <c r="E10" s="413"/>
      <c r="F10" s="413"/>
      <c r="G10" s="414"/>
    </row>
    <row r="11" spans="1:7" s="410" customFormat="1">
      <c r="A11" s="664"/>
      <c r="B11" s="413" t="s">
        <v>673</v>
      </c>
      <c r="C11" s="413"/>
      <c r="D11" s="413"/>
      <c r="E11" s="413"/>
      <c r="F11" s="413"/>
      <c r="G11" s="414"/>
    </row>
    <row r="12" spans="1:7" s="410" customFormat="1" ht="41.25" customHeight="1">
      <c r="A12" s="665"/>
      <c r="B12" s="660"/>
      <c r="C12" s="661"/>
      <c r="D12" s="661"/>
      <c r="E12" s="661"/>
      <c r="F12" s="662"/>
      <c r="G12" s="414"/>
    </row>
    <row r="13" spans="1:7" s="410" customFormat="1">
      <c r="A13" s="666"/>
      <c r="B13" s="415"/>
      <c r="C13" s="415"/>
      <c r="D13" s="415"/>
      <c r="E13" s="415"/>
      <c r="F13" s="415"/>
      <c r="G13" s="416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01"/>
  <sheetViews>
    <sheetView zoomScale="85" zoomScaleNormal="85" workbookViewId="0">
      <selection activeCell="D26" sqref="D26"/>
    </sheetView>
  </sheetViews>
  <sheetFormatPr defaultRowHeight="15"/>
  <cols>
    <col min="1" max="1" width="19.140625" customWidth="1"/>
    <col min="2" max="2" width="11" customWidth="1"/>
    <col min="3" max="9" width="14.5703125" customWidth="1"/>
  </cols>
  <sheetData>
    <row r="1" spans="1:9" ht="35.25" customHeight="1"/>
    <row r="2" spans="1:9" ht="15.75">
      <c r="A2" s="667" t="s">
        <v>591</v>
      </c>
      <c r="B2" s="669" t="s">
        <v>595</v>
      </c>
      <c r="C2" s="669" t="s">
        <v>596</v>
      </c>
      <c r="D2" s="669"/>
      <c r="E2" s="669"/>
      <c r="F2" s="669"/>
      <c r="G2" s="669" t="s">
        <v>597</v>
      </c>
      <c r="H2" s="669"/>
      <c r="I2" s="265" t="s">
        <v>598</v>
      </c>
    </row>
    <row r="3" spans="1:9" ht="15.75">
      <c r="A3" s="668"/>
      <c r="B3" s="669"/>
      <c r="C3" s="265" t="s">
        <v>267</v>
      </c>
      <c r="D3" s="265" t="s">
        <v>599</v>
      </c>
      <c r="E3" s="265" t="s">
        <v>600</v>
      </c>
      <c r="F3" s="265" t="s">
        <v>135</v>
      </c>
      <c r="G3" s="266" t="s">
        <v>478</v>
      </c>
      <c r="H3" s="266" t="s">
        <v>601</v>
      </c>
      <c r="I3" s="265"/>
    </row>
    <row r="4" spans="1:9" ht="15.75">
      <c r="A4" s="267" t="s">
        <v>548</v>
      </c>
      <c r="B4" s="268">
        <v>44197</v>
      </c>
      <c r="C4" s="267" t="s">
        <v>712</v>
      </c>
      <c r="D4" s="267" t="s">
        <v>712</v>
      </c>
      <c r="E4" s="267" t="s">
        <v>712</v>
      </c>
      <c r="F4" s="267" t="s">
        <v>713</v>
      </c>
      <c r="G4" s="267" t="s">
        <v>716</v>
      </c>
      <c r="H4" s="267" t="s">
        <v>717</v>
      </c>
      <c r="I4" s="267"/>
    </row>
    <row r="5" spans="1:9" ht="15.75">
      <c r="A5" s="267" t="s">
        <v>548</v>
      </c>
      <c r="B5" s="268">
        <v>43466</v>
      </c>
      <c r="C5" s="267" t="s">
        <v>714</v>
      </c>
      <c r="D5" s="267" t="s">
        <v>714</v>
      </c>
      <c r="E5" s="267" t="s">
        <v>714</v>
      </c>
      <c r="F5" s="267" t="s">
        <v>714</v>
      </c>
      <c r="G5" s="267" t="s">
        <v>716</v>
      </c>
      <c r="H5" s="267" t="s">
        <v>717</v>
      </c>
      <c r="I5" s="267"/>
    </row>
    <row r="6" spans="1:9" ht="15.75">
      <c r="A6" s="267"/>
      <c r="B6" s="268"/>
      <c r="C6" s="267"/>
      <c r="D6" s="267"/>
      <c r="E6" s="267"/>
      <c r="F6" s="267"/>
      <c r="G6" s="267"/>
      <c r="H6" s="267"/>
      <c r="I6" s="267"/>
    </row>
    <row r="7" spans="1:9" ht="15.75">
      <c r="A7" s="267"/>
      <c r="B7" s="268"/>
      <c r="C7" s="267"/>
      <c r="D7" s="267"/>
      <c r="E7" s="267"/>
      <c r="F7" s="267"/>
      <c r="G7" s="267"/>
      <c r="H7" s="267"/>
      <c r="I7" s="267"/>
    </row>
    <row r="8" spans="1:9" ht="15.75">
      <c r="A8" s="267"/>
      <c r="B8" s="268"/>
      <c r="C8" s="267"/>
      <c r="D8" s="267"/>
      <c r="E8" s="267"/>
      <c r="F8" s="267"/>
      <c r="G8" s="267"/>
      <c r="H8" s="267"/>
      <c r="I8" s="267"/>
    </row>
    <row r="9" spans="1:9" ht="15.75">
      <c r="A9" s="267"/>
      <c r="B9" s="268"/>
      <c r="C9" s="267"/>
      <c r="D9" s="267"/>
      <c r="E9" s="267"/>
      <c r="F9" s="267"/>
      <c r="G9" s="267"/>
      <c r="H9" s="267"/>
      <c r="I9" s="267"/>
    </row>
    <row r="10" spans="1:9" ht="15.75">
      <c r="A10" s="267"/>
      <c r="B10" s="268"/>
      <c r="C10" s="267"/>
      <c r="D10" s="267"/>
      <c r="E10" s="267"/>
      <c r="F10" s="267"/>
      <c r="G10" s="267"/>
      <c r="H10" s="267"/>
      <c r="I10" s="267"/>
    </row>
    <row r="11" spans="1:9" ht="15.75">
      <c r="A11" s="267"/>
      <c r="B11" s="268"/>
      <c r="C11" s="267"/>
      <c r="D11" s="267"/>
      <c r="E11" s="267"/>
      <c r="F11" s="267"/>
      <c r="G11" s="267"/>
      <c r="H11" s="267"/>
      <c r="I11" s="267"/>
    </row>
    <row r="12" spans="1:9" ht="15.75">
      <c r="A12" s="267"/>
      <c r="B12" s="268"/>
      <c r="C12" s="267"/>
      <c r="D12" s="267"/>
      <c r="E12" s="267"/>
      <c r="F12" s="267"/>
      <c r="G12" s="267"/>
      <c r="H12" s="267"/>
      <c r="I12" s="267"/>
    </row>
    <row r="13" spans="1:9" ht="15.75">
      <c r="A13" s="267"/>
      <c r="B13" s="267"/>
      <c r="C13" s="267"/>
      <c r="D13" s="267"/>
      <c r="E13" s="267"/>
      <c r="F13" s="267"/>
      <c r="G13" s="267"/>
      <c r="H13" s="267"/>
      <c r="I13" s="267"/>
    </row>
    <row r="14" spans="1:9" ht="15.75">
      <c r="A14" s="267"/>
      <c r="B14" s="267"/>
      <c r="C14" s="267"/>
      <c r="D14" s="267"/>
      <c r="E14" s="267"/>
      <c r="F14" s="267"/>
      <c r="G14" s="267"/>
      <c r="H14" s="267"/>
      <c r="I14" s="267"/>
    </row>
    <row r="15" spans="1:9" ht="15.75">
      <c r="A15" s="267"/>
      <c r="B15" s="267"/>
      <c r="C15" s="267"/>
      <c r="D15" s="267"/>
      <c r="E15" s="267"/>
      <c r="F15" s="267"/>
      <c r="G15" s="267"/>
      <c r="H15" s="267"/>
      <c r="I15" s="267"/>
    </row>
    <row r="16" spans="1:9" ht="15.75">
      <c r="A16" s="267"/>
      <c r="B16" s="267"/>
      <c r="C16" s="267"/>
      <c r="D16" s="267"/>
      <c r="E16" s="267"/>
      <c r="F16" s="267"/>
      <c r="G16" s="267"/>
      <c r="H16" s="267"/>
      <c r="I16" s="267"/>
    </row>
    <row r="17" spans="1:9" ht="15.75">
      <c r="A17" s="267"/>
      <c r="B17" s="267"/>
      <c r="C17" s="267"/>
      <c r="D17" s="267"/>
      <c r="E17" s="267"/>
      <c r="F17" s="267"/>
      <c r="G17" s="267"/>
      <c r="H17" s="267"/>
      <c r="I17" s="267"/>
    </row>
    <row r="18" spans="1:9" ht="15.75">
      <c r="A18" s="267"/>
      <c r="B18" s="267"/>
      <c r="C18" s="267"/>
      <c r="D18" s="267"/>
      <c r="E18" s="267"/>
      <c r="F18" s="267"/>
      <c r="G18" s="267"/>
      <c r="H18" s="267"/>
      <c r="I18" s="267"/>
    </row>
    <row r="19" spans="1:9" ht="15.75">
      <c r="A19" s="267"/>
      <c r="B19" s="267"/>
      <c r="C19" s="267"/>
      <c r="D19" s="267"/>
      <c r="E19" s="267"/>
      <c r="F19" s="267"/>
      <c r="G19" s="267"/>
      <c r="H19" s="267"/>
      <c r="I19" s="267"/>
    </row>
    <row r="20" spans="1:9" ht="15.75">
      <c r="A20" s="267"/>
      <c r="B20" s="267"/>
      <c r="C20" s="267"/>
      <c r="D20" s="267"/>
      <c r="E20" s="267"/>
      <c r="F20" s="267"/>
      <c r="G20" s="267"/>
      <c r="H20" s="267"/>
      <c r="I20" s="267"/>
    </row>
    <row r="21" spans="1:9" ht="15.75">
      <c r="A21" s="267"/>
      <c r="B21" s="267"/>
      <c r="C21" s="267"/>
      <c r="D21" s="267"/>
      <c r="E21" s="267"/>
      <c r="F21" s="267"/>
      <c r="G21" s="267"/>
      <c r="H21" s="267"/>
      <c r="I21" s="267"/>
    </row>
    <row r="22" spans="1:9" ht="15.75">
      <c r="A22" s="267"/>
      <c r="B22" s="267"/>
      <c r="C22" s="267"/>
      <c r="D22" s="267"/>
      <c r="E22" s="267"/>
      <c r="F22" s="267"/>
      <c r="G22" s="267"/>
      <c r="H22" s="267"/>
      <c r="I22" s="267"/>
    </row>
    <row r="23" spans="1:9" ht="15.75">
      <c r="A23" s="267"/>
      <c r="B23" s="267"/>
      <c r="C23" s="267"/>
      <c r="D23" s="267"/>
      <c r="E23" s="267"/>
      <c r="F23" s="267"/>
      <c r="G23" s="267"/>
      <c r="H23" s="267"/>
      <c r="I23" s="267"/>
    </row>
    <row r="24" spans="1:9" ht="15.75">
      <c r="A24" s="267"/>
      <c r="B24" s="267"/>
      <c r="C24" s="267"/>
      <c r="D24" s="267"/>
      <c r="E24" s="267"/>
      <c r="F24" s="267"/>
      <c r="G24" s="267"/>
      <c r="H24" s="267"/>
      <c r="I24" s="267"/>
    </row>
    <row r="25" spans="1:9" ht="15.75">
      <c r="A25" s="267"/>
      <c r="B25" s="267"/>
      <c r="C25" s="267"/>
      <c r="D25" s="267"/>
      <c r="E25" s="267"/>
      <c r="F25" s="267"/>
      <c r="G25" s="267"/>
      <c r="H25" s="267"/>
      <c r="I25" s="267"/>
    </row>
    <row r="26" spans="1:9" ht="15.75">
      <c r="A26" s="267"/>
      <c r="B26" s="267"/>
      <c r="C26" s="267"/>
      <c r="D26" s="267"/>
      <c r="E26" s="267"/>
      <c r="F26" s="267"/>
      <c r="G26" s="267"/>
      <c r="H26" s="267"/>
      <c r="I26" s="267"/>
    </row>
    <row r="27" spans="1:9" ht="15.75">
      <c r="A27" s="267"/>
      <c r="B27" s="267"/>
      <c r="C27" s="267"/>
      <c r="D27" s="267"/>
      <c r="E27" s="267"/>
      <c r="F27" s="267"/>
      <c r="G27" s="267"/>
      <c r="H27" s="267"/>
      <c r="I27" s="267"/>
    </row>
    <row r="28" spans="1:9" ht="15.75">
      <c r="A28" s="267"/>
      <c r="B28" s="267"/>
      <c r="C28" s="267"/>
      <c r="D28" s="267"/>
      <c r="E28" s="267"/>
      <c r="F28" s="267"/>
      <c r="G28" s="267"/>
      <c r="H28" s="267"/>
      <c r="I28" s="267"/>
    </row>
    <row r="29" spans="1:9" ht="15.75">
      <c r="A29" s="267"/>
      <c r="B29" s="267"/>
      <c r="C29" s="267"/>
      <c r="D29" s="267"/>
      <c r="E29" s="267"/>
      <c r="F29" s="267"/>
      <c r="G29" s="267"/>
      <c r="H29" s="267"/>
      <c r="I29" s="267"/>
    </row>
    <row r="30" spans="1:9" ht="15.75">
      <c r="A30" s="267"/>
      <c r="B30" s="267"/>
      <c r="C30" s="267"/>
      <c r="D30" s="267"/>
      <c r="E30" s="267"/>
      <c r="F30" s="267"/>
      <c r="G30" s="267"/>
      <c r="H30" s="267"/>
      <c r="I30" s="267"/>
    </row>
    <row r="31" spans="1:9" ht="15.75">
      <c r="A31" s="267"/>
      <c r="B31" s="267"/>
      <c r="C31" s="267"/>
      <c r="D31" s="267"/>
      <c r="E31" s="267"/>
      <c r="F31" s="267"/>
      <c r="G31" s="267"/>
      <c r="H31" s="267"/>
      <c r="I31" s="267"/>
    </row>
    <row r="32" spans="1:9" ht="15.75">
      <c r="A32" s="267"/>
      <c r="B32" s="267"/>
      <c r="C32" s="267"/>
      <c r="D32" s="267"/>
      <c r="E32" s="267"/>
      <c r="F32" s="267"/>
      <c r="G32" s="267"/>
      <c r="H32" s="267"/>
      <c r="I32" s="267"/>
    </row>
    <row r="33" spans="1:9" ht="15.75">
      <c r="A33" s="267"/>
      <c r="B33" s="267"/>
      <c r="C33" s="267"/>
      <c r="D33" s="267"/>
      <c r="E33" s="267"/>
      <c r="F33" s="267"/>
      <c r="G33" s="267"/>
      <c r="H33" s="267"/>
      <c r="I33" s="267"/>
    </row>
    <row r="34" spans="1:9" ht="15.75">
      <c r="A34" s="267"/>
      <c r="B34" s="267"/>
      <c r="C34" s="267"/>
      <c r="D34" s="267"/>
      <c r="E34" s="267"/>
      <c r="F34" s="267"/>
      <c r="G34" s="267"/>
      <c r="H34" s="267"/>
      <c r="I34" s="267"/>
    </row>
    <row r="35" spans="1:9" ht="15.75">
      <c r="A35" s="267"/>
      <c r="B35" s="267"/>
      <c r="C35" s="267"/>
      <c r="D35" s="267"/>
      <c r="E35" s="267"/>
      <c r="F35" s="267"/>
      <c r="G35" s="267"/>
      <c r="H35" s="267"/>
      <c r="I35" s="267"/>
    </row>
    <row r="36" spans="1:9" ht="15.75">
      <c r="A36" s="267"/>
      <c r="B36" s="267"/>
      <c r="C36" s="267"/>
      <c r="D36" s="267"/>
      <c r="E36" s="267"/>
      <c r="F36" s="267"/>
      <c r="G36" s="267"/>
      <c r="H36" s="267"/>
      <c r="I36" s="267"/>
    </row>
    <row r="37" spans="1:9" ht="15.75">
      <c r="A37" s="267"/>
      <c r="B37" s="267"/>
      <c r="C37" s="267"/>
      <c r="D37" s="267"/>
      <c r="E37" s="267"/>
      <c r="F37" s="267"/>
      <c r="G37" s="267"/>
      <c r="H37" s="267"/>
      <c r="I37" s="267"/>
    </row>
    <row r="38" spans="1:9" ht="15.75">
      <c r="A38" s="267"/>
      <c r="B38" s="267"/>
      <c r="C38" s="267"/>
      <c r="D38" s="267"/>
      <c r="E38" s="267"/>
      <c r="F38" s="267"/>
      <c r="G38" s="267"/>
      <c r="H38" s="267"/>
      <c r="I38" s="267"/>
    </row>
    <row r="39" spans="1:9" ht="15.75">
      <c r="A39" s="267"/>
      <c r="B39" s="267"/>
      <c r="C39" s="267"/>
      <c r="D39" s="267"/>
      <c r="E39" s="267"/>
      <c r="F39" s="267"/>
      <c r="G39" s="267"/>
      <c r="H39" s="267"/>
      <c r="I39" s="267"/>
    </row>
    <row r="40" spans="1:9" ht="15.75">
      <c r="A40" s="267"/>
      <c r="B40" s="267"/>
      <c r="C40" s="267"/>
      <c r="D40" s="267"/>
      <c r="E40" s="267"/>
      <c r="F40" s="267"/>
      <c r="G40" s="267"/>
      <c r="H40" s="267"/>
      <c r="I40" s="267"/>
    </row>
    <row r="41" spans="1:9" ht="15.75">
      <c r="A41" s="267"/>
      <c r="B41" s="267"/>
      <c r="C41" s="267"/>
      <c r="D41" s="267"/>
      <c r="E41" s="267"/>
      <c r="F41" s="267"/>
      <c r="G41" s="267"/>
      <c r="H41" s="267"/>
      <c r="I41" s="267"/>
    </row>
    <row r="42" spans="1:9" ht="15.75">
      <c r="A42" s="267"/>
      <c r="B42" s="267"/>
      <c r="C42" s="267"/>
      <c r="D42" s="267"/>
      <c r="E42" s="267"/>
      <c r="F42" s="267"/>
      <c r="G42" s="267"/>
      <c r="H42" s="267"/>
      <c r="I42" s="267"/>
    </row>
    <row r="43" spans="1:9" ht="15.75">
      <c r="A43" s="267"/>
      <c r="B43" s="267"/>
      <c r="C43" s="267"/>
      <c r="D43" s="267"/>
      <c r="E43" s="267"/>
      <c r="F43" s="267"/>
      <c r="G43" s="267"/>
      <c r="H43" s="267"/>
      <c r="I43" s="267"/>
    </row>
    <row r="44" spans="1:9" ht="15.75">
      <c r="A44" s="267"/>
      <c r="B44" s="267"/>
      <c r="C44" s="267"/>
      <c r="D44" s="267"/>
      <c r="E44" s="267"/>
      <c r="F44" s="267"/>
      <c r="G44" s="267"/>
      <c r="H44" s="267"/>
      <c r="I44" s="267"/>
    </row>
    <row r="45" spans="1:9" ht="15.75">
      <c r="A45" s="267"/>
      <c r="B45" s="267"/>
      <c r="C45" s="267"/>
      <c r="D45" s="267"/>
      <c r="E45" s="267"/>
      <c r="F45" s="267"/>
      <c r="G45" s="267"/>
      <c r="H45" s="267"/>
      <c r="I45" s="267"/>
    </row>
    <row r="46" spans="1:9" ht="15.75">
      <c r="A46" s="267"/>
      <c r="B46" s="267"/>
      <c r="C46" s="267"/>
      <c r="D46" s="267"/>
      <c r="E46" s="267"/>
      <c r="F46" s="267"/>
      <c r="G46" s="267"/>
      <c r="H46" s="267"/>
      <c r="I46" s="267"/>
    </row>
    <row r="47" spans="1:9" ht="15.75">
      <c r="A47" s="267"/>
      <c r="B47" s="267"/>
      <c r="C47" s="267"/>
      <c r="D47" s="267"/>
      <c r="E47" s="267"/>
      <c r="F47" s="267"/>
      <c r="G47" s="267"/>
      <c r="H47" s="267"/>
      <c r="I47" s="267"/>
    </row>
    <row r="48" spans="1:9" ht="15.75">
      <c r="A48" s="267"/>
      <c r="B48" s="267"/>
      <c r="C48" s="267"/>
      <c r="D48" s="267"/>
      <c r="E48" s="267"/>
      <c r="F48" s="267"/>
      <c r="G48" s="267"/>
      <c r="H48" s="267"/>
      <c r="I48" s="267"/>
    </row>
    <row r="49" spans="1:9" ht="15.75">
      <c r="A49" s="267"/>
      <c r="B49" s="267"/>
      <c r="C49" s="267"/>
      <c r="D49" s="267"/>
      <c r="E49" s="267"/>
      <c r="F49" s="267"/>
      <c r="G49" s="267"/>
      <c r="H49" s="267"/>
      <c r="I49" s="267"/>
    </row>
    <row r="50" spans="1:9" ht="15.75">
      <c r="A50" s="267"/>
      <c r="B50" s="267"/>
      <c r="C50" s="267"/>
      <c r="D50" s="267"/>
      <c r="E50" s="267"/>
      <c r="F50" s="267"/>
      <c r="G50" s="267"/>
      <c r="H50" s="267"/>
      <c r="I50" s="267"/>
    </row>
    <row r="51" spans="1:9" ht="15.75">
      <c r="A51" s="267"/>
      <c r="B51" s="267"/>
      <c r="C51" s="267"/>
      <c r="D51" s="267"/>
      <c r="E51" s="267"/>
      <c r="F51" s="267"/>
      <c r="G51" s="267"/>
      <c r="H51" s="267"/>
      <c r="I51" s="267"/>
    </row>
    <row r="52" spans="1:9" ht="15.75">
      <c r="A52" s="267"/>
      <c r="B52" s="267"/>
      <c r="C52" s="267"/>
      <c r="D52" s="267"/>
      <c r="E52" s="267"/>
      <c r="F52" s="267"/>
      <c r="G52" s="267"/>
      <c r="H52" s="267"/>
      <c r="I52" s="267"/>
    </row>
    <row r="53" spans="1:9" ht="15.75">
      <c r="A53" s="267"/>
      <c r="B53" s="267"/>
      <c r="C53" s="267"/>
      <c r="D53" s="267"/>
      <c r="E53" s="267"/>
      <c r="F53" s="267"/>
      <c r="G53" s="267"/>
      <c r="H53" s="267"/>
      <c r="I53" s="267"/>
    </row>
    <row r="54" spans="1:9" ht="15.75">
      <c r="A54" s="267"/>
      <c r="B54" s="267"/>
      <c r="C54" s="267"/>
      <c r="D54" s="267"/>
      <c r="E54" s="267"/>
      <c r="F54" s="267"/>
      <c r="G54" s="267"/>
      <c r="H54" s="267"/>
      <c r="I54" s="267"/>
    </row>
    <row r="55" spans="1:9" ht="15.75">
      <c r="A55" s="267"/>
      <c r="B55" s="267"/>
      <c r="C55" s="267"/>
      <c r="D55" s="267"/>
      <c r="E55" s="267"/>
      <c r="F55" s="267"/>
      <c r="G55" s="267"/>
      <c r="H55" s="267"/>
      <c r="I55" s="267"/>
    </row>
    <row r="56" spans="1:9" ht="15.75">
      <c r="A56" s="267"/>
      <c r="B56" s="267"/>
      <c r="C56" s="267"/>
      <c r="D56" s="267"/>
      <c r="E56" s="267"/>
      <c r="F56" s="267"/>
      <c r="G56" s="267"/>
      <c r="H56" s="267"/>
      <c r="I56" s="267"/>
    </row>
    <row r="57" spans="1:9" ht="15.75">
      <c r="A57" s="267"/>
      <c r="B57" s="267"/>
      <c r="C57" s="267"/>
      <c r="D57" s="267"/>
      <c r="E57" s="267"/>
      <c r="F57" s="267"/>
      <c r="G57" s="267"/>
      <c r="H57" s="267"/>
      <c r="I57" s="267"/>
    </row>
    <row r="58" spans="1:9" ht="15.75">
      <c r="A58" s="267"/>
      <c r="B58" s="267"/>
      <c r="C58" s="267"/>
      <c r="D58" s="267"/>
      <c r="E58" s="267"/>
      <c r="F58" s="267"/>
      <c r="G58" s="267"/>
      <c r="H58" s="267"/>
      <c r="I58" s="267"/>
    </row>
    <row r="59" spans="1:9" ht="15.75">
      <c r="A59" s="267"/>
      <c r="B59" s="267"/>
      <c r="C59" s="267"/>
      <c r="D59" s="267"/>
      <c r="E59" s="267"/>
      <c r="F59" s="267"/>
      <c r="G59" s="267"/>
      <c r="H59" s="267"/>
      <c r="I59" s="267"/>
    </row>
    <row r="60" spans="1:9" ht="15.75">
      <c r="A60" s="267"/>
      <c r="B60" s="267"/>
      <c r="C60" s="267"/>
      <c r="D60" s="267"/>
      <c r="E60" s="267"/>
      <c r="F60" s="267"/>
      <c r="G60" s="267"/>
      <c r="H60" s="267"/>
      <c r="I60" s="267"/>
    </row>
    <row r="61" spans="1:9" ht="15.75">
      <c r="A61" s="267"/>
      <c r="B61" s="267"/>
      <c r="C61" s="267"/>
      <c r="D61" s="267"/>
      <c r="E61" s="267"/>
      <c r="F61" s="267"/>
      <c r="G61" s="267"/>
      <c r="H61" s="267"/>
      <c r="I61" s="267"/>
    </row>
    <row r="62" spans="1:9" ht="15.75">
      <c r="A62" s="267"/>
      <c r="B62" s="267"/>
      <c r="C62" s="267"/>
      <c r="D62" s="267"/>
      <c r="E62" s="267"/>
      <c r="F62" s="267"/>
      <c r="G62" s="267"/>
      <c r="H62" s="267"/>
      <c r="I62" s="267"/>
    </row>
    <row r="63" spans="1:9" ht="15.75">
      <c r="A63" s="267"/>
      <c r="B63" s="267"/>
      <c r="C63" s="267"/>
      <c r="D63" s="267"/>
      <c r="E63" s="267"/>
      <c r="F63" s="267"/>
      <c r="G63" s="267"/>
      <c r="H63" s="267"/>
      <c r="I63" s="267"/>
    </row>
    <row r="64" spans="1:9" ht="15.75">
      <c r="A64" s="267"/>
      <c r="B64" s="267"/>
      <c r="C64" s="267"/>
      <c r="D64" s="267"/>
      <c r="E64" s="267"/>
      <c r="F64" s="267"/>
      <c r="G64" s="267"/>
      <c r="H64" s="267"/>
      <c r="I64" s="267"/>
    </row>
    <row r="65" spans="1:9" ht="15.75">
      <c r="A65" s="267"/>
      <c r="B65" s="267"/>
      <c r="C65" s="267"/>
      <c r="D65" s="267"/>
      <c r="E65" s="267"/>
      <c r="F65" s="267"/>
      <c r="G65" s="267"/>
      <c r="H65" s="267"/>
      <c r="I65" s="267"/>
    </row>
    <row r="66" spans="1:9" ht="15.75">
      <c r="A66" s="267"/>
      <c r="B66" s="267"/>
      <c r="C66" s="267"/>
      <c r="D66" s="267"/>
      <c r="E66" s="267"/>
      <c r="F66" s="267"/>
      <c r="G66" s="267"/>
      <c r="H66" s="267"/>
      <c r="I66" s="267"/>
    </row>
    <row r="67" spans="1:9" ht="15.75">
      <c r="A67" s="267"/>
      <c r="B67" s="267"/>
      <c r="C67" s="267"/>
      <c r="D67" s="267"/>
      <c r="E67" s="267"/>
      <c r="F67" s="267"/>
      <c r="G67" s="267"/>
      <c r="H67" s="267"/>
      <c r="I67" s="267"/>
    </row>
    <row r="68" spans="1:9" ht="15.75">
      <c r="A68" s="267"/>
      <c r="B68" s="267"/>
      <c r="C68" s="267"/>
      <c r="D68" s="267"/>
      <c r="E68" s="267"/>
      <c r="F68" s="267"/>
      <c r="G68" s="267"/>
      <c r="H68" s="267"/>
      <c r="I68" s="267"/>
    </row>
    <row r="69" spans="1:9" ht="15.75">
      <c r="A69" s="267"/>
      <c r="B69" s="267"/>
      <c r="C69" s="267"/>
      <c r="D69" s="267"/>
      <c r="E69" s="267"/>
      <c r="F69" s="267"/>
      <c r="G69" s="267"/>
      <c r="H69" s="267"/>
      <c r="I69" s="267"/>
    </row>
    <row r="70" spans="1:9" ht="15.75">
      <c r="A70" s="267"/>
      <c r="B70" s="267"/>
      <c r="C70" s="267"/>
      <c r="D70" s="267"/>
      <c r="E70" s="267"/>
      <c r="F70" s="267"/>
      <c r="G70" s="267"/>
      <c r="H70" s="267"/>
      <c r="I70" s="267"/>
    </row>
    <row r="71" spans="1:9" ht="15.75">
      <c r="A71" s="267"/>
      <c r="B71" s="267"/>
      <c r="C71" s="267"/>
      <c r="D71" s="267"/>
      <c r="E71" s="267"/>
      <c r="F71" s="267"/>
      <c r="G71" s="267"/>
      <c r="H71" s="267"/>
      <c r="I71" s="267"/>
    </row>
    <row r="72" spans="1:9" ht="15.75">
      <c r="A72" s="267"/>
      <c r="B72" s="267"/>
      <c r="C72" s="267"/>
      <c r="D72" s="267"/>
      <c r="E72" s="267"/>
      <c r="F72" s="267"/>
      <c r="G72" s="267"/>
      <c r="H72" s="267"/>
      <c r="I72" s="267"/>
    </row>
    <row r="73" spans="1:9" ht="15.75">
      <c r="A73" s="267"/>
      <c r="B73" s="267"/>
      <c r="C73" s="267"/>
      <c r="D73" s="267"/>
      <c r="E73" s="267"/>
      <c r="F73" s="267"/>
      <c r="G73" s="267"/>
      <c r="H73" s="267"/>
      <c r="I73" s="267"/>
    </row>
    <row r="74" spans="1:9" ht="15.75">
      <c r="A74" s="267"/>
      <c r="B74" s="267"/>
      <c r="C74" s="267"/>
      <c r="D74" s="267"/>
      <c r="E74" s="267"/>
      <c r="F74" s="267"/>
      <c r="G74" s="267"/>
      <c r="H74" s="267"/>
      <c r="I74" s="267"/>
    </row>
    <row r="75" spans="1:9" ht="15.75">
      <c r="A75" s="267"/>
      <c r="B75" s="267"/>
      <c r="C75" s="267"/>
      <c r="D75" s="267"/>
      <c r="E75" s="267"/>
      <c r="F75" s="267"/>
      <c r="G75" s="267"/>
      <c r="H75" s="267"/>
      <c r="I75" s="267"/>
    </row>
    <row r="76" spans="1:9" ht="15.75">
      <c r="A76" s="267"/>
      <c r="B76" s="267"/>
      <c r="C76" s="267"/>
      <c r="D76" s="267"/>
      <c r="E76" s="267"/>
      <c r="F76" s="267"/>
      <c r="G76" s="267"/>
      <c r="H76" s="267"/>
      <c r="I76" s="267"/>
    </row>
    <row r="77" spans="1:9" ht="15.75">
      <c r="A77" s="267"/>
      <c r="B77" s="267"/>
      <c r="C77" s="267"/>
      <c r="D77" s="267"/>
      <c r="E77" s="267"/>
      <c r="F77" s="267"/>
      <c r="G77" s="267"/>
      <c r="H77" s="267"/>
      <c r="I77" s="267"/>
    </row>
    <row r="78" spans="1:9" ht="15.75">
      <c r="A78" s="267"/>
      <c r="B78" s="267"/>
      <c r="C78" s="267"/>
      <c r="D78" s="267"/>
      <c r="E78" s="267"/>
      <c r="F78" s="267"/>
      <c r="G78" s="267"/>
      <c r="H78" s="267"/>
      <c r="I78" s="267"/>
    </row>
    <row r="79" spans="1:9" ht="15.75">
      <c r="A79" s="267"/>
      <c r="B79" s="267"/>
      <c r="C79" s="267"/>
      <c r="D79" s="267"/>
      <c r="E79" s="267"/>
      <c r="F79" s="267"/>
      <c r="G79" s="267"/>
      <c r="H79" s="267"/>
      <c r="I79" s="267"/>
    </row>
    <row r="80" spans="1:9" ht="15.75">
      <c r="A80" s="267"/>
      <c r="B80" s="267"/>
      <c r="C80" s="267"/>
      <c r="D80" s="267"/>
      <c r="E80" s="267"/>
      <c r="F80" s="267"/>
      <c r="G80" s="267"/>
      <c r="H80" s="267"/>
      <c r="I80" s="267"/>
    </row>
    <row r="81" spans="1:9" ht="15.75">
      <c r="A81" s="267"/>
      <c r="B81" s="267"/>
      <c r="C81" s="267"/>
      <c r="D81" s="267"/>
      <c r="E81" s="267"/>
      <c r="F81" s="267"/>
      <c r="G81" s="267"/>
      <c r="H81" s="267"/>
      <c r="I81" s="267"/>
    </row>
    <row r="82" spans="1:9" ht="15.75">
      <c r="A82" s="267"/>
      <c r="B82" s="267"/>
      <c r="C82" s="267"/>
      <c r="D82" s="267"/>
      <c r="E82" s="267"/>
      <c r="F82" s="267"/>
      <c r="G82" s="267"/>
      <c r="H82" s="267"/>
      <c r="I82" s="267"/>
    </row>
    <row r="83" spans="1:9" ht="15.75">
      <c r="A83" s="267"/>
      <c r="B83" s="267"/>
      <c r="C83" s="267"/>
      <c r="D83" s="267"/>
      <c r="E83" s="267"/>
      <c r="F83" s="267"/>
      <c r="G83" s="267"/>
      <c r="H83" s="267"/>
      <c r="I83" s="267"/>
    </row>
    <row r="84" spans="1:9" ht="15.75">
      <c r="A84" s="267"/>
      <c r="B84" s="267"/>
      <c r="C84" s="267"/>
      <c r="D84" s="267"/>
      <c r="E84" s="267"/>
      <c r="F84" s="267"/>
      <c r="G84" s="267"/>
      <c r="H84" s="267"/>
      <c r="I84" s="267"/>
    </row>
    <row r="85" spans="1:9" ht="15.75">
      <c r="A85" s="267"/>
      <c r="B85" s="267"/>
      <c r="C85" s="267"/>
      <c r="D85" s="267"/>
      <c r="E85" s="267"/>
      <c r="F85" s="267"/>
      <c r="G85" s="267"/>
      <c r="H85" s="267"/>
      <c r="I85" s="267"/>
    </row>
    <row r="86" spans="1:9" ht="15.75">
      <c r="A86" s="267"/>
      <c r="B86" s="267"/>
      <c r="C86" s="267"/>
      <c r="D86" s="267"/>
      <c r="E86" s="267"/>
      <c r="F86" s="267"/>
      <c r="G86" s="267"/>
      <c r="H86" s="267"/>
      <c r="I86" s="267"/>
    </row>
    <row r="87" spans="1:9" ht="15.75">
      <c r="A87" s="267"/>
      <c r="B87" s="267"/>
      <c r="C87" s="267"/>
      <c r="D87" s="267"/>
      <c r="E87" s="267"/>
      <c r="F87" s="267"/>
      <c r="G87" s="267"/>
      <c r="H87" s="267"/>
      <c r="I87" s="267"/>
    </row>
    <row r="88" spans="1:9" ht="15.75">
      <c r="A88" s="267"/>
      <c r="B88" s="267"/>
      <c r="C88" s="267"/>
      <c r="D88" s="267"/>
      <c r="E88" s="267"/>
      <c r="F88" s="267"/>
      <c r="G88" s="267"/>
      <c r="H88" s="267"/>
      <c r="I88" s="267"/>
    </row>
    <row r="89" spans="1:9" ht="15.75">
      <c r="A89" s="267"/>
      <c r="B89" s="267"/>
      <c r="C89" s="267"/>
      <c r="D89" s="267"/>
      <c r="E89" s="267"/>
      <c r="F89" s="267"/>
      <c r="G89" s="267"/>
      <c r="H89" s="267"/>
      <c r="I89" s="267"/>
    </row>
    <row r="90" spans="1:9" ht="15.75">
      <c r="A90" s="267"/>
      <c r="B90" s="267"/>
      <c r="C90" s="267"/>
      <c r="D90" s="267"/>
      <c r="E90" s="267"/>
      <c r="F90" s="267"/>
      <c r="G90" s="267"/>
      <c r="H90" s="267"/>
      <c r="I90" s="267"/>
    </row>
    <row r="91" spans="1:9" ht="15.75">
      <c r="A91" s="267"/>
      <c r="B91" s="267"/>
      <c r="C91" s="267"/>
      <c r="D91" s="267"/>
      <c r="E91" s="267"/>
      <c r="F91" s="267"/>
      <c r="G91" s="267"/>
      <c r="H91" s="267"/>
      <c r="I91" s="267"/>
    </row>
    <row r="92" spans="1:9" ht="15.75">
      <c r="A92" s="267"/>
      <c r="B92" s="267"/>
      <c r="C92" s="267"/>
      <c r="D92" s="267"/>
      <c r="E92" s="267"/>
      <c r="F92" s="267"/>
      <c r="G92" s="267"/>
      <c r="H92" s="267"/>
      <c r="I92" s="267"/>
    </row>
    <row r="93" spans="1:9" ht="15.75">
      <c r="A93" s="267"/>
      <c r="B93" s="267"/>
      <c r="C93" s="267"/>
      <c r="D93" s="267"/>
      <c r="E93" s="267"/>
      <c r="F93" s="267"/>
      <c r="G93" s="267"/>
      <c r="H93" s="267"/>
      <c r="I93" s="267"/>
    </row>
    <row r="94" spans="1:9" ht="15.75">
      <c r="A94" s="267"/>
      <c r="B94" s="267"/>
      <c r="C94" s="267"/>
      <c r="D94" s="267"/>
      <c r="E94" s="267"/>
      <c r="F94" s="267"/>
      <c r="G94" s="267"/>
      <c r="H94" s="267"/>
      <c r="I94" s="267"/>
    </row>
    <row r="95" spans="1:9" ht="15.75">
      <c r="A95" s="267"/>
      <c r="B95" s="267"/>
      <c r="C95" s="267"/>
      <c r="D95" s="267"/>
      <c r="E95" s="267"/>
      <c r="F95" s="267"/>
      <c r="G95" s="267"/>
      <c r="H95" s="267"/>
      <c r="I95" s="267"/>
    </row>
    <row r="96" spans="1:9" ht="15.75">
      <c r="A96" s="267"/>
      <c r="B96" s="267"/>
      <c r="C96" s="267"/>
      <c r="D96" s="267"/>
      <c r="E96" s="267"/>
      <c r="F96" s="267"/>
      <c r="G96" s="267"/>
      <c r="H96" s="267"/>
      <c r="I96" s="267"/>
    </row>
    <row r="97" spans="1:9" ht="15.75">
      <c r="A97" s="267"/>
      <c r="B97" s="267"/>
      <c r="C97" s="267"/>
      <c r="D97" s="267"/>
      <c r="E97" s="267"/>
      <c r="F97" s="267"/>
      <c r="G97" s="267"/>
      <c r="H97" s="267"/>
      <c r="I97" s="267"/>
    </row>
    <row r="98" spans="1:9" ht="15.75">
      <c r="A98" s="267"/>
      <c r="B98" s="267"/>
      <c r="C98" s="267"/>
      <c r="D98" s="267"/>
      <c r="E98" s="267"/>
      <c r="F98" s="267"/>
      <c r="G98" s="267"/>
      <c r="H98" s="267"/>
      <c r="I98" s="267"/>
    </row>
    <row r="99" spans="1:9" ht="15.75">
      <c r="A99" s="267"/>
      <c r="B99" s="267"/>
      <c r="C99" s="267"/>
      <c r="D99" s="267"/>
      <c r="E99" s="267"/>
      <c r="F99" s="267"/>
      <c r="G99" s="267"/>
      <c r="H99" s="267"/>
      <c r="I99" s="267"/>
    </row>
    <row r="100" spans="1:9" ht="15.75">
      <c r="A100" s="267"/>
      <c r="B100" s="267"/>
      <c r="C100" s="267"/>
      <c r="D100" s="267"/>
      <c r="E100" s="267"/>
      <c r="F100" s="267"/>
      <c r="G100" s="267"/>
      <c r="H100" s="267"/>
      <c r="I100" s="267"/>
    </row>
    <row r="101" spans="1:9" ht="15.75">
      <c r="A101" s="267"/>
      <c r="B101" s="267"/>
      <c r="C101" s="267"/>
      <c r="D101" s="267"/>
      <c r="E101" s="267"/>
      <c r="F101" s="267"/>
      <c r="G101" s="267"/>
      <c r="H101" s="267"/>
      <c r="I101" s="267"/>
    </row>
    <row r="102" spans="1:9" ht="15.75">
      <c r="A102" s="267"/>
      <c r="B102" s="267"/>
      <c r="C102" s="267"/>
      <c r="D102" s="267"/>
      <c r="E102" s="267"/>
      <c r="F102" s="267"/>
      <c r="G102" s="267"/>
      <c r="H102" s="267"/>
      <c r="I102" s="267"/>
    </row>
    <row r="103" spans="1:9" ht="15.75">
      <c r="A103" s="267"/>
      <c r="B103" s="267"/>
      <c r="C103" s="267"/>
      <c r="D103" s="267"/>
      <c r="E103" s="267"/>
      <c r="F103" s="267"/>
      <c r="G103" s="267"/>
      <c r="H103" s="267"/>
      <c r="I103" s="267"/>
    </row>
    <row r="104" spans="1:9" ht="15.75">
      <c r="A104" s="267"/>
      <c r="B104" s="267"/>
      <c r="C104" s="267"/>
      <c r="D104" s="267"/>
      <c r="E104" s="267"/>
      <c r="F104" s="267"/>
      <c r="G104" s="267"/>
      <c r="H104" s="267"/>
      <c r="I104" s="267"/>
    </row>
    <row r="105" spans="1:9" ht="15.75">
      <c r="A105" s="267"/>
      <c r="B105" s="267"/>
      <c r="C105" s="267"/>
      <c r="D105" s="267"/>
      <c r="E105" s="267"/>
      <c r="F105" s="267"/>
      <c r="G105" s="267"/>
      <c r="H105" s="267"/>
      <c r="I105" s="267"/>
    </row>
    <row r="106" spans="1:9" ht="15.75">
      <c r="A106" s="267"/>
      <c r="B106" s="267"/>
      <c r="C106" s="267"/>
      <c r="D106" s="267"/>
      <c r="E106" s="267"/>
      <c r="F106" s="267"/>
      <c r="G106" s="267"/>
      <c r="H106" s="267"/>
      <c r="I106" s="267"/>
    </row>
    <row r="107" spans="1:9" ht="15.75">
      <c r="A107" s="267"/>
      <c r="B107" s="267"/>
      <c r="C107" s="267"/>
      <c r="D107" s="267"/>
      <c r="E107" s="267"/>
      <c r="F107" s="267"/>
      <c r="G107" s="267"/>
      <c r="H107" s="267"/>
      <c r="I107" s="267"/>
    </row>
    <row r="108" spans="1:9" ht="15.75">
      <c r="A108" s="267"/>
      <c r="B108" s="267"/>
      <c r="C108" s="267"/>
      <c r="D108" s="267"/>
      <c r="E108" s="267"/>
      <c r="F108" s="267"/>
      <c r="G108" s="267"/>
      <c r="H108" s="267"/>
      <c r="I108" s="267"/>
    </row>
    <row r="109" spans="1:9" ht="15.75">
      <c r="A109" s="267"/>
      <c r="B109" s="267"/>
      <c r="C109" s="267"/>
      <c r="D109" s="267"/>
      <c r="E109" s="267"/>
      <c r="F109" s="267"/>
      <c r="G109" s="267"/>
      <c r="H109" s="267"/>
      <c r="I109" s="267"/>
    </row>
    <row r="110" spans="1:9" ht="15.75">
      <c r="A110" s="267"/>
      <c r="B110" s="267"/>
      <c r="C110" s="267"/>
      <c r="D110" s="267"/>
      <c r="E110" s="267"/>
      <c r="F110" s="267"/>
      <c r="G110" s="267"/>
      <c r="H110" s="267"/>
      <c r="I110" s="267"/>
    </row>
    <row r="111" spans="1:9" ht="15.75">
      <c r="A111" s="267"/>
      <c r="B111" s="267"/>
      <c r="C111" s="267"/>
      <c r="D111" s="267"/>
      <c r="E111" s="267"/>
      <c r="F111" s="267"/>
      <c r="G111" s="267"/>
      <c r="H111" s="267"/>
      <c r="I111" s="267"/>
    </row>
    <row r="112" spans="1:9" ht="15.75">
      <c r="A112" s="267"/>
      <c r="B112" s="267"/>
      <c r="C112" s="267"/>
      <c r="D112" s="267"/>
      <c r="E112" s="267"/>
      <c r="F112" s="267"/>
      <c r="G112" s="267"/>
      <c r="H112" s="267"/>
      <c r="I112" s="267"/>
    </row>
    <row r="113" spans="1:9" ht="15.75">
      <c r="A113" s="267"/>
      <c r="B113" s="267"/>
      <c r="C113" s="267"/>
      <c r="D113" s="267"/>
      <c r="E113" s="267"/>
      <c r="F113" s="267"/>
      <c r="G113" s="267"/>
      <c r="H113" s="267"/>
      <c r="I113" s="267"/>
    </row>
    <row r="114" spans="1:9" ht="15.75">
      <c r="A114" s="267"/>
      <c r="B114" s="267"/>
      <c r="C114" s="267"/>
      <c r="D114" s="267"/>
      <c r="E114" s="267"/>
      <c r="F114" s="267"/>
      <c r="G114" s="267"/>
      <c r="H114" s="267"/>
      <c r="I114" s="267"/>
    </row>
    <row r="115" spans="1:9" ht="15.75">
      <c r="A115" s="267"/>
      <c r="B115" s="267"/>
      <c r="C115" s="267"/>
      <c r="D115" s="267"/>
      <c r="E115" s="267"/>
      <c r="F115" s="267"/>
      <c r="G115" s="267"/>
      <c r="H115" s="267"/>
      <c r="I115" s="267"/>
    </row>
    <row r="116" spans="1:9" ht="15.75">
      <c r="A116" s="267"/>
      <c r="B116" s="267"/>
      <c r="C116" s="267"/>
      <c r="D116" s="267"/>
      <c r="E116" s="267"/>
      <c r="F116" s="267"/>
      <c r="G116" s="267"/>
      <c r="H116" s="267"/>
      <c r="I116" s="267"/>
    </row>
    <row r="117" spans="1:9" ht="15.75">
      <c r="A117" s="267"/>
      <c r="B117" s="267"/>
      <c r="C117" s="267"/>
      <c r="D117" s="267"/>
      <c r="E117" s="267"/>
      <c r="F117" s="267"/>
      <c r="G117" s="267"/>
      <c r="H117" s="267"/>
      <c r="I117" s="267"/>
    </row>
    <row r="118" spans="1:9" ht="15.75">
      <c r="A118" s="267"/>
      <c r="B118" s="267"/>
      <c r="C118" s="267"/>
      <c r="D118" s="267"/>
      <c r="E118" s="267"/>
      <c r="F118" s="267"/>
      <c r="G118" s="267"/>
      <c r="H118" s="267"/>
      <c r="I118" s="267"/>
    </row>
    <row r="119" spans="1:9" ht="15.75">
      <c r="A119" s="267"/>
      <c r="B119" s="267"/>
      <c r="C119" s="267"/>
      <c r="D119" s="267"/>
      <c r="E119" s="267"/>
      <c r="F119" s="267"/>
      <c r="G119" s="267"/>
      <c r="H119" s="267"/>
      <c r="I119" s="267"/>
    </row>
    <row r="120" spans="1:9" ht="15.75">
      <c r="A120" s="267"/>
      <c r="B120" s="267"/>
      <c r="C120" s="267"/>
      <c r="D120" s="267"/>
      <c r="E120" s="267"/>
      <c r="F120" s="267"/>
      <c r="G120" s="267"/>
      <c r="H120" s="267"/>
      <c r="I120" s="267"/>
    </row>
    <row r="121" spans="1:9" ht="15.75">
      <c r="A121" s="267"/>
      <c r="B121" s="267"/>
      <c r="C121" s="267"/>
      <c r="D121" s="267"/>
      <c r="E121" s="267"/>
      <c r="F121" s="267"/>
      <c r="G121" s="267"/>
      <c r="H121" s="267"/>
      <c r="I121" s="267"/>
    </row>
    <row r="122" spans="1:9" ht="15.75">
      <c r="A122" s="267"/>
      <c r="B122" s="267"/>
      <c r="C122" s="267"/>
      <c r="D122" s="267"/>
      <c r="E122" s="267"/>
      <c r="F122" s="267"/>
      <c r="G122" s="267"/>
      <c r="H122" s="267"/>
      <c r="I122" s="267"/>
    </row>
    <row r="123" spans="1:9" ht="15.75">
      <c r="A123" s="267"/>
      <c r="B123" s="267"/>
      <c r="C123" s="267"/>
      <c r="D123" s="267"/>
      <c r="E123" s="267"/>
      <c r="F123" s="267"/>
      <c r="G123" s="267"/>
      <c r="H123" s="267"/>
      <c r="I123" s="267"/>
    </row>
    <row r="124" spans="1:9" ht="15.75">
      <c r="A124" s="267"/>
      <c r="B124" s="267"/>
      <c r="C124" s="267"/>
      <c r="D124" s="267"/>
      <c r="E124" s="267"/>
      <c r="F124" s="267"/>
      <c r="G124" s="267"/>
      <c r="H124" s="267"/>
      <c r="I124" s="267"/>
    </row>
    <row r="125" spans="1:9" ht="15.75">
      <c r="A125" s="267"/>
      <c r="B125" s="267"/>
      <c r="C125" s="267"/>
      <c r="D125" s="267"/>
      <c r="E125" s="267"/>
      <c r="F125" s="267"/>
      <c r="G125" s="267"/>
      <c r="H125" s="267"/>
      <c r="I125" s="267"/>
    </row>
    <row r="126" spans="1:9" ht="15.75">
      <c r="A126" s="267"/>
      <c r="B126" s="267"/>
      <c r="C126" s="267"/>
      <c r="D126" s="267"/>
      <c r="E126" s="267"/>
      <c r="F126" s="267"/>
      <c r="G126" s="267"/>
      <c r="H126" s="267"/>
      <c r="I126" s="267"/>
    </row>
    <row r="127" spans="1:9" ht="15.75">
      <c r="A127" s="267"/>
      <c r="B127" s="267"/>
      <c r="C127" s="267"/>
      <c r="D127" s="267"/>
      <c r="E127" s="267"/>
      <c r="F127" s="267"/>
      <c r="G127" s="267"/>
      <c r="H127" s="267"/>
      <c r="I127" s="267"/>
    </row>
    <row r="128" spans="1:9" ht="15.75">
      <c r="A128" s="267"/>
      <c r="B128" s="267"/>
      <c r="C128" s="267"/>
      <c r="D128" s="267"/>
      <c r="E128" s="267"/>
      <c r="F128" s="267"/>
      <c r="G128" s="267"/>
      <c r="H128" s="267"/>
      <c r="I128" s="267"/>
    </row>
    <row r="129" spans="1:9" ht="15.75">
      <c r="A129" s="267"/>
      <c r="B129" s="267"/>
      <c r="C129" s="267"/>
      <c r="D129" s="267"/>
      <c r="E129" s="267"/>
      <c r="F129" s="267"/>
      <c r="G129" s="267"/>
      <c r="H129" s="267"/>
      <c r="I129" s="267"/>
    </row>
    <row r="130" spans="1:9" ht="15.75">
      <c r="A130" s="267"/>
      <c r="B130" s="267"/>
      <c r="C130" s="267"/>
      <c r="D130" s="267"/>
      <c r="E130" s="267"/>
      <c r="F130" s="267"/>
      <c r="G130" s="267"/>
      <c r="H130" s="267"/>
      <c r="I130" s="267"/>
    </row>
    <row r="131" spans="1:9" ht="15.75">
      <c r="A131" s="267"/>
      <c r="B131" s="267"/>
      <c r="C131" s="267"/>
      <c r="D131" s="267"/>
      <c r="E131" s="267"/>
      <c r="F131" s="267"/>
      <c r="G131" s="267"/>
      <c r="H131" s="267"/>
      <c r="I131" s="267"/>
    </row>
    <row r="132" spans="1:9" ht="15.75">
      <c r="A132" s="267"/>
      <c r="B132" s="267"/>
      <c r="C132" s="267"/>
      <c r="D132" s="267"/>
      <c r="E132" s="267"/>
      <c r="F132" s="267"/>
      <c r="G132" s="267"/>
      <c r="H132" s="267"/>
      <c r="I132" s="267"/>
    </row>
    <row r="133" spans="1:9" ht="15.75">
      <c r="A133" s="267"/>
      <c r="B133" s="267"/>
      <c r="C133" s="267"/>
      <c r="D133" s="267"/>
      <c r="E133" s="267"/>
      <c r="F133" s="267"/>
      <c r="G133" s="267"/>
      <c r="H133" s="267"/>
      <c r="I133" s="267"/>
    </row>
    <row r="134" spans="1:9" ht="15.75">
      <c r="A134" s="267"/>
      <c r="B134" s="267"/>
      <c r="C134" s="267"/>
      <c r="D134" s="267"/>
      <c r="E134" s="267"/>
      <c r="F134" s="267"/>
      <c r="G134" s="267"/>
      <c r="H134" s="267"/>
      <c r="I134" s="267"/>
    </row>
    <row r="135" spans="1:9" ht="15.75">
      <c r="A135" s="267"/>
      <c r="B135" s="267"/>
      <c r="C135" s="267"/>
      <c r="D135" s="267"/>
      <c r="E135" s="267"/>
      <c r="F135" s="267"/>
      <c r="G135" s="267"/>
      <c r="H135" s="267"/>
      <c r="I135" s="267"/>
    </row>
    <row r="136" spans="1:9" ht="15.75">
      <c r="A136" s="267"/>
      <c r="B136" s="267"/>
      <c r="C136" s="267"/>
      <c r="D136" s="267"/>
      <c r="E136" s="267"/>
      <c r="F136" s="267"/>
      <c r="G136" s="267"/>
      <c r="H136" s="267"/>
      <c r="I136" s="267"/>
    </row>
    <row r="137" spans="1:9" ht="15.75">
      <c r="A137" s="267"/>
      <c r="B137" s="267"/>
      <c r="C137" s="267"/>
      <c r="D137" s="267"/>
      <c r="E137" s="267"/>
      <c r="F137" s="267"/>
      <c r="G137" s="267"/>
      <c r="H137" s="267"/>
      <c r="I137" s="267"/>
    </row>
    <row r="138" spans="1:9" ht="15.75">
      <c r="A138" s="267"/>
      <c r="B138" s="267"/>
      <c r="C138" s="267"/>
      <c r="D138" s="267"/>
      <c r="E138" s="267"/>
      <c r="F138" s="267"/>
      <c r="G138" s="267"/>
      <c r="H138" s="267"/>
      <c r="I138" s="267"/>
    </row>
    <row r="139" spans="1:9" ht="15.75">
      <c r="A139" s="267"/>
      <c r="B139" s="267"/>
      <c r="C139" s="267"/>
      <c r="D139" s="267"/>
      <c r="E139" s="267"/>
      <c r="F139" s="267"/>
      <c r="G139" s="267"/>
      <c r="H139" s="267"/>
      <c r="I139" s="267"/>
    </row>
    <row r="140" spans="1:9" ht="15.75">
      <c r="A140" s="267"/>
      <c r="B140" s="267"/>
      <c r="C140" s="267"/>
      <c r="D140" s="267"/>
      <c r="E140" s="267"/>
      <c r="F140" s="267"/>
      <c r="G140" s="267"/>
      <c r="H140" s="267"/>
      <c r="I140" s="267"/>
    </row>
    <row r="141" spans="1:9" ht="15.75">
      <c r="A141" s="267"/>
      <c r="B141" s="267"/>
      <c r="C141" s="267"/>
      <c r="D141" s="267"/>
      <c r="E141" s="267"/>
      <c r="F141" s="267"/>
      <c r="G141" s="267"/>
      <c r="H141" s="267"/>
      <c r="I141" s="267"/>
    </row>
    <row r="142" spans="1:9" ht="15.75">
      <c r="A142" s="267"/>
      <c r="B142" s="267"/>
      <c r="C142" s="267"/>
      <c r="D142" s="267"/>
      <c r="E142" s="267"/>
      <c r="F142" s="267"/>
      <c r="G142" s="267"/>
      <c r="H142" s="267"/>
      <c r="I142" s="267"/>
    </row>
    <row r="143" spans="1:9" ht="15.75">
      <c r="A143" s="267"/>
      <c r="B143" s="267"/>
      <c r="C143" s="267"/>
      <c r="D143" s="267"/>
      <c r="E143" s="267"/>
      <c r="F143" s="267"/>
      <c r="G143" s="267"/>
      <c r="H143" s="267"/>
      <c r="I143" s="267"/>
    </row>
    <row r="144" spans="1:9" ht="15.75">
      <c r="A144" s="267"/>
      <c r="B144" s="267"/>
      <c r="C144" s="267"/>
      <c r="D144" s="267"/>
      <c r="E144" s="267"/>
      <c r="F144" s="267"/>
      <c r="G144" s="267"/>
      <c r="H144" s="267"/>
      <c r="I144" s="267"/>
    </row>
    <row r="145" spans="1:9" ht="15.75">
      <c r="A145" s="267"/>
      <c r="B145" s="267"/>
      <c r="C145" s="267"/>
      <c r="D145" s="267"/>
      <c r="E145" s="267"/>
      <c r="F145" s="267"/>
      <c r="G145" s="267"/>
      <c r="H145" s="267"/>
      <c r="I145" s="267"/>
    </row>
    <row r="146" spans="1:9" ht="15.75">
      <c r="A146" s="267"/>
      <c r="B146" s="267"/>
      <c r="C146" s="267"/>
      <c r="D146" s="267"/>
      <c r="E146" s="267"/>
      <c r="F146" s="267"/>
      <c r="G146" s="267"/>
      <c r="H146" s="267"/>
      <c r="I146" s="267"/>
    </row>
    <row r="147" spans="1:9" ht="15.75">
      <c r="A147" s="267"/>
      <c r="B147" s="267"/>
      <c r="C147" s="267"/>
      <c r="D147" s="267"/>
      <c r="E147" s="267"/>
      <c r="F147" s="267"/>
      <c r="G147" s="267"/>
      <c r="H147" s="267"/>
      <c r="I147" s="267"/>
    </row>
    <row r="148" spans="1:9" ht="15.75">
      <c r="A148" s="267"/>
      <c r="B148" s="267"/>
      <c r="C148" s="267"/>
      <c r="D148" s="267"/>
      <c r="E148" s="267"/>
      <c r="F148" s="267"/>
      <c r="G148" s="267"/>
      <c r="H148" s="267"/>
      <c r="I148" s="267"/>
    </row>
    <row r="149" spans="1:9" ht="15.75">
      <c r="A149" s="267"/>
      <c r="B149" s="267"/>
      <c r="C149" s="267"/>
      <c r="D149" s="267"/>
      <c r="E149" s="267"/>
      <c r="F149" s="267"/>
      <c r="G149" s="267"/>
      <c r="H149" s="267"/>
      <c r="I149" s="267"/>
    </row>
    <row r="150" spans="1:9" ht="15.75">
      <c r="A150" s="267"/>
      <c r="B150" s="267"/>
      <c r="C150" s="267"/>
      <c r="D150" s="267"/>
      <c r="E150" s="267"/>
      <c r="F150" s="267"/>
      <c r="G150" s="267"/>
      <c r="H150" s="267"/>
      <c r="I150" s="267"/>
    </row>
    <row r="151" spans="1:9" ht="15.75">
      <c r="A151" s="267"/>
      <c r="B151" s="267"/>
      <c r="C151" s="267"/>
      <c r="D151" s="267"/>
      <c r="E151" s="267"/>
      <c r="F151" s="267"/>
      <c r="G151" s="267"/>
      <c r="H151" s="267"/>
      <c r="I151" s="267"/>
    </row>
    <row r="152" spans="1:9" ht="15.75">
      <c r="A152" s="267"/>
      <c r="B152" s="267"/>
      <c r="C152" s="267"/>
      <c r="D152" s="267"/>
      <c r="E152" s="267"/>
      <c r="F152" s="267"/>
      <c r="G152" s="267"/>
      <c r="H152" s="267"/>
      <c r="I152" s="267"/>
    </row>
    <row r="153" spans="1:9" ht="15.75">
      <c r="A153" s="267"/>
      <c r="B153" s="267"/>
      <c r="C153" s="267"/>
      <c r="D153" s="267"/>
      <c r="E153" s="267"/>
      <c r="F153" s="267"/>
      <c r="G153" s="267"/>
      <c r="H153" s="267"/>
      <c r="I153" s="267"/>
    </row>
    <row r="154" spans="1:9" ht="15.75">
      <c r="A154" s="267"/>
      <c r="B154" s="267"/>
      <c r="C154" s="267"/>
      <c r="D154" s="267"/>
      <c r="E154" s="267"/>
      <c r="F154" s="267"/>
      <c r="G154" s="267"/>
      <c r="H154" s="267"/>
      <c r="I154" s="267"/>
    </row>
    <row r="155" spans="1:9" ht="15.75">
      <c r="A155" s="267"/>
      <c r="B155" s="267"/>
      <c r="C155" s="267"/>
      <c r="D155" s="267"/>
      <c r="E155" s="267"/>
      <c r="F155" s="267"/>
      <c r="G155" s="267"/>
      <c r="H155" s="267"/>
      <c r="I155" s="267"/>
    </row>
    <row r="156" spans="1:9" ht="15.75">
      <c r="A156" s="267"/>
      <c r="B156" s="267"/>
      <c r="C156" s="267"/>
      <c r="D156" s="267"/>
      <c r="E156" s="267"/>
      <c r="F156" s="267"/>
      <c r="G156" s="267"/>
      <c r="H156" s="267"/>
      <c r="I156" s="267"/>
    </row>
    <row r="157" spans="1:9" ht="15.75">
      <c r="A157" s="267"/>
      <c r="B157" s="267"/>
      <c r="C157" s="267"/>
      <c r="D157" s="267"/>
      <c r="E157" s="267"/>
      <c r="F157" s="267"/>
      <c r="G157" s="267"/>
      <c r="H157" s="267"/>
      <c r="I157" s="267"/>
    </row>
    <row r="158" spans="1:9" ht="15.75">
      <c r="A158" s="267"/>
      <c r="B158" s="267"/>
      <c r="C158" s="267"/>
      <c r="D158" s="267"/>
      <c r="E158" s="267"/>
      <c r="F158" s="267"/>
      <c r="G158" s="267"/>
      <c r="H158" s="267"/>
      <c r="I158" s="267"/>
    </row>
    <row r="159" spans="1:9" ht="15.75">
      <c r="A159" s="267"/>
      <c r="B159" s="267"/>
      <c r="C159" s="267"/>
      <c r="D159" s="267"/>
      <c r="E159" s="267"/>
      <c r="F159" s="267"/>
      <c r="G159" s="267"/>
      <c r="H159" s="267"/>
      <c r="I159" s="267"/>
    </row>
    <row r="160" spans="1:9" ht="15.75">
      <c r="A160" s="267"/>
      <c r="B160" s="267"/>
      <c r="C160" s="267"/>
      <c r="D160" s="267"/>
      <c r="E160" s="267"/>
      <c r="F160" s="267"/>
      <c r="G160" s="267"/>
      <c r="H160" s="267"/>
      <c r="I160" s="267"/>
    </row>
    <row r="161" spans="1:9" ht="15.75">
      <c r="A161" s="267"/>
      <c r="B161" s="267"/>
      <c r="C161" s="267"/>
      <c r="D161" s="267"/>
      <c r="E161" s="267"/>
      <c r="F161" s="267"/>
      <c r="G161" s="267"/>
      <c r="H161" s="267"/>
      <c r="I161" s="267"/>
    </row>
    <row r="162" spans="1:9" ht="15.75">
      <c r="A162" s="267"/>
      <c r="B162" s="267"/>
      <c r="C162" s="267"/>
      <c r="D162" s="267"/>
      <c r="E162" s="267"/>
      <c r="F162" s="267"/>
      <c r="G162" s="267"/>
      <c r="H162" s="267"/>
      <c r="I162" s="267"/>
    </row>
    <row r="163" spans="1:9" ht="15.75">
      <c r="A163" s="267"/>
      <c r="B163" s="267"/>
      <c r="C163" s="267"/>
      <c r="D163" s="267"/>
      <c r="E163" s="267"/>
      <c r="F163" s="267"/>
      <c r="G163" s="267"/>
      <c r="H163" s="267"/>
      <c r="I163" s="267"/>
    </row>
    <row r="164" spans="1:9" ht="15.75">
      <c r="A164" s="267"/>
      <c r="B164" s="267"/>
      <c r="C164" s="267"/>
      <c r="D164" s="267"/>
      <c r="E164" s="267"/>
      <c r="F164" s="267"/>
      <c r="G164" s="267"/>
      <c r="H164" s="267"/>
      <c r="I164" s="267"/>
    </row>
    <row r="165" spans="1:9" ht="15.75">
      <c r="A165" s="267"/>
      <c r="B165" s="267"/>
      <c r="C165" s="267"/>
      <c r="D165" s="267"/>
      <c r="E165" s="267"/>
      <c r="F165" s="267"/>
      <c r="G165" s="267"/>
      <c r="H165" s="267"/>
      <c r="I165" s="267"/>
    </row>
    <row r="166" spans="1:9" ht="15.75">
      <c r="A166" s="267"/>
      <c r="B166" s="267"/>
      <c r="C166" s="267"/>
      <c r="D166" s="267"/>
      <c r="E166" s="267"/>
      <c r="F166" s="267"/>
      <c r="G166" s="267"/>
      <c r="H166" s="267"/>
      <c r="I166" s="267"/>
    </row>
    <row r="167" spans="1:9" ht="15.75">
      <c r="A167" s="267"/>
      <c r="B167" s="267"/>
      <c r="C167" s="267"/>
      <c r="D167" s="267"/>
      <c r="E167" s="267"/>
      <c r="F167" s="267"/>
      <c r="G167" s="267"/>
      <c r="H167" s="267"/>
      <c r="I167" s="267"/>
    </row>
    <row r="168" spans="1:9" ht="15.75">
      <c r="A168" s="267"/>
      <c r="B168" s="267"/>
      <c r="C168" s="267"/>
      <c r="D168" s="267"/>
      <c r="E168" s="267"/>
      <c r="F168" s="267"/>
      <c r="G168" s="267"/>
      <c r="H168" s="267"/>
      <c r="I168" s="267"/>
    </row>
    <row r="169" spans="1:9" ht="15.75">
      <c r="A169" s="267"/>
      <c r="B169" s="267"/>
      <c r="C169" s="267"/>
      <c r="D169" s="267"/>
      <c r="E169" s="267"/>
      <c r="F169" s="267"/>
      <c r="G169" s="267"/>
      <c r="H169" s="267"/>
      <c r="I169" s="267"/>
    </row>
    <row r="170" spans="1:9" ht="15.75">
      <c r="A170" s="267"/>
      <c r="B170" s="267"/>
      <c r="C170" s="267"/>
      <c r="D170" s="267"/>
      <c r="E170" s="267"/>
      <c r="F170" s="267"/>
      <c r="G170" s="267"/>
      <c r="H170" s="267"/>
      <c r="I170" s="267"/>
    </row>
    <row r="171" spans="1:9" ht="15.75">
      <c r="A171" s="267"/>
      <c r="B171" s="267"/>
      <c r="C171" s="267"/>
      <c r="D171" s="267"/>
      <c r="E171" s="267"/>
      <c r="F171" s="267"/>
      <c r="G171" s="267"/>
      <c r="H171" s="267"/>
      <c r="I171" s="267"/>
    </row>
    <row r="172" spans="1:9" ht="15.75">
      <c r="A172" s="267"/>
      <c r="B172" s="267"/>
      <c r="C172" s="267"/>
      <c r="D172" s="267"/>
      <c r="E172" s="267"/>
      <c r="F172" s="267"/>
      <c r="G172" s="267"/>
      <c r="H172" s="267"/>
      <c r="I172" s="267"/>
    </row>
    <row r="173" spans="1:9" ht="15.75">
      <c r="A173" s="267"/>
      <c r="B173" s="267"/>
      <c r="C173" s="267"/>
      <c r="D173" s="267"/>
      <c r="E173" s="267"/>
      <c r="F173" s="267"/>
      <c r="G173" s="267"/>
      <c r="H173" s="267"/>
      <c r="I173" s="267"/>
    </row>
    <row r="174" spans="1:9" ht="15.75">
      <c r="A174" s="267"/>
      <c r="B174" s="267"/>
      <c r="C174" s="267"/>
      <c r="D174" s="267"/>
      <c r="E174" s="267"/>
      <c r="F174" s="267"/>
      <c r="G174" s="267"/>
      <c r="H174" s="267"/>
      <c r="I174" s="267"/>
    </row>
    <row r="175" spans="1:9" ht="15.75">
      <c r="A175" s="267"/>
      <c r="B175" s="267"/>
      <c r="C175" s="267"/>
      <c r="D175" s="267"/>
      <c r="E175" s="267"/>
      <c r="F175" s="267"/>
      <c r="G175" s="267"/>
      <c r="H175" s="267"/>
      <c r="I175" s="267"/>
    </row>
    <row r="176" spans="1:9" ht="15.75">
      <c r="A176" s="267"/>
      <c r="B176" s="267"/>
      <c r="C176" s="267"/>
      <c r="D176" s="267"/>
      <c r="E176" s="267"/>
      <c r="F176" s="267"/>
      <c r="G176" s="267"/>
      <c r="H176" s="267"/>
      <c r="I176" s="267"/>
    </row>
    <row r="177" spans="1:9" ht="15.75">
      <c r="A177" s="267"/>
      <c r="B177" s="267"/>
      <c r="C177" s="267"/>
      <c r="D177" s="267"/>
      <c r="E177" s="267"/>
      <c r="F177" s="267"/>
      <c r="G177" s="267"/>
      <c r="H177" s="267"/>
      <c r="I177" s="267"/>
    </row>
    <row r="178" spans="1:9" ht="15.75">
      <c r="A178" s="267"/>
      <c r="B178" s="267"/>
      <c r="C178" s="267"/>
      <c r="D178" s="267"/>
      <c r="E178" s="267"/>
      <c r="F178" s="267"/>
      <c r="G178" s="267"/>
      <c r="H178" s="267"/>
      <c r="I178" s="267"/>
    </row>
    <row r="179" spans="1:9" ht="15.75">
      <c r="A179" s="267"/>
      <c r="B179" s="267"/>
      <c r="C179" s="267"/>
      <c r="D179" s="267"/>
      <c r="E179" s="267"/>
      <c r="F179" s="267"/>
      <c r="G179" s="267"/>
      <c r="H179" s="267"/>
      <c r="I179" s="267"/>
    </row>
    <row r="180" spans="1:9" ht="15.75">
      <c r="A180" s="267"/>
      <c r="B180" s="267"/>
      <c r="C180" s="267"/>
      <c r="D180" s="267"/>
      <c r="E180" s="267"/>
      <c r="F180" s="267"/>
      <c r="G180" s="267"/>
      <c r="H180" s="267"/>
      <c r="I180" s="267"/>
    </row>
    <row r="181" spans="1:9" ht="15.75">
      <c r="A181" s="267"/>
      <c r="B181" s="267"/>
      <c r="C181" s="267"/>
      <c r="D181" s="267"/>
      <c r="E181" s="267"/>
      <c r="F181" s="267"/>
      <c r="G181" s="267"/>
      <c r="H181" s="267"/>
      <c r="I181" s="267"/>
    </row>
    <row r="182" spans="1:9" ht="15.75">
      <c r="A182" s="267"/>
      <c r="B182" s="267"/>
      <c r="C182" s="267"/>
      <c r="D182" s="267"/>
      <c r="E182" s="267"/>
      <c r="F182" s="267"/>
      <c r="G182" s="267"/>
      <c r="H182" s="267"/>
      <c r="I182" s="267"/>
    </row>
    <row r="183" spans="1:9" ht="15.75">
      <c r="A183" s="267"/>
      <c r="B183" s="267"/>
      <c r="C183" s="267"/>
      <c r="D183" s="267"/>
      <c r="E183" s="267"/>
      <c r="F183" s="267"/>
      <c r="G183" s="267"/>
      <c r="H183" s="267"/>
      <c r="I183" s="267"/>
    </row>
    <row r="184" spans="1:9" ht="15.75">
      <c r="A184" s="267"/>
      <c r="B184" s="267"/>
      <c r="C184" s="267"/>
      <c r="D184" s="267"/>
      <c r="E184" s="267"/>
      <c r="F184" s="267"/>
      <c r="G184" s="267"/>
      <c r="H184" s="267"/>
      <c r="I184" s="267"/>
    </row>
    <row r="185" spans="1:9" ht="15.75">
      <c r="A185" s="267"/>
      <c r="B185" s="267"/>
      <c r="C185" s="267"/>
      <c r="D185" s="267"/>
      <c r="E185" s="267"/>
      <c r="F185" s="267"/>
      <c r="G185" s="267"/>
      <c r="H185" s="267"/>
      <c r="I185" s="267"/>
    </row>
    <row r="186" spans="1:9" ht="15.75">
      <c r="A186" s="267"/>
      <c r="B186" s="267"/>
      <c r="C186" s="267"/>
      <c r="D186" s="267"/>
      <c r="E186" s="267"/>
      <c r="F186" s="267"/>
      <c r="G186" s="267"/>
      <c r="H186" s="267"/>
      <c r="I186" s="267"/>
    </row>
    <row r="187" spans="1:9" ht="15.75">
      <c r="A187" s="267"/>
      <c r="B187" s="267"/>
      <c r="C187" s="267"/>
      <c r="D187" s="267"/>
      <c r="E187" s="267"/>
      <c r="F187" s="267"/>
      <c r="G187" s="267"/>
      <c r="H187" s="267"/>
      <c r="I187" s="267"/>
    </row>
    <row r="188" spans="1:9" ht="15.75">
      <c r="A188" s="267"/>
      <c r="B188" s="267"/>
      <c r="C188" s="267"/>
      <c r="D188" s="267"/>
      <c r="E188" s="267"/>
      <c r="F188" s="267"/>
      <c r="G188" s="267"/>
      <c r="H188" s="267"/>
      <c r="I188" s="267"/>
    </row>
    <row r="189" spans="1:9" ht="15.75">
      <c r="A189" s="267"/>
      <c r="B189" s="267"/>
      <c r="C189" s="267"/>
      <c r="D189" s="267"/>
      <c r="E189" s="267"/>
      <c r="F189" s="267"/>
      <c r="G189" s="267"/>
      <c r="H189" s="267"/>
      <c r="I189" s="267"/>
    </row>
    <row r="190" spans="1:9" ht="15.75">
      <c r="A190" s="267"/>
      <c r="B190" s="267"/>
      <c r="C190" s="267"/>
      <c r="D190" s="267"/>
      <c r="E190" s="267"/>
      <c r="F190" s="267"/>
      <c r="G190" s="267"/>
      <c r="H190" s="267"/>
      <c r="I190" s="267"/>
    </row>
    <row r="191" spans="1:9" ht="15.75">
      <c r="A191" s="267"/>
      <c r="B191" s="267"/>
      <c r="C191" s="267"/>
      <c r="D191" s="267"/>
      <c r="E191" s="267"/>
      <c r="F191" s="267"/>
      <c r="G191" s="267"/>
      <c r="H191" s="267"/>
      <c r="I191" s="267"/>
    </row>
    <row r="192" spans="1:9" ht="15.75">
      <c r="A192" s="267"/>
      <c r="B192" s="267"/>
      <c r="C192" s="267"/>
      <c r="D192" s="267"/>
      <c r="E192" s="267"/>
      <c r="F192" s="267"/>
      <c r="G192" s="267"/>
      <c r="H192" s="267"/>
      <c r="I192" s="267"/>
    </row>
    <row r="193" spans="1:9" ht="15.75">
      <c r="A193" s="267"/>
      <c r="B193" s="267"/>
      <c r="C193" s="267"/>
      <c r="D193" s="267"/>
      <c r="E193" s="267"/>
      <c r="F193" s="267"/>
      <c r="G193" s="267"/>
      <c r="H193" s="267"/>
      <c r="I193" s="267"/>
    </row>
    <row r="194" spans="1:9" ht="15.75">
      <c r="A194" s="267"/>
      <c r="B194" s="267"/>
      <c r="C194" s="267"/>
      <c r="D194" s="267"/>
      <c r="E194" s="267"/>
      <c r="F194" s="267"/>
      <c r="G194" s="267"/>
      <c r="H194" s="267"/>
      <c r="I194" s="267"/>
    </row>
    <row r="195" spans="1:9" ht="15.75">
      <c r="A195" s="267"/>
      <c r="B195" s="267"/>
      <c r="C195" s="267"/>
      <c r="D195" s="267"/>
      <c r="E195" s="267"/>
      <c r="F195" s="267"/>
      <c r="G195" s="267"/>
      <c r="H195" s="267"/>
      <c r="I195" s="267"/>
    </row>
    <row r="196" spans="1:9" ht="15.75">
      <c r="A196" s="267"/>
      <c r="B196" s="267"/>
      <c r="C196" s="267"/>
      <c r="D196" s="267"/>
      <c r="E196" s="267"/>
      <c r="F196" s="267"/>
      <c r="G196" s="267"/>
      <c r="H196" s="267"/>
      <c r="I196" s="267"/>
    </row>
    <row r="197" spans="1:9" ht="15.75">
      <c r="A197" s="267"/>
      <c r="B197" s="267"/>
      <c r="C197" s="267"/>
      <c r="D197" s="267"/>
      <c r="E197" s="267"/>
      <c r="F197" s="267"/>
      <c r="G197" s="267"/>
      <c r="H197" s="267"/>
      <c r="I197" s="267"/>
    </row>
    <row r="198" spans="1:9" ht="15.75">
      <c r="A198" s="267"/>
      <c r="B198" s="267"/>
      <c r="C198" s="267"/>
      <c r="D198" s="267"/>
      <c r="E198" s="267"/>
      <c r="F198" s="267"/>
      <c r="G198" s="267"/>
      <c r="H198" s="267"/>
      <c r="I198" s="267"/>
    </row>
    <row r="199" spans="1:9" ht="15.75">
      <c r="A199" s="267"/>
      <c r="B199" s="267"/>
      <c r="C199" s="267"/>
      <c r="D199" s="267"/>
      <c r="E199" s="267"/>
      <c r="F199" s="267"/>
      <c r="G199" s="267"/>
      <c r="H199" s="267"/>
      <c r="I199" s="267"/>
    </row>
    <row r="200" spans="1:9" ht="15.75">
      <c r="A200" s="267"/>
      <c r="B200" s="267"/>
      <c r="C200" s="267"/>
      <c r="D200" s="267"/>
      <c r="E200" s="267"/>
      <c r="F200" s="267"/>
      <c r="G200" s="267"/>
      <c r="H200" s="267"/>
      <c r="I200" s="267"/>
    </row>
    <row r="201" spans="1:9">
      <c r="A201" s="652" t="s">
        <v>667</v>
      </c>
      <c r="B201" s="652"/>
      <c r="C201" s="652"/>
      <c r="D201" s="652"/>
      <c r="E201" s="652"/>
      <c r="F201" s="652"/>
      <c r="G201" s="652"/>
      <c r="H201" s="652"/>
      <c r="I201" s="652"/>
    </row>
  </sheetData>
  <sortState ref="A4:I200">
    <sortCondition ref="A4:A200"/>
  </sortState>
  <mergeCells count="5">
    <mergeCell ref="A2:A3"/>
    <mergeCell ref="B2:B3"/>
    <mergeCell ref="C2:F2"/>
    <mergeCell ref="G2:H2"/>
    <mergeCell ref="A201:I20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0" sqref="H10"/>
    </sheetView>
  </sheetViews>
  <sheetFormatPr defaultRowHeight="15"/>
  <cols>
    <col min="1" max="1" width="23.42578125" style="302" customWidth="1"/>
    <col min="2" max="3" width="9.140625" style="302"/>
    <col min="4" max="4" width="16.7109375" style="302" bestFit="1" customWidth="1"/>
    <col min="5" max="5" width="20" style="302" customWidth="1"/>
    <col min="6" max="6" width="9.140625" style="302"/>
    <col min="7" max="7" width="17.7109375" style="302" bestFit="1" customWidth="1"/>
    <col min="8" max="8" width="18.85546875" style="302" customWidth="1"/>
    <col min="9" max="16384" width="9.140625" style="302"/>
  </cols>
  <sheetData>
    <row r="1" spans="1:11" ht="44.25" customHeight="1"/>
    <row r="2" spans="1:11">
      <c r="A2" s="674" t="s">
        <v>703</v>
      </c>
      <c r="B2" s="675"/>
      <c r="C2" s="675"/>
      <c r="D2" s="675"/>
      <c r="E2" s="675"/>
      <c r="F2" s="675"/>
      <c r="G2" s="675"/>
      <c r="H2" s="675"/>
      <c r="I2" s="675"/>
      <c r="J2" s="675"/>
      <c r="K2" s="676"/>
    </row>
    <row r="3" spans="1:11">
      <c r="A3" s="677"/>
      <c r="B3" s="678"/>
      <c r="C3" s="678"/>
      <c r="D3" s="678"/>
      <c r="E3" s="678"/>
      <c r="F3" s="678"/>
      <c r="G3" s="678"/>
      <c r="H3" s="678"/>
      <c r="I3" s="678"/>
      <c r="J3" s="678"/>
      <c r="K3" s="679"/>
    </row>
    <row r="4" spans="1:11" ht="20.25">
      <c r="A4" s="680" t="s">
        <v>174</v>
      </c>
      <c r="B4" s="303"/>
      <c r="C4" s="304"/>
      <c r="D4" s="304"/>
      <c r="E4" s="304"/>
      <c r="F4" s="304"/>
      <c r="G4" s="304"/>
      <c r="H4" s="304"/>
      <c r="I4" s="304"/>
      <c r="J4" s="304"/>
      <c r="K4" s="305"/>
    </row>
    <row r="5" spans="1:11" ht="21" customHeight="1">
      <c r="A5" s="680"/>
      <c r="B5" s="306"/>
      <c r="C5" s="307"/>
      <c r="D5" s="308" t="s">
        <v>692</v>
      </c>
      <c r="E5" s="673" t="s">
        <v>548</v>
      </c>
      <c r="F5" s="673"/>
      <c r="G5" s="304"/>
      <c r="H5" s="681" t="s">
        <v>704</v>
      </c>
      <c r="I5" s="681"/>
      <c r="J5" s="682"/>
      <c r="K5" s="682"/>
    </row>
    <row r="6" spans="1:11" ht="20.25">
      <c r="A6" s="680"/>
      <c r="B6" s="306"/>
      <c r="C6" s="307"/>
      <c r="D6" s="307"/>
      <c r="E6" s="304"/>
      <c r="F6" s="304"/>
      <c r="G6" s="304"/>
      <c r="H6" s="304"/>
      <c r="I6" s="304"/>
      <c r="J6" s="304"/>
      <c r="K6" s="305"/>
    </row>
    <row r="7" spans="1:11" ht="21" customHeight="1">
      <c r="A7" s="680"/>
      <c r="B7" s="306"/>
      <c r="C7" s="307"/>
      <c r="D7" s="308" t="s">
        <v>705</v>
      </c>
      <c r="E7" s="432"/>
      <c r="F7" s="309"/>
      <c r="G7" s="304"/>
      <c r="H7" s="304"/>
      <c r="I7" s="304"/>
      <c r="J7" s="304"/>
      <c r="K7" s="305"/>
    </row>
    <row r="8" spans="1:11" ht="20.25">
      <c r="A8" s="310"/>
      <c r="B8" s="311"/>
      <c r="C8" s="312"/>
      <c r="D8" s="313"/>
      <c r="E8" s="314"/>
      <c r="F8" s="314"/>
      <c r="G8" s="315"/>
      <c r="H8" s="315"/>
      <c r="I8" s="315"/>
      <c r="J8" s="315"/>
      <c r="K8" s="316"/>
    </row>
    <row r="9" spans="1:11" ht="20.25">
      <c r="A9" s="683" t="s">
        <v>686</v>
      </c>
      <c r="B9" s="317"/>
      <c r="C9" s="318"/>
      <c r="D9" s="319"/>
      <c r="E9" s="320"/>
      <c r="F9" s="320"/>
      <c r="G9" s="321"/>
      <c r="H9" s="321"/>
      <c r="I9" s="321"/>
      <c r="J9" s="321"/>
      <c r="K9" s="322"/>
    </row>
    <row r="10" spans="1:11" ht="21" customHeight="1">
      <c r="A10" s="684"/>
      <c r="B10" s="323"/>
      <c r="C10" s="324"/>
      <c r="D10" s="325" t="s">
        <v>706</v>
      </c>
      <c r="E10" s="260"/>
      <c r="F10" s="326"/>
      <c r="G10" s="327" t="s">
        <v>707</v>
      </c>
      <c r="H10" s="260"/>
      <c r="I10" s="326"/>
      <c r="J10" s="326"/>
      <c r="K10" s="328"/>
    </row>
    <row r="11" spans="1:11" ht="20.25">
      <c r="A11" s="684"/>
      <c r="B11" s="323"/>
      <c r="C11" s="324"/>
      <c r="D11" s="324"/>
      <c r="E11" s="326"/>
      <c r="F11" s="326"/>
      <c r="G11" s="326"/>
      <c r="H11" s="326"/>
      <c r="I11" s="326"/>
      <c r="J11" s="326"/>
      <c r="K11" s="328"/>
    </row>
    <row r="12" spans="1:11" ht="21" customHeight="1">
      <c r="A12" s="684"/>
      <c r="B12" s="323"/>
      <c r="C12" s="324"/>
      <c r="D12" s="327" t="s">
        <v>708</v>
      </c>
      <c r="E12" s="260"/>
      <c r="F12" s="326"/>
      <c r="G12" s="327" t="s">
        <v>711</v>
      </c>
      <c r="H12" s="260"/>
      <c r="I12" s="326"/>
      <c r="J12" s="326"/>
      <c r="K12" s="328"/>
    </row>
    <row r="13" spans="1:11" ht="20.25">
      <c r="A13" s="685"/>
      <c r="B13" s="329"/>
      <c r="C13" s="330"/>
      <c r="D13" s="330"/>
      <c r="E13" s="331"/>
      <c r="F13" s="331"/>
      <c r="G13" s="331"/>
      <c r="H13" s="331"/>
      <c r="I13" s="331"/>
      <c r="J13" s="331"/>
      <c r="K13" s="332"/>
    </row>
    <row r="14" spans="1:11" ht="20.25">
      <c r="A14" s="670" t="s">
        <v>663</v>
      </c>
      <c r="B14" s="333"/>
      <c r="C14" s="334"/>
      <c r="D14" s="335"/>
      <c r="E14" s="336"/>
      <c r="F14" s="336"/>
      <c r="G14" s="337"/>
      <c r="H14" s="337"/>
      <c r="I14" s="337"/>
      <c r="J14" s="337"/>
      <c r="K14" s="338"/>
    </row>
    <row r="15" spans="1:11" ht="21" customHeight="1">
      <c r="A15" s="671"/>
      <c r="B15" s="306"/>
      <c r="C15" s="307"/>
      <c r="D15" s="308" t="s">
        <v>709</v>
      </c>
      <c r="E15" s="261"/>
      <c r="F15" s="304"/>
      <c r="G15" s="339" t="s">
        <v>710</v>
      </c>
      <c r="H15" s="261"/>
      <c r="I15" s="304"/>
      <c r="J15" s="304"/>
      <c r="K15" s="305"/>
    </row>
    <row r="16" spans="1:11" ht="20.25">
      <c r="A16" s="671"/>
      <c r="B16" s="306"/>
      <c r="C16" s="307"/>
      <c r="D16" s="308"/>
      <c r="E16" s="340"/>
      <c r="F16" s="304"/>
      <c r="G16" s="339"/>
      <c r="H16" s="340"/>
      <c r="I16" s="304"/>
      <c r="J16" s="304"/>
      <c r="K16" s="305"/>
    </row>
    <row r="17" spans="1:11" ht="20.25">
      <c r="A17" s="672"/>
      <c r="B17" s="341"/>
      <c r="C17" s="342"/>
      <c r="D17" s="343"/>
      <c r="E17" s="344"/>
      <c r="F17" s="344"/>
      <c r="G17" s="344"/>
      <c r="H17" s="344"/>
      <c r="I17" s="344"/>
      <c r="J17" s="344"/>
      <c r="K17" s="345"/>
    </row>
    <row r="61" spans="2:17">
      <c r="B61" s="346"/>
      <c r="C61" s="346"/>
      <c r="D61" s="346"/>
      <c r="E61" s="346"/>
      <c r="F61" s="346"/>
      <c r="G61" s="346"/>
      <c r="H61" s="346"/>
      <c r="I61" s="346"/>
      <c r="J61" s="346"/>
      <c r="K61" s="346"/>
      <c r="L61" s="346"/>
      <c r="M61" s="346"/>
      <c r="N61" s="346"/>
      <c r="O61" s="346"/>
      <c r="P61" s="346"/>
      <c r="Q61" s="346"/>
    </row>
  </sheetData>
  <sheetProtection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Y15" sqref="Y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88"/>
      <c r="B1" s="688"/>
      <c r="C1" s="688"/>
      <c r="D1" s="688"/>
      <c r="E1" s="688"/>
      <c r="F1" s="688"/>
      <c r="G1" s="688"/>
      <c r="H1" s="688"/>
      <c r="I1" s="688"/>
      <c r="J1" s="688"/>
      <c r="K1" s="688"/>
      <c r="L1" s="688"/>
      <c r="M1" s="688"/>
      <c r="N1" s="688"/>
      <c r="O1" s="688"/>
      <c r="P1" s="688"/>
      <c r="Q1" s="688"/>
      <c r="R1" s="14"/>
      <c r="S1" s="92" t="s">
        <v>87</v>
      </c>
      <c r="T1" s="93" t="s">
        <v>109</v>
      </c>
      <c r="U1" s="87" t="s">
        <v>114</v>
      </c>
      <c r="V1" s="247" t="s">
        <v>132</v>
      </c>
      <c r="W1" s="251" t="s">
        <v>687</v>
      </c>
      <c r="X1" s="250" t="s">
        <v>93</v>
      </c>
      <c r="Y1" s="250" t="s">
        <v>147</v>
      </c>
      <c r="Z1" s="256" t="s">
        <v>160</v>
      </c>
      <c r="AA1" s="247" t="s">
        <v>693</v>
      </c>
    </row>
    <row r="2" spans="1:27" ht="19.149999999999999" customHeight="1">
      <c r="A2" s="690"/>
      <c r="B2" s="688"/>
      <c r="C2" s="693"/>
      <c r="D2" s="691"/>
      <c r="E2" s="692"/>
      <c r="F2" s="692"/>
      <c r="G2" s="692"/>
      <c r="H2" s="692"/>
      <c r="I2" s="692"/>
      <c r="J2" s="692"/>
      <c r="K2" s="692"/>
      <c r="L2" s="692"/>
      <c r="M2" s="692"/>
      <c r="N2" s="692"/>
      <c r="O2" s="692"/>
      <c r="P2" s="686"/>
      <c r="Q2" s="686"/>
      <c r="R2" s="14"/>
      <c r="S2" s="89" t="s">
        <v>219</v>
      </c>
      <c r="T2" s="94" t="s">
        <v>110</v>
      </c>
      <c r="U2" s="97" t="s">
        <v>531</v>
      </c>
      <c r="V2" s="249" t="s">
        <v>490</v>
      </c>
      <c r="W2" s="252" t="s">
        <v>688</v>
      </c>
      <c r="X2" s="252" t="s">
        <v>151</v>
      </c>
      <c r="Y2" s="252" t="s">
        <v>148</v>
      </c>
      <c r="Z2" s="257" t="s">
        <v>151</v>
      </c>
      <c r="AA2" s="259" t="s">
        <v>694</v>
      </c>
    </row>
    <row r="3" spans="1:27" ht="19.149999999999999" customHeight="1">
      <c r="A3" s="690"/>
      <c r="B3" s="688"/>
      <c r="C3" s="694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532</v>
      </c>
      <c r="V3" s="249" t="s">
        <v>491</v>
      </c>
      <c r="W3" s="252" t="s">
        <v>689</v>
      </c>
      <c r="X3" s="252" t="s">
        <v>152</v>
      </c>
      <c r="Y3" s="252" t="s">
        <v>15</v>
      </c>
      <c r="Z3" s="257" t="s">
        <v>152</v>
      </c>
      <c r="AA3" s="259" t="s">
        <v>695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533</v>
      </c>
      <c r="V4" s="249" t="s">
        <v>134</v>
      </c>
      <c r="W4" s="252" t="s">
        <v>690</v>
      </c>
      <c r="X4" s="252" t="s">
        <v>4</v>
      </c>
      <c r="Y4" s="252" t="s">
        <v>149</v>
      </c>
      <c r="Z4" s="257" t="s">
        <v>4</v>
      </c>
      <c r="AA4" s="259" t="s">
        <v>696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540</v>
      </c>
      <c r="V5" s="249" t="s">
        <v>133</v>
      </c>
      <c r="W5" s="252" t="s">
        <v>691</v>
      </c>
      <c r="X5" s="252" t="s">
        <v>153</v>
      </c>
      <c r="Y5" s="252" t="s">
        <v>150</v>
      </c>
      <c r="Z5" s="257" t="s">
        <v>153</v>
      </c>
      <c r="AA5" s="259" t="s">
        <v>697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534</v>
      </c>
      <c r="V6" s="249" t="s">
        <v>492</v>
      </c>
      <c r="W6" s="252"/>
      <c r="X6" s="252" t="s">
        <v>15</v>
      </c>
      <c r="Y6" s="253"/>
      <c r="Z6" s="257" t="s">
        <v>15</v>
      </c>
      <c r="AA6" s="259" t="s">
        <v>698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541</v>
      </c>
      <c r="V7" s="249" t="s">
        <v>135</v>
      </c>
      <c r="W7" s="253"/>
      <c r="X7" s="253"/>
      <c r="Y7" s="253"/>
      <c r="Z7" s="258"/>
      <c r="AA7" s="259" t="s">
        <v>699</v>
      </c>
    </row>
    <row r="8" spans="1:27" ht="19.149999999999999" customHeight="1">
      <c r="A8" s="689" t="s">
        <v>115</v>
      </c>
      <c r="B8" s="689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95"/>
      <c r="K8" s="695"/>
      <c r="L8" s="14"/>
      <c r="M8" s="687"/>
      <c r="N8" s="687"/>
      <c r="O8" s="687"/>
      <c r="P8" s="14"/>
      <c r="Q8" s="14"/>
      <c r="R8" s="14"/>
      <c r="S8" s="89" t="s">
        <v>225</v>
      </c>
      <c r="T8" s="95" t="s">
        <v>102</v>
      </c>
      <c r="U8" s="97" t="s">
        <v>535</v>
      </c>
      <c r="V8" s="249" t="s">
        <v>250</v>
      </c>
      <c r="W8" s="253"/>
      <c r="X8" s="253"/>
      <c r="Y8" s="253"/>
      <c r="Z8" s="258"/>
      <c r="AA8" s="259" t="s">
        <v>700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490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542</v>
      </c>
      <c r="AA9" s="259" t="s">
        <v>701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491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536</v>
      </c>
      <c r="AA10" s="259" t="s">
        <v>681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543</v>
      </c>
      <c r="AA11" s="259" t="s">
        <v>679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537</v>
      </c>
      <c r="AA12" s="259" t="s">
        <v>702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720</v>
      </c>
      <c r="E13" s="14"/>
      <c r="F13" s="81" t="s">
        <v>492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544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538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61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545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539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546</v>
      </c>
    </row>
    <row r="18" spans="1:21" ht="19.149999999999999" customHeight="1">
      <c r="A18" s="82">
        <v>10</v>
      </c>
      <c r="B18" s="28"/>
      <c r="C18" s="14"/>
      <c r="D18" s="698" t="s">
        <v>233</v>
      </c>
      <c r="E18" s="698"/>
      <c r="F18" s="146">
        <f ca="1">TODAY()</f>
        <v>44410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89"/>
      <c r="B20" s="689"/>
      <c r="C20" s="14"/>
      <c r="D20" s="696" t="s">
        <v>39</v>
      </c>
      <c r="E20" s="697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62" t="s">
        <v>267</v>
      </c>
      <c r="D25" s="262" t="s">
        <v>121</v>
      </c>
      <c r="E25" s="262" t="s">
        <v>600</v>
      </c>
      <c r="F25" s="262" t="s">
        <v>135</v>
      </c>
      <c r="G25" s="262" t="s">
        <v>478</v>
      </c>
      <c r="H25" s="262" t="s">
        <v>601</v>
      </c>
      <c r="S25" s="88" t="s">
        <v>96</v>
      </c>
      <c r="T25" s="90"/>
      <c r="U25" s="91"/>
    </row>
    <row r="26" spans="1:21" ht="15" customHeight="1">
      <c r="C26" s="263" t="s">
        <v>712</v>
      </c>
      <c r="D26" s="263" t="s">
        <v>712</v>
      </c>
      <c r="E26" s="263" t="s">
        <v>712</v>
      </c>
      <c r="F26" s="263" t="s">
        <v>712</v>
      </c>
      <c r="G26" s="264" t="s">
        <v>716</v>
      </c>
      <c r="H26" s="264" t="s">
        <v>717</v>
      </c>
      <c r="S26" s="88" t="s">
        <v>57</v>
      </c>
      <c r="T26" s="90"/>
      <c r="U26" s="91"/>
    </row>
    <row r="27" spans="1:21" ht="15" customHeight="1">
      <c r="C27" s="263" t="s">
        <v>713</v>
      </c>
      <c r="D27" s="263" t="s">
        <v>713</v>
      </c>
      <c r="E27" s="263" t="s">
        <v>713</v>
      </c>
      <c r="F27" s="263" t="s">
        <v>713</v>
      </c>
      <c r="G27" s="263" t="s">
        <v>717</v>
      </c>
      <c r="H27" s="263" t="s">
        <v>718</v>
      </c>
      <c r="S27" s="88" t="s">
        <v>58</v>
      </c>
      <c r="T27" s="90"/>
      <c r="U27" s="91"/>
    </row>
    <row r="28" spans="1:21" ht="15" customHeight="1">
      <c r="C28" s="263" t="s">
        <v>714</v>
      </c>
      <c r="D28" s="263" t="s">
        <v>714</v>
      </c>
      <c r="E28" s="263" t="s">
        <v>714</v>
      </c>
      <c r="F28" s="263" t="s">
        <v>714</v>
      </c>
      <c r="G28" s="263" t="s">
        <v>718</v>
      </c>
      <c r="H28" s="263"/>
      <c r="S28" s="88" t="s">
        <v>59</v>
      </c>
      <c r="T28" s="90"/>
      <c r="U28" s="91"/>
    </row>
    <row r="29" spans="1:21" ht="18.75">
      <c r="C29" s="263" t="s">
        <v>715</v>
      </c>
      <c r="D29" s="263" t="s">
        <v>715</v>
      </c>
      <c r="E29" s="263" t="s">
        <v>715</v>
      </c>
      <c r="F29" s="263" t="s">
        <v>715</v>
      </c>
      <c r="G29" s="263" t="s">
        <v>719</v>
      </c>
      <c r="H29" s="263"/>
      <c r="S29" s="88" t="s">
        <v>60</v>
      </c>
      <c r="T29" s="91"/>
      <c r="U29" s="91"/>
    </row>
    <row r="30" spans="1:21">
      <c r="C30" s="263"/>
      <c r="D30" s="263"/>
      <c r="E30" s="263"/>
      <c r="F30" s="263"/>
      <c r="G30" s="263"/>
      <c r="H30" s="263"/>
      <c r="S30" s="88" t="s">
        <v>61</v>
      </c>
      <c r="T30" s="91"/>
      <c r="U30" s="91"/>
    </row>
    <row r="31" spans="1:21">
      <c r="C31" s="263"/>
      <c r="D31" s="263"/>
      <c r="E31" s="263"/>
      <c r="F31" s="263"/>
      <c r="G31" s="263"/>
      <c r="H31" s="263"/>
      <c r="S31" s="88" t="s">
        <v>62</v>
      </c>
      <c r="T31" s="91"/>
      <c r="U31" s="91"/>
    </row>
    <row r="32" spans="1:21">
      <c r="C32" s="263"/>
      <c r="D32" s="263"/>
      <c r="E32" s="263"/>
      <c r="F32" s="263"/>
      <c r="G32" s="263"/>
      <c r="H32" s="263"/>
      <c r="S32" s="88" t="s">
        <v>63</v>
      </c>
      <c r="T32" s="91"/>
      <c r="U32" s="91"/>
    </row>
    <row r="33" spans="3:19">
      <c r="C33" s="263"/>
      <c r="D33" s="263"/>
      <c r="E33" s="263"/>
      <c r="F33" s="263"/>
      <c r="G33" s="263"/>
      <c r="H33" s="263"/>
      <c r="S33" s="88" t="s">
        <v>64</v>
      </c>
    </row>
    <row r="34" spans="3:19">
      <c r="C34" s="263"/>
      <c r="D34" s="263"/>
      <c r="E34" s="263"/>
      <c r="F34" s="263"/>
      <c r="G34" s="263"/>
      <c r="H34" s="263"/>
      <c r="S34" s="88" t="s">
        <v>65</v>
      </c>
    </row>
    <row r="35" spans="3:19">
      <c r="C35" s="263"/>
      <c r="D35" s="263"/>
      <c r="E35" s="263"/>
      <c r="F35" s="263"/>
      <c r="G35" s="263"/>
      <c r="H35" s="263"/>
      <c r="S35" s="88" t="s">
        <v>66</v>
      </c>
    </row>
    <row r="36" spans="3:19">
      <c r="C36" s="263"/>
      <c r="D36" s="263"/>
      <c r="E36" s="263"/>
      <c r="F36" s="263"/>
      <c r="G36" s="263"/>
      <c r="H36" s="263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QTCT</vt:lpstr>
      <vt:lpstr>Them_QTCT</vt:lpstr>
      <vt:lpstr>Them_QTDT</vt:lpstr>
      <vt:lpstr>QTDT</vt:lpstr>
      <vt:lpstr>Kyluat</vt:lpstr>
      <vt:lpstr>Them_KyLuat</vt:lpstr>
      <vt:lpstr>QHGD</vt:lpstr>
      <vt:lpstr>Them_QHGD</vt:lpstr>
      <vt:lpstr>KQXL</vt:lpstr>
      <vt:lpstr>Them_KQXL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khanhn128</cp:lastModifiedBy>
  <cp:lastPrinted>2021-07-25T16:32:31Z</cp:lastPrinted>
  <dcterms:created xsi:type="dcterms:W3CDTF">2017-11-17T13:18:47Z</dcterms:created>
  <dcterms:modified xsi:type="dcterms:W3CDTF">2021-08-02T07:17:36Z</dcterms:modified>
</cp:coreProperties>
</file>